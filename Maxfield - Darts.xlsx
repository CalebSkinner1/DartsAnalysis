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queryTables/queryTable3.xml" ContentType="application/vnd.openxmlformats-officedocument.spreadsheetml.queryTable+xml"/>
  <Override PartName="/xl/slicers/slicer2.xml" ContentType="application/vnd.ms-excel.slicer+xml"/>
  <Override PartName="/xl/timelines/timeline2.xml" ContentType="application/vnd.ms-excel.timeline+xml"/>
  <Override PartName="/xl/pivotTables/pivotTable4.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slicers/slicer3.xml" ContentType="application/vnd.ms-excel.slicer+xml"/>
  <Override PartName="/xl/timelines/timeline3.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202300"/>
  <mc:AlternateContent xmlns:mc="http://schemas.openxmlformats.org/markup-compatibility/2006">
    <mc:Choice Requires="x15">
      <x15ac:absPath xmlns:x15ac="http://schemas.microsoft.com/office/spreadsheetml/2010/11/ac" url="/Users/calebskinner/Desktop/Rice/First Year/Dart Board/DartsAnalysis/"/>
    </mc:Choice>
  </mc:AlternateContent>
  <xr:revisionPtr revIDLastSave="0" documentId="13_ncr:1_{025B105D-8213-964B-9B04-2B5C9BACA797}" xr6:coauthVersionLast="47" xr6:coauthVersionMax="47" xr10:uidLastSave="{00000000-0000-0000-0000-000000000000}"/>
  <bookViews>
    <workbookView xWindow="680" yWindow="660" windowWidth="29560" windowHeight="17320" xr2:uid="{323CE3BE-3075-5142-8CC5-C739FD3D3415}"/>
  </bookViews>
  <sheets>
    <sheet name="Scores" sheetId="1" r:id="rId1"/>
    <sheet name="Games" sheetId="8" r:id="rId2"/>
    <sheet name="Records" sheetId="7" r:id="rId3"/>
    <sheet name="Clutch" sheetId="6" r:id="rId4"/>
    <sheet name="Next Gen" sheetId="2" r:id="rId5"/>
    <sheet name="Achievements" sheetId="9" r:id="rId6"/>
  </sheets>
  <definedNames>
    <definedName name="ExternalData_1" localSheetId="3" hidden="1">Clutch!$A$1:$G$394</definedName>
    <definedName name="ExternalData_2" localSheetId="1" hidden="1">Games!$A$1:$J$658</definedName>
    <definedName name="ExternalData_2" localSheetId="2" hidden="1">Records!$A$1:$N$915</definedName>
    <definedName name="NativeTimeline_Date">#N/A</definedName>
    <definedName name="NativeTimeline_Date1">#N/A</definedName>
    <definedName name="NativeTimeline_Date2">#N/A</definedName>
    <definedName name="NativeTimeline_Date3">#N/A</definedName>
    <definedName name="Slicer_Deficit">#N/A</definedName>
    <definedName name="Slicer_Height">#N/A</definedName>
    <definedName name="Slicer_Height1">#N/A</definedName>
    <definedName name="Slicer_Opponent">#N/A</definedName>
  </definedNames>
  <calcPr calcId="191029"/>
  <pivotCaches>
    <pivotCache cacheId="6" r:id="rId7"/>
    <pivotCache cacheId="1" r:id="rId8"/>
    <pivotCache cacheId="5"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 r:id="rId17"/>
        <x15:timelineCacheRef r:id="rId18"/>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7" i="8" l="1"/>
  <c r="K592" i="8"/>
  <c r="K593" i="8"/>
  <c r="L593" i="8" s="1"/>
  <c r="K36" i="8"/>
  <c r="K637" i="8"/>
  <c r="K161" i="8"/>
  <c r="K453" i="8"/>
  <c r="K454" i="8"/>
  <c r="K638" i="8"/>
  <c r="K307" i="8"/>
  <c r="K128" i="8"/>
  <c r="K594" i="8"/>
  <c r="K509" i="8"/>
  <c r="K162" i="8"/>
  <c r="K455" i="8"/>
  <c r="K398" i="8"/>
  <c r="K206" i="8"/>
  <c r="K351" i="8"/>
  <c r="K557" i="8"/>
  <c r="K207" i="8"/>
  <c r="K129" i="8"/>
  <c r="K456" i="8"/>
  <c r="K352" i="8"/>
  <c r="K595" i="8"/>
  <c r="K58" i="8"/>
  <c r="K399" i="8"/>
  <c r="K353" i="8"/>
  <c r="K163" i="8"/>
  <c r="K510" i="8"/>
  <c r="K511" i="8"/>
  <c r="K130" i="8"/>
  <c r="K596" i="8"/>
  <c r="K639" i="8"/>
  <c r="K131" i="8"/>
  <c r="K512" i="8"/>
  <c r="K400" i="8"/>
  <c r="K513" i="8"/>
  <c r="K208" i="8"/>
  <c r="K597" i="8"/>
  <c r="K401" i="8"/>
  <c r="K261" i="8"/>
  <c r="K598" i="8"/>
  <c r="K209" i="8"/>
  <c r="K457" i="8"/>
  <c r="K402" i="8"/>
  <c r="K262" i="8"/>
  <c r="K458" i="8"/>
  <c r="K558" i="8"/>
  <c r="K164" i="8"/>
  <c r="K308" i="8"/>
  <c r="K459" i="8"/>
  <c r="K640" i="8"/>
  <c r="K132" i="8"/>
  <c r="K559" i="8"/>
  <c r="K165" i="8"/>
  <c r="K599" i="8"/>
  <c r="K354" i="8"/>
  <c r="K514" i="8"/>
  <c r="K600" i="8"/>
  <c r="K98" i="8"/>
  <c r="K133" i="8"/>
  <c r="K166" i="8"/>
  <c r="K560" i="8"/>
  <c r="K460" i="8"/>
  <c r="K309" i="8"/>
  <c r="K461" i="8"/>
  <c r="K403" i="8"/>
  <c r="K167" i="8"/>
  <c r="K310" i="8"/>
  <c r="K561" i="8"/>
  <c r="K355" i="8"/>
  <c r="K404" i="8"/>
  <c r="L404" i="8" s="1"/>
  <c r="K462" i="8"/>
  <c r="L462" i="8" s="1"/>
  <c r="K405" i="8"/>
  <c r="L405" i="8" s="1"/>
  <c r="K463" i="8"/>
  <c r="L463" i="8" s="1"/>
  <c r="K406" i="8"/>
  <c r="L406" i="8" s="1"/>
  <c r="K562" i="8"/>
  <c r="L562" i="8" s="1"/>
  <c r="K263" i="8"/>
  <c r="L263" i="8" s="1"/>
  <c r="K601" i="8"/>
  <c r="L601" i="8" s="1"/>
  <c r="K602" i="8"/>
  <c r="L602" i="8" s="1"/>
  <c r="K264" i="8"/>
  <c r="L264" i="8" s="1"/>
  <c r="K563" i="8"/>
  <c r="L563" i="8" s="1"/>
  <c r="K603" i="8"/>
  <c r="L603" i="8" s="1"/>
  <c r="K564" i="8"/>
  <c r="L564" i="8" s="1"/>
  <c r="K641" i="8"/>
  <c r="L641" i="8" s="1"/>
  <c r="K265" i="8"/>
  <c r="L265" i="8" s="1"/>
  <c r="K356" i="8"/>
  <c r="L356" i="8" s="1"/>
  <c r="K604" i="8"/>
  <c r="L604" i="8" s="1"/>
  <c r="K464" i="8"/>
  <c r="L464" i="8" s="1"/>
  <c r="K210" i="8"/>
  <c r="L210" i="8" s="1"/>
  <c r="K45" i="8"/>
  <c r="K357" i="8"/>
  <c r="L357" i="8" s="1"/>
  <c r="K266" i="8"/>
  <c r="L266" i="8" s="1"/>
  <c r="K358" i="8"/>
  <c r="L358" i="8" s="1"/>
  <c r="K465" i="8"/>
  <c r="L465" i="8" s="1"/>
  <c r="K565" i="8"/>
  <c r="L565" i="8" s="1"/>
  <c r="K407" i="8"/>
  <c r="L407" i="8" s="1"/>
  <c r="K359" i="8"/>
  <c r="L359" i="8" s="1"/>
  <c r="K267" i="8"/>
  <c r="L267" i="8" s="1"/>
  <c r="K311" i="8"/>
  <c r="L311" i="8" s="1"/>
  <c r="K466" i="8"/>
  <c r="L466" i="8" s="1"/>
  <c r="K312" i="8"/>
  <c r="L312" i="8" s="1"/>
  <c r="K408" i="8"/>
  <c r="L408" i="8" s="1"/>
  <c r="K566" i="8"/>
  <c r="L566" i="8" s="1"/>
  <c r="K313" i="8"/>
  <c r="L313" i="8" s="1"/>
  <c r="K605" i="8"/>
  <c r="L605" i="8" s="1"/>
  <c r="K642" i="8"/>
  <c r="L642" i="8" s="1"/>
  <c r="K168" i="8"/>
  <c r="K567" i="8"/>
  <c r="L567" i="8" s="1"/>
  <c r="K515" i="8"/>
  <c r="L515" i="8" s="1"/>
  <c r="K606" i="8"/>
  <c r="L606" i="8" s="1"/>
  <c r="K516" i="8"/>
  <c r="L516" i="8" s="1"/>
  <c r="K467" i="8"/>
  <c r="L467" i="8" s="1"/>
  <c r="K314" i="8"/>
  <c r="L314" i="8" s="1"/>
  <c r="K468" i="8"/>
  <c r="L468" i="8" s="1"/>
  <c r="K517" i="8"/>
  <c r="L517" i="8" s="1"/>
  <c r="K409" i="8"/>
  <c r="L409" i="8" s="1"/>
  <c r="K360" i="8"/>
  <c r="L360" i="8" s="1"/>
  <c r="K315" i="8"/>
  <c r="L315" i="8" s="1"/>
  <c r="K169" i="8"/>
  <c r="K410" i="8"/>
  <c r="L410" i="8" s="1"/>
  <c r="K170" i="8"/>
  <c r="K643" i="8"/>
  <c r="L643" i="8" s="1"/>
  <c r="K361" i="8"/>
  <c r="L361" i="8" s="1"/>
  <c r="K518" i="8"/>
  <c r="L518" i="8" s="1"/>
  <c r="K644" i="8"/>
  <c r="L644" i="8" s="1"/>
  <c r="K519" i="8"/>
  <c r="L519" i="8" s="1"/>
  <c r="K607" i="8"/>
  <c r="L607" i="8" s="1"/>
  <c r="K211" i="8"/>
  <c r="L211" i="8" s="1"/>
  <c r="K316" i="8"/>
  <c r="L316" i="8" s="1"/>
  <c r="K171" i="8"/>
  <c r="K520" i="8"/>
  <c r="L520" i="8" s="1"/>
  <c r="K411" i="8"/>
  <c r="L411" i="8" s="1"/>
  <c r="K317" i="8"/>
  <c r="L317" i="8" s="1"/>
  <c r="K645" i="8"/>
  <c r="L645" i="8" s="1"/>
  <c r="K521" i="8"/>
  <c r="L521" i="8" s="1"/>
  <c r="K212" i="8"/>
  <c r="L212" i="8" s="1"/>
  <c r="K469" i="8"/>
  <c r="L469" i="8" s="1"/>
  <c r="K99" i="8"/>
  <c r="K608" i="8"/>
  <c r="L608" i="8" s="1"/>
  <c r="K412" i="8"/>
  <c r="L412" i="8" s="1"/>
  <c r="K100" i="8"/>
  <c r="K78" i="8"/>
  <c r="K568" i="8"/>
  <c r="L568" i="8" s="1"/>
  <c r="K268" i="8"/>
  <c r="L268" i="8" s="1"/>
  <c r="K569" i="8"/>
  <c r="L569" i="8" s="1"/>
  <c r="K609" i="8"/>
  <c r="L609" i="8" s="1"/>
  <c r="K213" i="8"/>
  <c r="L213" i="8" s="1"/>
  <c r="K470" i="8"/>
  <c r="L470" i="8" s="1"/>
  <c r="K214" i="8"/>
  <c r="L214" i="8" s="1"/>
  <c r="K318" i="8"/>
  <c r="L318" i="8" s="1"/>
  <c r="K319" i="8"/>
  <c r="L319" i="8" s="1"/>
  <c r="K522" i="8"/>
  <c r="L522" i="8" s="1"/>
  <c r="K471" i="8"/>
  <c r="L471" i="8" s="1"/>
  <c r="K362" i="8"/>
  <c r="L362" i="8" s="1"/>
  <c r="K523" i="8"/>
  <c r="L523" i="8" s="1"/>
  <c r="K134" i="8"/>
  <c r="K524" i="8"/>
  <c r="K172" i="8"/>
  <c r="K610" i="8"/>
  <c r="K472" i="8"/>
  <c r="K135" i="8"/>
  <c r="K413" i="8"/>
  <c r="K473" i="8"/>
  <c r="K215" i="8"/>
  <c r="K320" i="8"/>
  <c r="K79" i="8"/>
  <c r="K269" i="8"/>
  <c r="K474" i="8"/>
  <c r="K611" i="8"/>
  <c r="K646" i="8"/>
  <c r="K570" i="8"/>
  <c r="K173" i="8"/>
  <c r="K321" i="8"/>
  <c r="K612" i="8"/>
  <c r="K525" i="8"/>
  <c r="K174" i="8"/>
  <c r="K270" i="8"/>
  <c r="K414" i="8"/>
  <c r="K647" i="8"/>
  <c r="K613" i="8"/>
  <c r="K415" i="8"/>
  <c r="K271" i="8"/>
  <c r="K216" i="8"/>
  <c r="K475" i="8"/>
  <c r="K322" i="8"/>
  <c r="K614" i="8"/>
  <c r="K615" i="8"/>
  <c r="K416" i="8"/>
  <c r="K101" i="8"/>
  <c r="K526" i="8"/>
  <c r="K476" i="8"/>
  <c r="K363" i="8"/>
  <c r="K648" i="8"/>
  <c r="K102" i="8"/>
  <c r="K417" i="8"/>
  <c r="K571" i="8"/>
  <c r="K103" i="8"/>
  <c r="K418" i="8"/>
  <c r="K175" i="8"/>
  <c r="K419" i="8"/>
  <c r="K176" i="8"/>
  <c r="K364" i="8"/>
  <c r="K272" i="8"/>
  <c r="K477" i="8"/>
  <c r="K478" i="8"/>
  <c r="K527" i="8"/>
  <c r="K217" i="8"/>
  <c r="K273" i="8"/>
  <c r="K572" i="8"/>
  <c r="K479" i="8"/>
  <c r="K573" i="8"/>
  <c r="K574" i="8"/>
  <c r="K616" i="8"/>
  <c r="K323" i="8"/>
  <c r="K136" i="8"/>
  <c r="K324" i="8"/>
  <c r="L324" i="8" s="1"/>
  <c r="K528" i="8"/>
  <c r="L528" i="8" s="1"/>
  <c r="K59" i="8"/>
  <c r="K617" i="8"/>
  <c r="L617" i="8" s="1"/>
  <c r="K325" i="8"/>
  <c r="L325" i="8" s="1"/>
  <c r="K274" i="8"/>
  <c r="L274" i="8" s="1"/>
  <c r="K575" i="8"/>
  <c r="L575" i="8" s="1"/>
  <c r="K618" i="8"/>
  <c r="L618" i="8" s="1"/>
  <c r="K420" i="8"/>
  <c r="L420" i="8" s="1"/>
  <c r="K529" i="8"/>
  <c r="L529" i="8" s="1"/>
  <c r="K365" i="8"/>
  <c r="L365" i="8" s="1"/>
  <c r="K421" i="8"/>
  <c r="L421" i="8" s="1"/>
  <c r="K137" i="8"/>
  <c r="K576" i="8"/>
  <c r="L576" i="8" s="1"/>
  <c r="K530" i="8"/>
  <c r="L530" i="8" s="1"/>
  <c r="K531" i="8"/>
  <c r="L531" i="8" s="1"/>
  <c r="K326" i="8"/>
  <c r="L326" i="8" s="1"/>
  <c r="K218" i="8"/>
  <c r="L218" i="8" s="1"/>
  <c r="K422" i="8"/>
  <c r="L422" i="8" s="1"/>
  <c r="K219" i="8"/>
  <c r="L219" i="8" s="1"/>
  <c r="K327" i="8"/>
  <c r="L327" i="8" s="1"/>
  <c r="K220" i="8"/>
  <c r="L220" i="8" s="1"/>
  <c r="K366" i="8"/>
  <c r="L366" i="8" s="1"/>
  <c r="K275" i="8"/>
  <c r="L275" i="8" s="1"/>
  <c r="K619" i="8"/>
  <c r="L619" i="8" s="1"/>
  <c r="K104" i="8"/>
  <c r="K423" i="8"/>
  <c r="L423" i="8" s="1"/>
  <c r="K480" i="8"/>
  <c r="L480" i="8" s="1"/>
  <c r="K620" i="8"/>
  <c r="L620" i="8" s="1"/>
  <c r="K532" i="8"/>
  <c r="L532" i="8" s="1"/>
  <c r="K621" i="8"/>
  <c r="L621" i="8" s="1"/>
  <c r="K533" i="8"/>
  <c r="L533" i="8" s="1"/>
  <c r="K577" i="8"/>
  <c r="L577" i="8" s="1"/>
  <c r="K367" i="8"/>
  <c r="L367" i="8" s="1"/>
  <c r="K424" i="8"/>
  <c r="L424" i="8" s="1"/>
  <c r="K276" i="8"/>
  <c r="L276" i="8" s="1"/>
  <c r="K368" i="8"/>
  <c r="L368" i="8" s="1"/>
  <c r="K425" i="8"/>
  <c r="L425" i="8" s="1"/>
  <c r="K277" i="8"/>
  <c r="L277" i="8" s="1"/>
  <c r="K426" i="8"/>
  <c r="L426" i="8" s="1"/>
  <c r="K534" i="8"/>
  <c r="L534" i="8" s="1"/>
  <c r="K328" i="8"/>
  <c r="L328" i="8" s="1"/>
  <c r="K481" i="8"/>
  <c r="L481" i="8" s="1"/>
  <c r="K535" i="8"/>
  <c r="L535" i="8" s="1"/>
  <c r="K622" i="8"/>
  <c r="L622" i="8" s="1"/>
  <c r="K482" i="8"/>
  <c r="L482" i="8" s="1"/>
  <c r="K369" i="8"/>
  <c r="L369" i="8" s="1"/>
  <c r="K105" i="8"/>
  <c r="K329" i="8"/>
  <c r="L329" i="8" s="1"/>
  <c r="K649" i="8"/>
  <c r="L649" i="8" s="1"/>
  <c r="K138" i="8"/>
  <c r="K623" i="8"/>
  <c r="L623" i="8" s="1"/>
  <c r="K60" i="8"/>
  <c r="K177" i="8"/>
  <c r="K578" i="8"/>
  <c r="L578" i="8" s="1"/>
  <c r="K330" i="8"/>
  <c r="L330" i="8" s="1"/>
  <c r="K178" i="8"/>
  <c r="K61" i="8"/>
  <c r="K579" i="8"/>
  <c r="L579" i="8" s="1"/>
  <c r="K221" i="8"/>
  <c r="L221" i="8" s="1"/>
  <c r="K427" i="8"/>
  <c r="L427" i="8" s="1"/>
  <c r="K278" i="8"/>
  <c r="L278" i="8" s="1"/>
  <c r="K80" i="8"/>
  <c r="K106" i="8"/>
  <c r="K279" i="8"/>
  <c r="L279" i="8" s="1"/>
  <c r="K179" i="8"/>
  <c r="K370" i="8"/>
  <c r="L370" i="8" s="1"/>
  <c r="K331" i="8"/>
  <c r="L331" i="8" s="1"/>
  <c r="K139" i="8"/>
  <c r="K140" i="8"/>
  <c r="K536" i="8"/>
  <c r="L536" i="8" s="1"/>
  <c r="K107" i="8"/>
  <c r="K580" i="8"/>
  <c r="L580" i="8" s="1"/>
  <c r="K222" i="8"/>
  <c r="L222" i="8" s="1"/>
  <c r="K180" i="8"/>
  <c r="K223" i="8"/>
  <c r="L223" i="8" s="1"/>
  <c r="K428" i="8"/>
  <c r="L428" i="8" s="1"/>
  <c r="K581" i="8"/>
  <c r="L581" i="8" s="1"/>
  <c r="K141" i="8"/>
  <c r="K483" i="8"/>
  <c r="L483" i="8" s="1"/>
  <c r="K332" i="8"/>
  <c r="L332" i="8" s="1"/>
  <c r="K582" i="8"/>
  <c r="L582" i="8" s="1"/>
  <c r="K650" i="8"/>
  <c r="L650" i="8" s="1"/>
  <c r="K333" i="8"/>
  <c r="L333" i="8" s="1"/>
  <c r="K62" i="8"/>
  <c r="K651" i="8"/>
  <c r="L651" i="8" s="1"/>
  <c r="K624" i="8"/>
  <c r="L624" i="8" s="1"/>
  <c r="K224" i="8"/>
  <c r="L224" i="8" s="1"/>
  <c r="K334" i="8"/>
  <c r="L334" i="8" s="1"/>
  <c r="K181" i="8"/>
  <c r="K484" i="8"/>
  <c r="L484" i="8" s="1"/>
  <c r="K485" i="8"/>
  <c r="L485" i="8" s="1"/>
  <c r="K182" i="8"/>
  <c r="K486" i="8"/>
  <c r="L486" i="8" s="1"/>
  <c r="K371" i="8"/>
  <c r="L371" i="8" s="1"/>
  <c r="K537" i="8"/>
  <c r="L537" i="8" s="1"/>
  <c r="K37" i="8"/>
  <c r="K652" i="8"/>
  <c r="L652" i="8" s="1"/>
  <c r="K487" i="8"/>
  <c r="L487" i="8" s="1"/>
  <c r="K225" i="8"/>
  <c r="L225" i="8" s="1"/>
  <c r="K429" i="8"/>
  <c r="L429" i="8" s="1"/>
  <c r="K226" i="8"/>
  <c r="L226" i="8" s="1"/>
  <c r="K625" i="8"/>
  <c r="L625" i="8" s="1"/>
  <c r="K81" i="8"/>
  <c r="K538" i="8"/>
  <c r="L538" i="8" s="1"/>
  <c r="K539" i="8"/>
  <c r="L539" i="8" s="1"/>
  <c r="K488" i="8"/>
  <c r="L488" i="8" s="1"/>
  <c r="K489" i="8"/>
  <c r="L489" i="8" s="1"/>
  <c r="K430" i="8"/>
  <c r="L430" i="8" s="1"/>
  <c r="K583" i="8"/>
  <c r="L583" i="8" s="1"/>
  <c r="K280" i="8"/>
  <c r="L280" i="8" s="1"/>
  <c r="K63" i="8"/>
  <c r="K540" i="8"/>
  <c r="L540" i="8" s="1"/>
  <c r="K64" i="8"/>
  <c r="K431" i="8"/>
  <c r="L431" i="8" s="1"/>
  <c r="K372" i="8"/>
  <c r="L372" i="8" s="1"/>
  <c r="K281" i="8"/>
  <c r="L281" i="8" s="1"/>
  <c r="K490" i="8"/>
  <c r="L490" i="8" s="1"/>
  <c r="K491" i="8"/>
  <c r="L491" i="8" s="1"/>
  <c r="K183" i="8"/>
  <c r="K541" i="8"/>
  <c r="L541" i="8" s="1"/>
  <c r="K282" i="8"/>
  <c r="L282" i="8" s="1"/>
  <c r="K28" i="8"/>
  <c r="K227" i="8"/>
  <c r="L227" i="8" s="1"/>
  <c r="K584" i="8"/>
  <c r="L584" i="8" s="1"/>
  <c r="K432" i="8"/>
  <c r="L432" i="8" s="1"/>
  <c r="K492" i="8"/>
  <c r="L492" i="8" s="1"/>
  <c r="K626" i="8"/>
  <c r="L626" i="8" s="1"/>
  <c r="K228" i="8"/>
  <c r="L228" i="8" s="1"/>
  <c r="K82" i="8"/>
  <c r="K542" i="8"/>
  <c r="L542" i="8" s="1"/>
  <c r="K46" i="8"/>
  <c r="K493" i="8"/>
  <c r="L493" i="8" s="1"/>
  <c r="K543" i="8"/>
  <c r="L543" i="8" s="1"/>
  <c r="K627" i="8"/>
  <c r="L627" i="8" s="1"/>
  <c r="K433" i="8"/>
  <c r="L433" i="8" s="1"/>
  <c r="K494" i="8"/>
  <c r="L494" i="8" s="1"/>
  <c r="K229" i="8"/>
  <c r="L229" i="8" s="1"/>
  <c r="K434" i="8"/>
  <c r="L434" i="8" s="1"/>
  <c r="K373" i="8"/>
  <c r="L373" i="8" s="1"/>
  <c r="K230" i="8"/>
  <c r="L230" i="8" s="1"/>
  <c r="K142" i="8"/>
  <c r="K29" i="8"/>
  <c r="K374" i="8"/>
  <c r="L374" i="8" s="1"/>
  <c r="K143" i="8"/>
  <c r="K435" i="8"/>
  <c r="L435" i="8" s="1"/>
  <c r="K495" i="8"/>
  <c r="L495" i="8" s="1"/>
  <c r="K184" i="8"/>
  <c r="K436" i="8"/>
  <c r="L436" i="8" s="1"/>
  <c r="K585" i="8"/>
  <c r="L585" i="8" s="1"/>
  <c r="K231" i="8"/>
  <c r="L231" i="8" s="1"/>
  <c r="K628" i="8"/>
  <c r="L628" i="8" s="1"/>
  <c r="K83" i="8"/>
  <c r="K629" i="8"/>
  <c r="L629" i="8" s="1"/>
  <c r="K496" i="8"/>
  <c r="L496" i="8" s="1"/>
  <c r="K544" i="8"/>
  <c r="L544" i="8" s="1"/>
  <c r="K375" i="8"/>
  <c r="L375" i="8" s="1"/>
  <c r="K653" i="8"/>
  <c r="L653" i="8" s="1"/>
  <c r="K108" i="8"/>
  <c r="K376" i="8"/>
  <c r="L376" i="8" s="1"/>
  <c r="K545" i="8"/>
  <c r="L545" i="8" s="1"/>
  <c r="K630" i="8"/>
  <c r="L630" i="8" s="1"/>
  <c r="K47" i="8"/>
  <c r="K631" i="8"/>
  <c r="L631" i="8" s="1"/>
  <c r="K232" i="8"/>
  <c r="L232" i="8" s="1"/>
  <c r="K377" i="8"/>
  <c r="L377" i="8" s="1"/>
  <c r="K378" i="8"/>
  <c r="L378" i="8" s="1"/>
  <c r="K335" i="8"/>
  <c r="L335" i="8" s="1"/>
  <c r="K586" i="8"/>
  <c r="L586" i="8" s="1"/>
  <c r="K497" i="8"/>
  <c r="L497" i="8" s="1"/>
  <c r="K498" i="8"/>
  <c r="L498" i="8" s="1"/>
  <c r="K654" i="8"/>
  <c r="L654" i="8" s="1"/>
  <c r="K233" i="8"/>
  <c r="L233" i="8" s="1"/>
  <c r="K437" i="8"/>
  <c r="L437" i="8" s="1"/>
  <c r="K546" i="8"/>
  <c r="L546" i="8" s="1"/>
  <c r="K283" i="8"/>
  <c r="L283" i="8" s="1"/>
  <c r="K284" i="8"/>
  <c r="L284" i="8" s="1"/>
  <c r="K587" i="8"/>
  <c r="L587" i="8" s="1"/>
  <c r="K144" i="8"/>
  <c r="K547" i="8"/>
  <c r="L547" i="8" s="1"/>
  <c r="K655" i="8"/>
  <c r="L655" i="8" s="1"/>
  <c r="K285" i="8"/>
  <c r="L285" i="8" s="1"/>
  <c r="K632" i="8"/>
  <c r="L632" i="8" s="1"/>
  <c r="K588" i="8"/>
  <c r="L588" i="8" s="1"/>
  <c r="K499" i="8"/>
  <c r="L499" i="8" s="1"/>
  <c r="K234" i="8"/>
  <c r="L234" i="8" s="1"/>
  <c r="K548" i="8"/>
  <c r="L548" i="8" s="1"/>
  <c r="K438" i="8"/>
  <c r="L438" i="8" s="1"/>
  <c r="K379" i="8"/>
  <c r="L379" i="8" s="1"/>
  <c r="K633" i="8"/>
  <c r="L633" i="8" s="1"/>
  <c r="K109" i="8"/>
  <c r="K656" i="8"/>
  <c r="L656" i="8" s="1"/>
  <c r="K634" i="8"/>
  <c r="L634" i="8" s="1"/>
  <c r="K657" i="8"/>
  <c r="L657" i="8" s="1"/>
  <c r="K439" i="8"/>
  <c r="L439" i="8" s="1"/>
  <c r="K549" i="8"/>
  <c r="L549" i="8" s="1"/>
  <c r="K500" i="8"/>
  <c r="L500" i="8" s="1"/>
  <c r="K635" i="8"/>
  <c r="L635" i="8" s="1"/>
  <c r="K286" i="8"/>
  <c r="L286" i="8" s="1"/>
  <c r="K380" i="8"/>
  <c r="L380" i="8" s="1"/>
  <c r="K550" i="8"/>
  <c r="L550" i="8" s="1"/>
  <c r="K336" i="8"/>
  <c r="L336" i="8" s="1"/>
  <c r="K235" i="8"/>
  <c r="L235" i="8" s="1"/>
  <c r="K440" i="8"/>
  <c r="L440" i="8" s="1"/>
  <c r="K589" i="8"/>
  <c r="L589" i="8" s="1"/>
  <c r="K381" i="8"/>
  <c r="L381" i="8" s="1"/>
  <c r="K551" i="8"/>
  <c r="L551" i="8" s="1"/>
  <c r="K441" i="8"/>
  <c r="L441" i="8" s="1"/>
  <c r="K287" i="8"/>
  <c r="L287" i="8" s="1"/>
  <c r="K501" i="8"/>
  <c r="L501" i="8" s="1"/>
  <c r="K658" i="8"/>
  <c r="L658" i="8" s="1"/>
  <c r="K502" i="8"/>
  <c r="L502" i="8" s="1"/>
  <c r="K552" i="8"/>
  <c r="L552" i="8" s="1"/>
  <c r="K442" i="8"/>
  <c r="L442" i="8" s="1"/>
  <c r="K553" i="8"/>
  <c r="L553" i="8" s="1"/>
  <c r="K288" i="8"/>
  <c r="L288" i="8" s="1"/>
  <c r="K590" i="8"/>
  <c r="L590" i="8" s="1"/>
  <c r="K145" i="8"/>
  <c r="K382" i="8"/>
  <c r="L382" i="8" s="1"/>
  <c r="K185" i="8"/>
  <c r="K337" i="8"/>
  <c r="L337" i="8" s="1"/>
  <c r="K84" i="8"/>
  <c r="K503" i="8"/>
  <c r="L503" i="8" s="1"/>
  <c r="K289" i="8"/>
  <c r="L289" i="8" s="1"/>
  <c r="K383" i="8"/>
  <c r="L383" i="8" s="1"/>
  <c r="K38" i="8"/>
  <c r="K384" i="8"/>
  <c r="L384" i="8" s="1"/>
  <c r="K236" i="8"/>
  <c r="L236" i="8" s="1"/>
  <c r="K443" i="8"/>
  <c r="L443" i="8" s="1"/>
  <c r="K444" i="8"/>
  <c r="L444" i="8" s="1"/>
  <c r="K338" i="8"/>
  <c r="L338" i="8" s="1"/>
  <c r="K290" i="8"/>
  <c r="L290" i="8" s="1"/>
  <c r="K237" i="8"/>
  <c r="L237" i="8" s="1"/>
  <c r="K291" i="8"/>
  <c r="L291" i="8" s="1"/>
  <c r="K186" i="8"/>
  <c r="K238" i="8"/>
  <c r="L238" i="8" s="1"/>
  <c r="K339" i="8"/>
  <c r="L339" i="8" s="1"/>
  <c r="K385" i="8"/>
  <c r="L385" i="8" s="1"/>
  <c r="K445" i="8"/>
  <c r="L445" i="8" s="1"/>
  <c r="K85" i="8"/>
  <c r="K554" i="8"/>
  <c r="L554" i="8" s="1"/>
  <c r="K16" i="8"/>
  <c r="K146" i="8"/>
  <c r="K239" i="8"/>
  <c r="L239" i="8" s="1"/>
  <c r="K39" i="8"/>
  <c r="K240" i="8"/>
  <c r="L240" i="8" s="1"/>
  <c r="K340" i="8"/>
  <c r="L340" i="8" s="1"/>
  <c r="K65" i="8"/>
  <c r="K341" i="8"/>
  <c r="L341" i="8" s="1"/>
  <c r="K241" i="8"/>
  <c r="L241" i="8" s="1"/>
  <c r="K386" i="8"/>
  <c r="L386" i="8" s="1"/>
  <c r="K9" i="8"/>
  <c r="K110" i="8"/>
  <c r="K504" i="8"/>
  <c r="L504" i="8" s="1"/>
  <c r="K17" i="8"/>
  <c r="K86" i="8"/>
  <c r="K636" i="8"/>
  <c r="L636" i="8" s="1"/>
  <c r="K18" i="8"/>
  <c r="K66" i="8"/>
  <c r="K292" i="8"/>
  <c r="L292" i="8" s="1"/>
  <c r="K242" i="8"/>
  <c r="L242" i="8" s="1"/>
  <c r="K293" i="8"/>
  <c r="L293" i="8" s="1"/>
  <c r="K555" i="8"/>
  <c r="L555" i="8" s="1"/>
  <c r="K111" i="8"/>
  <c r="K243" i="8"/>
  <c r="L243" i="8" s="1"/>
  <c r="K187" i="8"/>
  <c r="K112" i="8"/>
  <c r="K188" i="8"/>
  <c r="K244" i="8"/>
  <c r="L244" i="8" s="1"/>
  <c r="K48" i="8"/>
  <c r="K147" i="8"/>
  <c r="K30" i="8"/>
  <c r="K148" i="8"/>
  <c r="K189" i="8"/>
  <c r="K49" i="8"/>
  <c r="K245" i="8"/>
  <c r="L245" i="8" s="1"/>
  <c r="K67" i="8"/>
  <c r="K246" i="8"/>
  <c r="L246" i="8" s="1"/>
  <c r="K294" i="8"/>
  <c r="L294" i="8" s="1"/>
  <c r="K295" i="8"/>
  <c r="L295" i="8" s="1"/>
  <c r="K247" i="8"/>
  <c r="L247" i="8" s="1"/>
  <c r="K68" i="8"/>
  <c r="K296" i="8"/>
  <c r="L296" i="8" s="1"/>
  <c r="K31" i="8"/>
  <c r="K190" i="8"/>
  <c r="K113" i="8"/>
  <c r="K387" i="8"/>
  <c r="L387" i="8" s="1"/>
  <c r="K297" i="8"/>
  <c r="L297" i="8" s="1"/>
  <c r="K191" i="8"/>
  <c r="K40" i="8"/>
  <c r="K192" i="8"/>
  <c r="K298" i="8"/>
  <c r="L298" i="8" s="1"/>
  <c r="K193" i="8"/>
  <c r="K299" i="8"/>
  <c r="L299" i="8" s="1"/>
  <c r="K388" i="8"/>
  <c r="L388" i="8" s="1"/>
  <c r="K69" i="8"/>
  <c r="K114" i="8"/>
  <c r="K115" i="8"/>
  <c r="K149" i="8"/>
  <c r="K70" i="8"/>
  <c r="K300" i="8"/>
  <c r="L300" i="8" s="1"/>
  <c r="K342" i="8"/>
  <c r="L342" i="8" s="1"/>
  <c r="K194" i="8"/>
  <c r="K446" i="8"/>
  <c r="L446" i="8" s="1"/>
  <c r="K116" i="8"/>
  <c r="K556" i="8"/>
  <c r="L556" i="8" s="1"/>
  <c r="K150" i="8"/>
  <c r="K117" i="8"/>
  <c r="K50" i="8"/>
  <c r="K151" i="8"/>
  <c r="K51" i="8"/>
  <c r="K195" i="8"/>
  <c r="K248" i="8"/>
  <c r="L248" i="8" s="1"/>
  <c r="K196" i="8"/>
  <c r="K41" i="8"/>
  <c r="K343" i="8"/>
  <c r="L343" i="8" s="1"/>
  <c r="K152" i="8"/>
  <c r="K389" i="8"/>
  <c r="L389" i="8" s="1"/>
  <c r="K344" i="8"/>
  <c r="L344" i="8" s="1"/>
  <c r="K249" i="8"/>
  <c r="L249" i="8" s="1"/>
  <c r="K301" i="8"/>
  <c r="L301" i="8" s="1"/>
  <c r="K197" i="8"/>
  <c r="K87" i="8"/>
  <c r="K153" i="8"/>
  <c r="K250" i="8"/>
  <c r="L250" i="8" s="1"/>
  <c r="K447" i="8"/>
  <c r="L447" i="8" s="1"/>
  <c r="K52" i="8"/>
  <c r="K71" i="8"/>
  <c r="K198" i="8"/>
  <c r="K19" i="8"/>
  <c r="K10" i="8"/>
  <c r="K118" i="8"/>
  <c r="K251" i="8"/>
  <c r="L251" i="8" s="1"/>
  <c r="K302" i="8"/>
  <c r="L302" i="8" s="1"/>
  <c r="K88" i="8"/>
  <c r="K72" i="8"/>
  <c r="K345" i="8"/>
  <c r="L345" i="8" s="1"/>
  <c r="K390" i="8"/>
  <c r="L390" i="8" s="1"/>
  <c r="K11" i="8"/>
  <c r="K391" i="8"/>
  <c r="L391" i="8" s="1"/>
  <c r="K505" i="8"/>
  <c r="L505" i="8" s="1"/>
  <c r="K73" i="8"/>
  <c r="K199" i="8"/>
  <c r="K252" i="8"/>
  <c r="L252" i="8" s="1"/>
  <c r="K89" i="8"/>
  <c r="K53" i="8"/>
  <c r="K20" i="8"/>
  <c r="K74" i="8"/>
  <c r="K119" i="8"/>
  <c r="K90" i="8"/>
  <c r="K154" i="8"/>
  <c r="K346" i="8"/>
  <c r="L346" i="8" s="1"/>
  <c r="K392" i="8"/>
  <c r="L392" i="8" s="1"/>
  <c r="K54" i="8"/>
  <c r="K393" i="8"/>
  <c r="L393" i="8" s="1"/>
  <c r="K120" i="8"/>
  <c r="K55" i="8"/>
  <c r="K591" i="8"/>
  <c r="L591" i="8" s="1"/>
  <c r="K91" i="8"/>
  <c r="K42" i="8"/>
  <c r="K347" i="8"/>
  <c r="L347" i="8" s="1"/>
  <c r="K92" i="8"/>
  <c r="K155" i="8"/>
  <c r="K156" i="8"/>
  <c r="K448" i="8"/>
  <c r="L448" i="8" s="1"/>
  <c r="K12" i="8"/>
  <c r="K121" i="8"/>
  <c r="K348" i="8"/>
  <c r="L348" i="8" s="1"/>
  <c r="K303" i="8"/>
  <c r="L303" i="8" s="1"/>
  <c r="K21" i="8"/>
  <c r="K253" i="8"/>
  <c r="L253" i="8" s="1"/>
  <c r="K122" i="8"/>
  <c r="K13" i="8"/>
  <c r="K157" i="8"/>
  <c r="K304" i="8"/>
  <c r="L304" i="8" s="1"/>
  <c r="K158" i="8"/>
  <c r="K394" i="8"/>
  <c r="L394" i="8" s="1"/>
  <c r="K93" i="8"/>
  <c r="K159" i="8"/>
  <c r="K5" i="8"/>
  <c r="K56" i="8"/>
  <c r="K22" i="8"/>
  <c r="K449" i="8"/>
  <c r="L449" i="8" s="1"/>
  <c r="K2" i="8"/>
  <c r="L2" i="8" s="1"/>
  <c r="K395" i="8"/>
  <c r="L395" i="8" s="1"/>
  <c r="K94" i="8"/>
  <c r="K506" i="8"/>
  <c r="L506" i="8" s="1"/>
  <c r="K6" i="8"/>
  <c r="K123" i="8"/>
  <c r="K349" i="8"/>
  <c r="L349" i="8" s="1"/>
  <c r="K95" i="8"/>
  <c r="K3" i="8"/>
  <c r="L3" i="8" s="1"/>
  <c r="K43" i="8"/>
  <c r="K32" i="8"/>
  <c r="K200" i="8"/>
  <c r="K75" i="8"/>
  <c r="K254" i="8"/>
  <c r="L254" i="8" s="1"/>
  <c r="K57" i="8"/>
  <c r="K450" i="8"/>
  <c r="L450" i="8" s="1"/>
  <c r="K451" i="8"/>
  <c r="L451" i="8" s="1"/>
  <c r="K96" i="8"/>
  <c r="K255" i="8"/>
  <c r="L255" i="8" s="1"/>
  <c r="K396" i="8"/>
  <c r="L396" i="8" s="1"/>
  <c r="K124" i="8"/>
  <c r="K160" i="8"/>
  <c r="K23" i="8"/>
  <c r="K507" i="8"/>
  <c r="L507" i="8" s="1"/>
  <c r="K33" i="8"/>
  <c r="K125" i="8"/>
  <c r="K508" i="8"/>
  <c r="L508" i="8" s="1"/>
  <c r="K24" i="8"/>
  <c r="K305" i="8"/>
  <c r="L305" i="8" s="1"/>
  <c r="K14" i="8"/>
  <c r="K76" i="8"/>
  <c r="K126" i="8"/>
  <c r="K201" i="8"/>
  <c r="K34" i="8"/>
  <c r="K256" i="8"/>
  <c r="L256" i="8" s="1"/>
  <c r="K257" i="8"/>
  <c r="L257" i="8" s="1"/>
  <c r="K77" i="8"/>
  <c r="K258" i="8"/>
  <c r="L258" i="8" s="1"/>
  <c r="K25" i="8"/>
  <c r="K202" i="8"/>
  <c r="K26" i="8"/>
  <c r="K452" i="8"/>
  <c r="L452" i="8" s="1"/>
  <c r="K4" i="8"/>
  <c r="L4" i="8" s="1"/>
  <c r="K259" i="8"/>
  <c r="L259" i="8" s="1"/>
  <c r="K7" i="8"/>
  <c r="K306" i="8"/>
  <c r="L306" i="8" s="1"/>
  <c r="K8" i="8"/>
  <c r="K397" i="8"/>
  <c r="L397" i="8" s="1"/>
  <c r="K203" i="8"/>
  <c r="K350" i="8"/>
  <c r="L350" i="8" s="1"/>
  <c r="K35" i="8"/>
  <c r="K260" i="8"/>
  <c r="L260" i="8" s="1"/>
  <c r="K27" i="8"/>
  <c r="K204" i="8"/>
  <c r="K44" i="8"/>
  <c r="K97" i="8"/>
  <c r="K15" i="8"/>
  <c r="K205" i="8"/>
  <c r="L592" i="8"/>
  <c r="L637" i="8"/>
  <c r="L453" i="8"/>
  <c r="L454" i="8"/>
  <c r="L638" i="8"/>
  <c r="L307" i="8"/>
  <c r="L594" i="8"/>
  <c r="L509" i="8"/>
  <c r="L455" i="8"/>
  <c r="L398" i="8"/>
  <c r="L206" i="8"/>
  <c r="L351" i="8"/>
  <c r="L557" i="8"/>
  <c r="L207" i="8"/>
  <c r="L456" i="8"/>
  <c r="L352" i="8"/>
  <c r="L595" i="8"/>
  <c r="L399" i="8"/>
  <c r="L353" i="8"/>
  <c r="L510" i="8"/>
  <c r="L511" i="8"/>
  <c r="L596" i="8"/>
  <c r="L639" i="8"/>
  <c r="L512" i="8"/>
  <c r="L400" i="8"/>
  <c r="L513" i="8"/>
  <c r="L208" i="8"/>
  <c r="L597" i="8"/>
  <c r="L401" i="8"/>
  <c r="L261" i="8"/>
  <c r="L598" i="8"/>
  <c r="L209" i="8"/>
  <c r="L457" i="8"/>
  <c r="L402" i="8"/>
  <c r="L262" i="8"/>
  <c r="L458" i="8"/>
  <c r="L558" i="8"/>
  <c r="L308" i="8"/>
  <c r="L459" i="8"/>
  <c r="L640" i="8"/>
  <c r="L559" i="8"/>
  <c r="L599" i="8"/>
  <c r="L354" i="8"/>
  <c r="L514" i="8"/>
  <c r="L600" i="8"/>
  <c r="L560" i="8"/>
  <c r="L460" i="8"/>
  <c r="L309" i="8"/>
  <c r="L461" i="8"/>
  <c r="L403" i="8"/>
  <c r="L310" i="8"/>
  <c r="L561" i="8"/>
  <c r="L355" i="8"/>
  <c r="L524" i="8"/>
  <c r="L610" i="8"/>
  <c r="L472" i="8"/>
  <c r="L413" i="8"/>
  <c r="L473" i="8"/>
  <c r="L215" i="8"/>
  <c r="L320" i="8"/>
  <c r="L269" i="8"/>
  <c r="L474" i="8"/>
  <c r="L611" i="8"/>
  <c r="L646" i="8"/>
  <c r="L570" i="8"/>
  <c r="L321" i="8"/>
  <c r="L612" i="8"/>
  <c r="L525" i="8"/>
  <c r="L270" i="8"/>
  <c r="L414" i="8"/>
  <c r="L647" i="8"/>
  <c r="L613" i="8"/>
  <c r="L415" i="8"/>
  <c r="L271" i="8"/>
  <c r="L216" i="8"/>
  <c r="L475" i="8"/>
  <c r="L322" i="8"/>
  <c r="L614" i="8"/>
  <c r="L615" i="8"/>
  <c r="L416" i="8"/>
  <c r="L526" i="8"/>
  <c r="L476" i="8"/>
  <c r="L363" i="8"/>
  <c r="L648" i="8"/>
  <c r="L417" i="8"/>
  <c r="L571" i="8"/>
  <c r="L418" i="8"/>
  <c r="L419" i="8"/>
  <c r="L364" i="8"/>
  <c r="L272" i="8"/>
  <c r="L477" i="8"/>
  <c r="L478" i="8"/>
  <c r="L527" i="8"/>
  <c r="L217" i="8"/>
  <c r="L273" i="8"/>
  <c r="L572" i="8"/>
  <c r="L479" i="8"/>
  <c r="L573" i="8"/>
  <c r="L574" i="8"/>
  <c r="L616" i="8"/>
  <c r="L323" i="8"/>
  <c r="F851" i="1"/>
  <c r="F855" i="1" s="1"/>
  <c r="F859" i="1" s="1"/>
  <c r="F863" i="1" s="1"/>
  <c r="F867" i="1" s="1"/>
  <c r="F871" i="1" s="1"/>
  <c r="F875" i="1" s="1"/>
  <c r="F879" i="1" s="1"/>
  <c r="F883" i="1" s="1"/>
  <c r="F887" i="1" s="1"/>
  <c r="F891" i="1" s="1"/>
  <c r="F895" i="1" s="1"/>
  <c r="F899" i="1" s="1"/>
  <c r="F813" i="1"/>
  <c r="F816" i="1" s="1"/>
  <c r="F819" i="1" s="1"/>
  <c r="F822" i="1" s="1"/>
  <c r="F825" i="1" s="1"/>
  <c r="F828" i="1" s="1"/>
  <c r="F831" i="1" s="1"/>
  <c r="F834" i="1" s="1"/>
  <c r="F837" i="1" s="1"/>
  <c r="F840" i="1" s="1"/>
  <c r="F843" i="1" s="1"/>
  <c r="F846" i="1" s="1"/>
  <c r="F850" i="1" s="1"/>
  <c r="F854" i="1" s="1"/>
  <c r="F858" i="1" s="1"/>
  <c r="F862" i="1" s="1"/>
  <c r="F866" i="1" s="1"/>
  <c r="F870" i="1" s="1"/>
  <c r="F874" i="1" s="1"/>
  <c r="F878" i="1" s="1"/>
  <c r="F882" i="1" s="1"/>
  <c r="F886" i="1" s="1"/>
  <c r="F890" i="1" s="1"/>
  <c r="F894" i="1" s="1"/>
  <c r="F898" i="1" s="1"/>
  <c r="F902" i="1" s="1"/>
  <c r="F800" i="1"/>
  <c r="F803" i="1" s="1"/>
  <c r="F806" i="1" s="1"/>
  <c r="F809" i="1" s="1"/>
  <c r="F812" i="1" s="1"/>
  <c r="F815" i="1" s="1"/>
  <c r="F818" i="1" s="1"/>
  <c r="F821" i="1" s="1"/>
  <c r="F824" i="1" s="1"/>
  <c r="F827" i="1" s="1"/>
  <c r="F830" i="1" s="1"/>
  <c r="F833" i="1" s="1"/>
  <c r="F836" i="1" s="1"/>
  <c r="F839" i="1" s="1"/>
  <c r="F842" i="1" s="1"/>
  <c r="F845" i="1" s="1"/>
  <c r="F849" i="1" s="1"/>
  <c r="F853" i="1" s="1"/>
  <c r="F857" i="1" s="1"/>
  <c r="F861" i="1" s="1"/>
  <c r="F865" i="1" s="1"/>
  <c r="F869" i="1" s="1"/>
  <c r="F873" i="1" s="1"/>
  <c r="F877" i="1" s="1"/>
  <c r="F881" i="1" s="1"/>
  <c r="F885" i="1" s="1"/>
  <c r="F889" i="1" s="1"/>
  <c r="F893" i="1" s="1"/>
  <c r="F897" i="1" s="1"/>
  <c r="F901" i="1" s="1"/>
  <c r="F906" i="1" s="1"/>
  <c r="F781" i="1"/>
  <c r="F784" i="1" s="1"/>
  <c r="F787" i="1" s="1"/>
  <c r="F790" i="1" s="1"/>
  <c r="F793" i="1" s="1"/>
  <c r="F796" i="1" s="1"/>
  <c r="F799" i="1" s="1"/>
  <c r="F802" i="1" s="1"/>
  <c r="F805" i="1" s="1"/>
  <c r="F808" i="1" s="1"/>
  <c r="F811" i="1" s="1"/>
  <c r="F814" i="1" s="1"/>
  <c r="F817" i="1" s="1"/>
  <c r="F820" i="1" s="1"/>
  <c r="F823" i="1" s="1"/>
  <c r="F826" i="1" s="1"/>
  <c r="F829" i="1" s="1"/>
  <c r="F832" i="1" s="1"/>
  <c r="F835" i="1" s="1"/>
  <c r="F838" i="1" s="1"/>
  <c r="F841" i="1" s="1"/>
  <c r="F844" i="1" s="1"/>
  <c r="F848" i="1" s="1"/>
  <c r="F852" i="1" s="1"/>
  <c r="F856" i="1" s="1"/>
  <c r="F860" i="1" s="1"/>
  <c r="F864" i="1" s="1"/>
  <c r="F868" i="1" s="1"/>
  <c r="F872" i="1" s="1"/>
  <c r="F876" i="1" s="1"/>
  <c r="F880" i="1" s="1"/>
  <c r="F884" i="1" s="1"/>
  <c r="F888" i="1" s="1"/>
  <c r="F892" i="1" s="1"/>
  <c r="F896" i="1" s="1"/>
  <c r="F900" i="1" s="1"/>
  <c r="F905" i="1" s="1"/>
  <c r="F910" i="1" s="1"/>
  <c r="F762" i="1"/>
  <c r="F765" i="1" s="1"/>
  <c r="F768" i="1" s="1"/>
  <c r="F771" i="1" s="1"/>
  <c r="F774" i="1" s="1"/>
  <c r="F777" i="1" s="1"/>
  <c r="F780" i="1" s="1"/>
  <c r="F783" i="1" s="1"/>
  <c r="F786" i="1" s="1"/>
  <c r="F789" i="1" s="1"/>
  <c r="F792" i="1" s="1"/>
  <c r="F795" i="1" s="1"/>
  <c r="F798" i="1" s="1"/>
  <c r="F801" i="1" s="1"/>
  <c r="F804" i="1" s="1"/>
  <c r="F807" i="1" s="1"/>
  <c r="F761" i="1"/>
  <c r="F764" i="1" s="1"/>
  <c r="F767" i="1" s="1"/>
  <c r="F770" i="1" s="1"/>
  <c r="F773" i="1" s="1"/>
  <c r="F776" i="1" s="1"/>
  <c r="F779" i="1" s="1"/>
  <c r="F782" i="1" s="1"/>
  <c r="F785" i="1" s="1"/>
  <c r="F788" i="1" s="1"/>
  <c r="F791" i="1" s="1"/>
  <c r="F794" i="1" s="1"/>
  <c r="F736" i="1"/>
  <c r="F739" i="1" s="1"/>
  <c r="F742" i="1" s="1"/>
  <c r="F745" i="1" s="1"/>
  <c r="F748" i="1" s="1"/>
  <c r="F751" i="1" s="1"/>
  <c r="F754" i="1" s="1"/>
  <c r="F757" i="1" s="1"/>
  <c r="F760" i="1" s="1"/>
  <c r="F763" i="1" s="1"/>
  <c r="F766" i="1" s="1"/>
  <c r="F769" i="1" s="1"/>
  <c r="F772" i="1" s="1"/>
  <c r="F735" i="1"/>
  <c r="F738" i="1" s="1"/>
  <c r="F741" i="1" s="1"/>
  <c r="F744" i="1" s="1"/>
  <c r="F747" i="1" s="1"/>
  <c r="F750" i="1" s="1"/>
  <c r="F753" i="1" s="1"/>
  <c r="F756" i="1" s="1"/>
  <c r="F701" i="1"/>
  <c r="F704" i="1" s="1"/>
  <c r="F707" i="1" s="1"/>
  <c r="F710" i="1" s="1"/>
  <c r="F713" i="1" s="1"/>
  <c r="F716" i="1" s="1"/>
  <c r="F719" i="1" s="1"/>
  <c r="F722" i="1" s="1"/>
  <c r="F725" i="1" s="1"/>
  <c r="F728" i="1" s="1"/>
  <c r="F731" i="1" s="1"/>
  <c r="F734" i="1" s="1"/>
  <c r="F737" i="1" s="1"/>
  <c r="F740" i="1" s="1"/>
  <c r="F743" i="1" s="1"/>
  <c r="F746" i="1" s="1"/>
  <c r="F749" i="1" s="1"/>
  <c r="F752" i="1" s="1"/>
  <c r="F755" i="1" s="1"/>
  <c r="F649" i="1"/>
  <c r="F652" i="1" s="1"/>
  <c r="F655" i="1" s="1"/>
  <c r="F658" i="1" s="1"/>
  <c r="F661" i="1" s="1"/>
  <c r="F664" i="1" s="1"/>
  <c r="F667" i="1" s="1"/>
  <c r="F670" i="1" s="1"/>
  <c r="F673" i="1" s="1"/>
  <c r="F676" i="1" s="1"/>
  <c r="F679" i="1" s="1"/>
  <c r="F682" i="1" s="1"/>
  <c r="F685" i="1" s="1"/>
  <c r="F688" i="1" s="1"/>
  <c r="F691" i="1" s="1"/>
  <c r="F694" i="1" s="1"/>
  <c r="F697" i="1" s="1"/>
  <c r="F700" i="1" s="1"/>
  <c r="F703" i="1" s="1"/>
  <c r="F706" i="1" s="1"/>
  <c r="F709" i="1" s="1"/>
  <c r="F712" i="1" s="1"/>
  <c r="F715" i="1" s="1"/>
  <c r="F718" i="1" s="1"/>
  <c r="F721" i="1" s="1"/>
  <c r="F724" i="1" s="1"/>
  <c r="F727" i="1" s="1"/>
  <c r="F730" i="1" s="1"/>
  <c r="F636" i="1"/>
  <c r="F639" i="1" s="1"/>
  <c r="F642" i="1" s="1"/>
  <c r="F645" i="1" s="1"/>
  <c r="F648" i="1" s="1"/>
  <c r="F651" i="1" s="1"/>
  <c r="F654" i="1" s="1"/>
  <c r="F657" i="1" s="1"/>
  <c r="F660" i="1" s="1"/>
  <c r="F663" i="1" s="1"/>
  <c r="F666" i="1" s="1"/>
  <c r="F669" i="1" s="1"/>
  <c r="F672" i="1" s="1"/>
  <c r="F675" i="1" s="1"/>
  <c r="F678" i="1" s="1"/>
  <c r="F681" i="1" s="1"/>
  <c r="F684" i="1" s="1"/>
  <c r="F687" i="1" s="1"/>
  <c r="F690" i="1" s="1"/>
  <c r="F693" i="1" s="1"/>
  <c r="F696" i="1" s="1"/>
  <c r="F699" i="1" s="1"/>
  <c r="F702" i="1" s="1"/>
  <c r="F705" i="1" s="1"/>
  <c r="F708" i="1" s="1"/>
  <c r="F711" i="1" s="1"/>
  <c r="F714" i="1" s="1"/>
  <c r="F717" i="1" s="1"/>
  <c r="F720" i="1" s="1"/>
  <c r="F723" i="1" s="1"/>
  <c r="F726" i="1" s="1"/>
  <c r="F729" i="1" s="1"/>
  <c r="F593" i="1"/>
  <c r="F596" i="1" s="1"/>
  <c r="F599" i="1" s="1"/>
  <c r="F602" i="1" s="1"/>
  <c r="F605" i="1" s="1"/>
  <c r="F608" i="1" s="1"/>
  <c r="F611" i="1" s="1"/>
  <c r="F614" i="1" s="1"/>
  <c r="F617" i="1" s="1"/>
  <c r="F620" i="1" s="1"/>
  <c r="F623" i="1" s="1"/>
  <c r="F626" i="1" s="1"/>
  <c r="F629" i="1" s="1"/>
  <c r="F632" i="1" s="1"/>
  <c r="F635" i="1" s="1"/>
  <c r="F638" i="1" s="1"/>
  <c r="F641" i="1" s="1"/>
  <c r="F644" i="1" s="1"/>
  <c r="F647" i="1" s="1"/>
  <c r="F650" i="1" s="1"/>
  <c r="F653" i="1" s="1"/>
  <c r="F656" i="1" s="1"/>
  <c r="F659" i="1" s="1"/>
  <c r="F662" i="1" s="1"/>
  <c r="F665" i="1" s="1"/>
  <c r="F668" i="1" s="1"/>
  <c r="F671" i="1" s="1"/>
  <c r="F674" i="1" s="1"/>
  <c r="F677" i="1" s="1"/>
  <c r="F680" i="1" s="1"/>
  <c r="F683" i="1" s="1"/>
  <c r="F686" i="1" s="1"/>
  <c r="F689" i="1" s="1"/>
  <c r="F692" i="1" s="1"/>
  <c r="F695" i="1" s="1"/>
  <c r="F568" i="1"/>
  <c r="F571" i="1" s="1"/>
  <c r="F574" i="1" s="1"/>
  <c r="F577" i="1" s="1"/>
  <c r="F580" i="1" s="1"/>
  <c r="F583" i="1" s="1"/>
  <c r="F586" i="1" s="1"/>
  <c r="F589" i="1" s="1"/>
  <c r="F592" i="1" s="1"/>
  <c r="F595" i="1" s="1"/>
  <c r="F598" i="1" s="1"/>
  <c r="F601" i="1" s="1"/>
  <c r="F604" i="1" s="1"/>
  <c r="F607" i="1" s="1"/>
  <c r="F610" i="1" s="1"/>
  <c r="F613" i="1" s="1"/>
  <c r="F616" i="1" s="1"/>
  <c r="F619" i="1" s="1"/>
  <c r="F622" i="1" s="1"/>
  <c r="F625" i="1" s="1"/>
  <c r="F628" i="1" s="1"/>
  <c r="F631" i="1" s="1"/>
  <c r="F634" i="1" s="1"/>
  <c r="F637" i="1" s="1"/>
  <c r="F640" i="1" s="1"/>
  <c r="F643" i="1" s="1"/>
  <c r="F540" i="1"/>
  <c r="F543" i="1" s="1"/>
  <c r="F546" i="1" s="1"/>
  <c r="F549" i="1" s="1"/>
  <c r="F552" i="1" s="1"/>
  <c r="F555" i="1" s="1"/>
  <c r="F558" i="1" s="1"/>
  <c r="F561" i="1" s="1"/>
  <c r="F564" i="1" s="1"/>
  <c r="F567" i="1" s="1"/>
  <c r="F570" i="1" s="1"/>
  <c r="F573" i="1" s="1"/>
  <c r="F576" i="1" s="1"/>
  <c r="F579" i="1" s="1"/>
  <c r="F582" i="1" s="1"/>
  <c r="F585" i="1" s="1"/>
  <c r="F588" i="1" s="1"/>
  <c r="F591" i="1" s="1"/>
  <c r="F594" i="1" s="1"/>
  <c r="F597" i="1" s="1"/>
  <c r="F600" i="1" s="1"/>
  <c r="F603" i="1" s="1"/>
  <c r="F606" i="1" s="1"/>
  <c r="F609" i="1" s="1"/>
  <c r="F612" i="1" s="1"/>
  <c r="F615" i="1" s="1"/>
  <c r="F618" i="1" s="1"/>
  <c r="F621" i="1" s="1"/>
  <c r="F624" i="1" s="1"/>
  <c r="F627" i="1" s="1"/>
  <c r="F630" i="1" s="1"/>
  <c r="F491" i="1"/>
  <c r="F494" i="1" s="1"/>
  <c r="F497" i="1" s="1"/>
  <c r="F500" i="1" s="1"/>
  <c r="F503" i="1" s="1"/>
  <c r="F506" i="1" s="1"/>
  <c r="F509" i="1" s="1"/>
  <c r="F512" i="1" s="1"/>
  <c r="F515" i="1" s="1"/>
  <c r="F518" i="1" s="1"/>
  <c r="F521" i="1" s="1"/>
  <c r="F524" i="1" s="1"/>
  <c r="F527" i="1" s="1"/>
  <c r="F530" i="1" s="1"/>
  <c r="F533" i="1" s="1"/>
  <c r="F536" i="1" s="1"/>
  <c r="F539" i="1" s="1"/>
  <c r="F542" i="1" s="1"/>
  <c r="F545" i="1" s="1"/>
  <c r="F548" i="1" s="1"/>
  <c r="F551" i="1" s="1"/>
  <c r="F554" i="1" s="1"/>
  <c r="F557" i="1" s="1"/>
  <c r="F560" i="1" s="1"/>
  <c r="F563" i="1" s="1"/>
  <c r="F566" i="1" s="1"/>
  <c r="F569" i="1" s="1"/>
  <c r="F572" i="1" s="1"/>
  <c r="F575" i="1" s="1"/>
  <c r="F578" i="1" s="1"/>
  <c r="F581" i="1" s="1"/>
  <c r="F584" i="1" s="1"/>
  <c r="F587" i="1" s="1"/>
  <c r="F490" i="1"/>
  <c r="F493" i="1" s="1"/>
  <c r="F496" i="1" s="1"/>
  <c r="F499" i="1" s="1"/>
  <c r="F502" i="1" s="1"/>
  <c r="F505" i="1" s="1"/>
  <c r="F508" i="1" s="1"/>
  <c r="F511" i="1" s="1"/>
  <c r="F514" i="1" s="1"/>
  <c r="F517" i="1" s="1"/>
  <c r="F520" i="1" s="1"/>
  <c r="F523" i="1" s="1"/>
  <c r="F526" i="1" s="1"/>
  <c r="F529" i="1" s="1"/>
  <c r="F532" i="1" s="1"/>
  <c r="F535" i="1" s="1"/>
  <c r="F538" i="1" s="1"/>
  <c r="F541" i="1" s="1"/>
  <c r="F544" i="1" s="1"/>
  <c r="F547" i="1" s="1"/>
  <c r="F550" i="1" s="1"/>
  <c r="F553" i="1" s="1"/>
  <c r="F556" i="1" s="1"/>
  <c r="F559" i="1" s="1"/>
  <c r="F562" i="1" s="1"/>
  <c r="F474" i="1"/>
  <c r="F477" i="1" s="1"/>
  <c r="F480" i="1" s="1"/>
  <c r="F483" i="1" s="1"/>
  <c r="F486" i="1" s="1"/>
  <c r="F489" i="1" s="1"/>
  <c r="F492" i="1" s="1"/>
  <c r="F495" i="1" s="1"/>
  <c r="F498" i="1" s="1"/>
  <c r="F501" i="1" s="1"/>
  <c r="F504" i="1" s="1"/>
  <c r="F507" i="1" s="1"/>
  <c r="F510" i="1" s="1"/>
  <c r="F513" i="1" s="1"/>
  <c r="F516" i="1" s="1"/>
  <c r="F519" i="1" s="1"/>
  <c r="F522" i="1" s="1"/>
  <c r="F525" i="1" s="1"/>
  <c r="F528" i="1" s="1"/>
  <c r="F531" i="1" s="1"/>
  <c r="F534" i="1" s="1"/>
  <c r="F437" i="1"/>
  <c r="F440" i="1" s="1"/>
  <c r="F443" i="1" s="1"/>
  <c r="F446" i="1" s="1"/>
  <c r="F449" i="1" s="1"/>
  <c r="F452" i="1" s="1"/>
  <c r="F455" i="1" s="1"/>
  <c r="F458" i="1" s="1"/>
  <c r="F461" i="1" s="1"/>
  <c r="F464" i="1" s="1"/>
  <c r="F467" i="1" s="1"/>
  <c r="F470" i="1" s="1"/>
  <c r="F473" i="1" s="1"/>
  <c r="F476" i="1" s="1"/>
  <c r="F479" i="1" s="1"/>
  <c r="F482" i="1" s="1"/>
  <c r="F485" i="1" s="1"/>
  <c r="F436" i="1"/>
  <c r="F439" i="1" s="1"/>
  <c r="F442" i="1" s="1"/>
  <c r="F445" i="1" s="1"/>
  <c r="F448" i="1" s="1"/>
  <c r="F451" i="1" s="1"/>
  <c r="F454" i="1" s="1"/>
  <c r="F457" i="1" s="1"/>
  <c r="F460" i="1" s="1"/>
  <c r="F463" i="1" s="1"/>
  <c r="F466" i="1" s="1"/>
  <c r="F469" i="1" s="1"/>
  <c r="F472" i="1" s="1"/>
  <c r="F475" i="1" s="1"/>
  <c r="F478" i="1" s="1"/>
  <c r="F481" i="1" s="1"/>
  <c r="F484" i="1" s="1"/>
  <c r="F409" i="1"/>
  <c r="F412" i="1" s="1"/>
  <c r="F415" i="1" s="1"/>
  <c r="F418" i="1" s="1"/>
  <c r="F421" i="1" s="1"/>
  <c r="F424" i="1" s="1"/>
  <c r="F427" i="1" s="1"/>
  <c r="F430" i="1" s="1"/>
  <c r="F393" i="1"/>
  <c r="F396" i="1" s="1"/>
  <c r="F399" i="1" s="1"/>
  <c r="F402" i="1" s="1"/>
  <c r="F405" i="1" s="1"/>
  <c r="F408" i="1" s="1"/>
  <c r="F411" i="1" s="1"/>
  <c r="F414" i="1" s="1"/>
  <c r="F417" i="1" s="1"/>
  <c r="F420" i="1" s="1"/>
  <c r="F423" i="1" s="1"/>
  <c r="F426" i="1" s="1"/>
  <c r="F429" i="1" s="1"/>
  <c r="F432" i="1" s="1"/>
  <c r="F435" i="1" s="1"/>
  <c r="F438" i="1" s="1"/>
  <c r="F441" i="1" s="1"/>
  <c r="F444" i="1" s="1"/>
  <c r="F447" i="1" s="1"/>
  <c r="F450" i="1" s="1"/>
  <c r="F453" i="1" s="1"/>
  <c r="F456" i="1" s="1"/>
  <c r="F459" i="1" s="1"/>
  <c r="F462" i="1" s="1"/>
  <c r="F465" i="1" s="1"/>
  <c r="F468" i="1" s="1"/>
  <c r="F392" i="1"/>
  <c r="F395" i="1" s="1"/>
  <c r="F398" i="1" s="1"/>
  <c r="F401" i="1" s="1"/>
  <c r="F404" i="1" s="1"/>
  <c r="F407" i="1" s="1"/>
  <c r="F410" i="1" s="1"/>
  <c r="F413" i="1" s="1"/>
  <c r="F416" i="1" s="1"/>
  <c r="F419" i="1" s="1"/>
  <c r="F422" i="1" s="1"/>
  <c r="F425" i="1" s="1"/>
  <c r="F428" i="1" s="1"/>
  <c r="F431" i="1" s="1"/>
  <c r="F373" i="1"/>
  <c r="F376" i="1" s="1"/>
  <c r="F379" i="1" s="1"/>
  <c r="F382" i="1" s="1"/>
  <c r="F385" i="1" s="1"/>
  <c r="F388" i="1" s="1"/>
  <c r="F391" i="1" s="1"/>
  <c r="F394" i="1" s="1"/>
  <c r="F397" i="1" s="1"/>
  <c r="F400" i="1" s="1"/>
  <c r="F403" i="1" s="1"/>
  <c r="F360" i="1"/>
  <c r="F363" i="1" s="1"/>
  <c r="F366" i="1" s="1"/>
  <c r="F369" i="1" s="1"/>
  <c r="F372" i="1" s="1"/>
  <c r="F375" i="1" s="1"/>
  <c r="F378" i="1" s="1"/>
  <c r="F381" i="1" s="1"/>
  <c r="F384" i="1" s="1"/>
  <c r="F387" i="1" s="1"/>
  <c r="F302" i="1"/>
  <c r="F305" i="1" s="1"/>
  <c r="F308" i="1" s="1"/>
  <c r="F311" i="1" s="1"/>
  <c r="F314" i="1" s="1"/>
  <c r="F317" i="1" s="1"/>
  <c r="F320" i="1" s="1"/>
  <c r="F323" i="1" s="1"/>
  <c r="F326" i="1" s="1"/>
  <c r="F329" i="1" s="1"/>
  <c r="F332" i="1" s="1"/>
  <c r="F335" i="1" s="1"/>
  <c r="F338" i="1" s="1"/>
  <c r="F341" i="1" s="1"/>
  <c r="F344" i="1" s="1"/>
  <c r="F347" i="1" s="1"/>
  <c r="F350" i="1" s="1"/>
  <c r="F353" i="1" s="1"/>
  <c r="F356" i="1" s="1"/>
  <c r="F359" i="1" s="1"/>
  <c r="F362" i="1" s="1"/>
  <c r="F365" i="1" s="1"/>
  <c r="F368" i="1" s="1"/>
  <c r="F371" i="1" s="1"/>
  <c r="F374" i="1" s="1"/>
  <c r="F377" i="1" s="1"/>
  <c r="F380" i="1" s="1"/>
  <c r="F383" i="1" s="1"/>
  <c r="F386" i="1" s="1"/>
  <c r="F265" i="1"/>
  <c r="F268" i="1" s="1"/>
  <c r="F271" i="1" s="1"/>
  <c r="F274" i="1" s="1"/>
  <c r="F277" i="1" s="1"/>
  <c r="F280" i="1" s="1"/>
  <c r="F283" i="1" s="1"/>
  <c r="F286" i="1" s="1"/>
  <c r="F289" i="1" s="1"/>
  <c r="F292" i="1" s="1"/>
  <c r="F295" i="1" s="1"/>
  <c r="F298" i="1" s="1"/>
  <c r="F301" i="1" s="1"/>
  <c r="F304" i="1" s="1"/>
  <c r="F307" i="1" s="1"/>
  <c r="F310" i="1" s="1"/>
  <c r="F313" i="1" s="1"/>
  <c r="F316" i="1" s="1"/>
  <c r="F319" i="1" s="1"/>
  <c r="F322" i="1" s="1"/>
  <c r="F325" i="1" s="1"/>
  <c r="F328" i="1" s="1"/>
  <c r="F331" i="1" s="1"/>
  <c r="F334" i="1" s="1"/>
  <c r="F337" i="1" s="1"/>
  <c r="F340" i="1" s="1"/>
  <c r="F343" i="1" s="1"/>
  <c r="F346" i="1" s="1"/>
  <c r="F349" i="1" s="1"/>
  <c r="F352" i="1" s="1"/>
  <c r="F355" i="1" s="1"/>
  <c r="F358" i="1" s="1"/>
  <c r="F361" i="1" s="1"/>
  <c r="F364" i="1" s="1"/>
  <c r="F367" i="1" s="1"/>
  <c r="F234" i="1"/>
  <c r="F237" i="1" s="1"/>
  <c r="F240" i="1" s="1"/>
  <c r="F243" i="1" s="1"/>
  <c r="F246" i="1" s="1"/>
  <c r="F249" i="1" s="1"/>
  <c r="F252" i="1" s="1"/>
  <c r="F255" i="1" s="1"/>
  <c r="F258" i="1" s="1"/>
  <c r="F261" i="1" s="1"/>
  <c r="F264" i="1" s="1"/>
  <c r="F267" i="1" s="1"/>
  <c r="F270" i="1" s="1"/>
  <c r="F273" i="1" s="1"/>
  <c r="F276" i="1" s="1"/>
  <c r="F279" i="1" s="1"/>
  <c r="F282" i="1" s="1"/>
  <c r="F285" i="1" s="1"/>
  <c r="F288" i="1" s="1"/>
  <c r="F291" i="1" s="1"/>
  <c r="F294" i="1" s="1"/>
  <c r="F297" i="1" s="1"/>
  <c r="F300" i="1" s="1"/>
  <c r="F303" i="1" s="1"/>
  <c r="F306" i="1" s="1"/>
  <c r="F309" i="1" s="1"/>
  <c r="F312" i="1" s="1"/>
  <c r="F315" i="1" s="1"/>
  <c r="F318" i="1" s="1"/>
  <c r="F321" i="1" s="1"/>
  <c r="F324" i="1" s="1"/>
  <c r="F327" i="1" s="1"/>
  <c r="F330" i="1" s="1"/>
  <c r="F333" i="1" s="1"/>
  <c r="F336" i="1" s="1"/>
  <c r="F339" i="1" s="1"/>
  <c r="F342" i="1" s="1"/>
  <c r="F345" i="1" s="1"/>
  <c r="F348" i="1" s="1"/>
  <c r="F351" i="1" s="1"/>
  <c r="F354" i="1" s="1"/>
  <c r="F180" i="1"/>
  <c r="F183" i="1" s="1"/>
  <c r="F186" i="1" s="1"/>
  <c r="F189" i="1" s="1"/>
  <c r="F192" i="1" s="1"/>
  <c r="F195" i="1" s="1"/>
  <c r="F198" i="1" s="1"/>
  <c r="F201" i="1" s="1"/>
  <c r="F204" i="1" s="1"/>
  <c r="F207" i="1" s="1"/>
  <c r="F210" i="1" s="1"/>
  <c r="F213" i="1" s="1"/>
  <c r="F216" i="1" s="1"/>
  <c r="F219" i="1" s="1"/>
  <c r="F222" i="1" s="1"/>
  <c r="F225" i="1" s="1"/>
  <c r="F228" i="1" s="1"/>
  <c r="F179" i="1"/>
  <c r="F182" i="1" s="1"/>
  <c r="F185" i="1" s="1"/>
  <c r="F188" i="1" s="1"/>
  <c r="F191" i="1" s="1"/>
  <c r="F194" i="1" s="1"/>
  <c r="F200" i="1" s="1"/>
  <c r="F203" i="1" s="1"/>
  <c r="F206" i="1" s="1"/>
  <c r="F209" i="1" s="1"/>
  <c r="F212" i="1" s="1"/>
  <c r="F215" i="1" s="1"/>
  <c r="F218" i="1" s="1"/>
  <c r="F221" i="1" s="1"/>
  <c r="F224" i="1" s="1"/>
  <c r="F227" i="1" s="1"/>
  <c r="F230" i="1" s="1"/>
  <c r="F233" i="1" s="1"/>
  <c r="F236" i="1" s="1"/>
  <c r="F239" i="1" s="1"/>
  <c r="F242" i="1" s="1"/>
  <c r="F245" i="1" s="1"/>
  <c r="F248" i="1" s="1"/>
  <c r="F251" i="1" s="1"/>
  <c r="F254" i="1" s="1"/>
  <c r="F257" i="1" s="1"/>
  <c r="F260" i="1" s="1"/>
  <c r="F263" i="1" s="1"/>
  <c r="F266" i="1" s="1"/>
  <c r="F269" i="1" s="1"/>
  <c r="F272" i="1" s="1"/>
  <c r="F275" i="1" s="1"/>
  <c r="F278" i="1" s="1"/>
  <c r="F281" i="1" s="1"/>
  <c r="F284" i="1" s="1"/>
  <c r="F287" i="1" s="1"/>
  <c r="F290" i="1" s="1"/>
  <c r="F293" i="1" s="1"/>
  <c r="F296" i="1" s="1"/>
  <c r="G7" i="1"/>
  <c r="G10" i="1" s="1"/>
  <c r="G13" i="1" s="1"/>
  <c r="G16" i="1" s="1"/>
  <c r="G19" i="1" s="1"/>
  <c r="G22" i="1" s="1"/>
  <c r="G25" i="1" s="1"/>
  <c r="G28" i="1" s="1"/>
  <c r="G31" i="1" s="1"/>
  <c r="G34" i="1" s="1"/>
  <c r="G37" i="1" s="1"/>
  <c r="G40" i="1" s="1"/>
  <c r="G43" i="1" s="1"/>
  <c r="G46" i="1" s="1"/>
  <c r="G49" i="1" s="1"/>
  <c r="G52" i="1" s="1"/>
  <c r="G55" i="1" s="1"/>
  <c r="G58" i="1" s="1"/>
  <c r="G61" i="1" s="1"/>
  <c r="G64" i="1" s="1"/>
  <c r="G67" i="1" s="1"/>
  <c r="G70" i="1" s="1"/>
  <c r="G73" i="1" s="1"/>
  <c r="G76" i="1" s="1"/>
  <c r="G79" i="1" s="1"/>
  <c r="G82" i="1" s="1"/>
  <c r="G85" i="1" s="1"/>
  <c r="G88" i="1" s="1"/>
  <c r="G91" i="1" s="1"/>
  <c r="G94" i="1" s="1"/>
  <c r="G97" i="1" s="1"/>
  <c r="G100" i="1" s="1"/>
  <c r="G103" i="1" s="1"/>
  <c r="G106" i="1" s="1"/>
  <c r="G109" i="1" s="1"/>
  <c r="G112" i="1" s="1"/>
  <c r="G115" i="1" s="1"/>
  <c r="G118" i="1" s="1"/>
  <c r="G121" i="1" s="1"/>
  <c r="G124" i="1" s="1"/>
  <c r="G127" i="1" s="1"/>
  <c r="G130" i="1" s="1"/>
  <c r="G133" i="1" s="1"/>
  <c r="G136" i="1" s="1"/>
  <c r="G139" i="1" s="1"/>
  <c r="G6" i="1"/>
  <c r="G9" i="1" s="1"/>
  <c r="G12" i="1" s="1"/>
  <c r="G15" i="1" s="1"/>
  <c r="G18" i="1" s="1"/>
  <c r="G21" i="1" s="1"/>
  <c r="G24" i="1" s="1"/>
  <c r="G27" i="1" s="1"/>
  <c r="G30" i="1" s="1"/>
  <c r="G33" i="1" s="1"/>
  <c r="G36" i="1" s="1"/>
  <c r="G39" i="1" s="1"/>
  <c r="G42" i="1" s="1"/>
  <c r="G45" i="1" s="1"/>
  <c r="G48" i="1" s="1"/>
  <c r="G51" i="1" s="1"/>
  <c r="G54" i="1" s="1"/>
  <c r="G57" i="1" s="1"/>
  <c r="G60" i="1" s="1"/>
  <c r="G63" i="1" s="1"/>
  <c r="G66" i="1" s="1"/>
  <c r="G69" i="1" s="1"/>
  <c r="G72" i="1" s="1"/>
  <c r="G75" i="1" s="1"/>
  <c r="G78" i="1" s="1"/>
  <c r="G81" i="1" s="1"/>
  <c r="G84" i="1" s="1"/>
  <c r="G87" i="1" s="1"/>
  <c r="G90" i="1" s="1"/>
  <c r="G93" i="1" s="1"/>
  <c r="G96" i="1" s="1"/>
  <c r="G99" i="1" s="1"/>
  <c r="G102" i="1" s="1"/>
  <c r="G105" i="1" s="1"/>
  <c r="G108" i="1" s="1"/>
  <c r="G111" i="1" s="1"/>
  <c r="G114" i="1" s="1"/>
  <c r="G117" i="1" s="1"/>
  <c r="G120" i="1" s="1"/>
  <c r="G123" i="1" s="1"/>
  <c r="G126" i="1" s="1"/>
  <c r="G129" i="1" s="1"/>
  <c r="G132" i="1" s="1"/>
  <c r="G135" i="1" s="1"/>
  <c r="G138" i="1" s="1"/>
  <c r="G5" i="1"/>
  <c r="G8" i="1" s="1"/>
  <c r="G11" i="1" s="1"/>
  <c r="G14" i="1" s="1"/>
  <c r="G17" i="1" s="1"/>
  <c r="G20" i="1" s="1"/>
  <c r="G23" i="1" s="1"/>
  <c r="G26" i="1" s="1"/>
  <c r="G29" i="1" s="1"/>
  <c r="G32" i="1" s="1"/>
  <c r="G35" i="1" s="1"/>
  <c r="G38" i="1" s="1"/>
  <c r="G41" i="1" s="1"/>
  <c r="G44" i="1" s="1"/>
  <c r="G47" i="1" s="1"/>
  <c r="G50" i="1" s="1"/>
  <c r="G53" i="1" s="1"/>
  <c r="G56" i="1" s="1"/>
  <c r="G59" i="1" s="1"/>
  <c r="G62" i="1" s="1"/>
  <c r="G65" i="1" s="1"/>
  <c r="G68" i="1" s="1"/>
  <c r="G71" i="1" s="1"/>
  <c r="G74" i="1" s="1"/>
  <c r="G77" i="1" s="1"/>
  <c r="G80" i="1" s="1"/>
  <c r="G83" i="1" s="1"/>
  <c r="G86" i="1" s="1"/>
  <c r="G89" i="1" s="1"/>
  <c r="G92" i="1" s="1"/>
  <c r="G95" i="1" s="1"/>
  <c r="G98" i="1" s="1"/>
  <c r="G101" i="1" s="1"/>
  <c r="G104" i="1" s="1"/>
  <c r="G107" i="1" s="1"/>
  <c r="G110" i="1" s="1"/>
  <c r="G113" i="1" s="1"/>
  <c r="G116" i="1" s="1"/>
  <c r="G119" i="1" s="1"/>
  <c r="G122" i="1" s="1"/>
  <c r="G125" i="1" s="1"/>
  <c r="G128" i="1" s="1"/>
  <c r="G131" i="1" s="1"/>
  <c r="G134" i="1" s="1"/>
  <c r="G137" i="1" s="1"/>
  <c r="G140" i="1" s="1"/>
  <c r="G143" i="1" s="1"/>
  <c r="G146" i="1" s="1"/>
  <c r="G149" i="1" s="1"/>
  <c r="G152" i="1" s="1"/>
  <c r="G155" i="1" s="1"/>
  <c r="G158" i="1" s="1"/>
  <c r="G161" i="1" s="1"/>
  <c r="G164" i="1" s="1"/>
  <c r="G167" i="1" s="1"/>
  <c r="G170" i="1" s="1"/>
  <c r="G173" i="1" s="1"/>
  <c r="G178" i="1" s="1"/>
  <c r="G181" i="1" s="1"/>
  <c r="G184" i="1" s="1"/>
  <c r="G187" i="1" s="1"/>
  <c r="G190" i="1" s="1"/>
  <c r="G193" i="1" s="1"/>
  <c r="F7" i="1"/>
  <c r="F10" i="1" s="1"/>
  <c r="F13" i="1" s="1"/>
  <c r="F16" i="1" s="1"/>
  <c r="F19" i="1" s="1"/>
  <c r="F22" i="1" s="1"/>
  <c r="F25" i="1" s="1"/>
  <c r="F28" i="1" s="1"/>
  <c r="F31" i="1" s="1"/>
  <c r="F34" i="1" s="1"/>
  <c r="F37" i="1" s="1"/>
  <c r="F40" i="1" s="1"/>
  <c r="F43" i="1" s="1"/>
  <c r="F46" i="1" s="1"/>
  <c r="F49" i="1" s="1"/>
  <c r="F52" i="1" s="1"/>
  <c r="F55" i="1" s="1"/>
  <c r="F58" i="1" s="1"/>
  <c r="F61" i="1" s="1"/>
  <c r="F64" i="1" s="1"/>
  <c r="F67" i="1" s="1"/>
  <c r="F70" i="1" s="1"/>
  <c r="F73" i="1" s="1"/>
  <c r="F76" i="1" s="1"/>
  <c r="F79" i="1" s="1"/>
  <c r="F82" i="1" s="1"/>
  <c r="F85" i="1" s="1"/>
  <c r="F88" i="1" s="1"/>
  <c r="F91" i="1" s="1"/>
  <c r="F94" i="1" s="1"/>
  <c r="F97" i="1" s="1"/>
  <c r="F100" i="1" s="1"/>
  <c r="F103" i="1" s="1"/>
  <c r="F106" i="1" s="1"/>
  <c r="F109" i="1" s="1"/>
  <c r="F112" i="1" s="1"/>
  <c r="F115" i="1" s="1"/>
  <c r="F118" i="1" s="1"/>
  <c r="F121" i="1" s="1"/>
  <c r="F124" i="1" s="1"/>
  <c r="F127" i="1" s="1"/>
  <c r="F130" i="1" s="1"/>
  <c r="F133" i="1" s="1"/>
  <c r="F136" i="1" s="1"/>
  <c r="F139" i="1" s="1"/>
  <c r="F142" i="1" s="1"/>
  <c r="F145" i="1" s="1"/>
  <c r="F148" i="1" s="1"/>
  <c r="F151" i="1" s="1"/>
  <c r="F154" i="1" s="1"/>
  <c r="F157" i="1" s="1"/>
  <c r="F160" i="1" s="1"/>
  <c r="F163" i="1" s="1"/>
  <c r="F166" i="1" s="1"/>
  <c r="F169" i="1" s="1"/>
  <c r="F172" i="1" s="1"/>
  <c r="F175" i="1" s="1"/>
  <c r="F178" i="1" s="1"/>
  <c r="F181" i="1" s="1"/>
  <c r="F184" i="1" s="1"/>
  <c r="F187" i="1" s="1"/>
  <c r="F190" i="1" s="1"/>
  <c r="F193" i="1" s="1"/>
  <c r="F199" i="1" s="1"/>
  <c r="F202" i="1" s="1"/>
  <c r="F205" i="1" s="1"/>
  <c r="F208" i="1" s="1"/>
  <c r="F211" i="1" s="1"/>
  <c r="F214" i="1" s="1"/>
  <c r="F217" i="1" s="1"/>
  <c r="F220" i="1" s="1"/>
  <c r="F223" i="1" s="1"/>
  <c r="F226" i="1" s="1"/>
  <c r="F229" i="1" s="1"/>
  <c r="F232" i="1" s="1"/>
  <c r="F235" i="1" s="1"/>
  <c r="F238" i="1" s="1"/>
  <c r="F241" i="1" s="1"/>
  <c r="F244" i="1" s="1"/>
  <c r="F247" i="1" s="1"/>
  <c r="F250" i="1" s="1"/>
  <c r="F253" i="1" s="1"/>
  <c r="F256" i="1" s="1"/>
  <c r="F259" i="1" s="1"/>
  <c r="F6" i="1"/>
  <c r="F5" i="1"/>
  <c r="F9" i="1" l="1"/>
  <c r="F12" i="1" s="1"/>
  <c r="F15" i="1" s="1"/>
  <c r="F18" i="1" s="1"/>
  <c r="F21" i="1" s="1"/>
  <c r="F24" i="1" s="1"/>
  <c r="F27" i="1" s="1"/>
  <c r="F30" i="1" s="1"/>
  <c r="F33" i="1" s="1"/>
  <c r="F36" i="1" s="1"/>
  <c r="F39" i="1" s="1"/>
  <c r="F42" i="1" s="1"/>
  <c r="F45" i="1" s="1"/>
  <c r="F48" i="1" s="1"/>
  <c r="F51" i="1" s="1"/>
  <c r="F54" i="1" s="1"/>
  <c r="F57" i="1" s="1"/>
  <c r="F60" i="1" s="1"/>
  <c r="F63" i="1" s="1"/>
  <c r="F66" i="1" s="1"/>
  <c r="F69" i="1" s="1"/>
  <c r="F72" i="1" s="1"/>
  <c r="F75" i="1" s="1"/>
  <c r="F78" i="1" s="1"/>
  <c r="F81" i="1" s="1"/>
  <c r="F84" i="1" s="1"/>
  <c r="F87" i="1" s="1"/>
  <c r="F90" i="1" s="1"/>
  <c r="F93" i="1" s="1"/>
  <c r="F96" i="1" s="1"/>
  <c r="F99" i="1" s="1"/>
  <c r="F102" i="1" s="1"/>
  <c r="F105" i="1" s="1"/>
  <c r="F108" i="1" s="1"/>
  <c r="F111" i="1" s="1"/>
  <c r="F114" i="1" s="1"/>
  <c r="F117" i="1" s="1"/>
  <c r="F120" i="1" s="1"/>
  <c r="F123" i="1" s="1"/>
  <c r="F126" i="1" s="1"/>
  <c r="F129" i="1" s="1"/>
  <c r="F132" i="1" s="1"/>
  <c r="F135" i="1" s="1"/>
  <c r="F138" i="1" s="1"/>
  <c r="F141" i="1" s="1"/>
  <c r="F144" i="1" s="1"/>
  <c r="F147" i="1" s="1"/>
  <c r="F150" i="1" s="1"/>
  <c r="F153" i="1" s="1"/>
  <c r="F156" i="1" s="1"/>
  <c r="F159" i="1" s="1"/>
  <c r="F162" i="1" s="1"/>
  <c r="F165" i="1" s="1"/>
  <c r="F168" i="1" s="1"/>
  <c r="F171" i="1" s="1"/>
  <c r="F174" i="1" s="1"/>
  <c r="F904" i="1"/>
  <c r="F909" i="1" s="1"/>
  <c r="F914" i="1" s="1"/>
  <c r="F903" i="1"/>
  <c r="L5" i="8"/>
  <c r="L6" i="8" s="1"/>
  <c r="L7" i="8" s="1"/>
  <c r="L8" i="8" s="1"/>
  <c r="L9" i="8" s="1"/>
  <c r="F8" i="1"/>
  <c r="G141" i="1"/>
  <c r="G142" i="1"/>
  <c r="G145" i="1" s="1"/>
  <c r="G148" i="1" s="1"/>
  <c r="G151" i="1" s="1"/>
  <c r="G154" i="1" s="1"/>
  <c r="G157" i="1" s="1"/>
  <c r="G160" i="1" s="1"/>
  <c r="G163" i="1" s="1"/>
  <c r="G166" i="1" s="1"/>
  <c r="G169" i="1" s="1"/>
  <c r="G172" i="1" s="1"/>
  <c r="G175" i="1" s="1"/>
  <c r="G180" i="1" s="1"/>
  <c r="G183" i="1" s="1"/>
  <c r="G186" i="1" s="1"/>
  <c r="G189" i="1" s="1"/>
  <c r="G192" i="1" s="1"/>
  <c r="G195" i="1" s="1"/>
  <c r="F907" i="1" l="1"/>
  <c r="F912" i="1" s="1"/>
  <c r="F917" i="1" s="1"/>
  <c r="F922" i="1" s="1"/>
  <c r="F908" i="1"/>
  <c r="F913" i="1" s="1"/>
  <c r="F918" i="1" s="1"/>
  <c r="F911" i="1"/>
  <c r="F11" i="1"/>
  <c r="G144" i="1"/>
  <c r="F916" i="1" l="1"/>
  <c r="F921" i="1" s="1"/>
  <c r="F915" i="1"/>
  <c r="F14" i="1"/>
  <c r="G147" i="1"/>
  <c r="F920" i="1" l="1"/>
  <c r="F919" i="1"/>
  <c r="F17" i="1"/>
  <c r="G150" i="1"/>
  <c r="F20" i="1" l="1"/>
  <c r="G153" i="1"/>
  <c r="F23" i="1" l="1"/>
  <c r="G156" i="1"/>
  <c r="F26" i="1" l="1"/>
  <c r="G159" i="1"/>
  <c r="F29" i="1" l="1"/>
  <c r="G162" i="1"/>
  <c r="F32" i="1" l="1"/>
  <c r="G165" i="1"/>
  <c r="F35" i="1" l="1"/>
  <c r="G168" i="1"/>
  <c r="F38" i="1" l="1"/>
  <c r="G171" i="1"/>
  <c r="F41" i="1" l="1"/>
  <c r="G174" i="1"/>
  <c r="F44" i="1" l="1"/>
  <c r="G179" i="1"/>
  <c r="F47" i="1" l="1"/>
  <c r="G182" i="1"/>
  <c r="F50" i="1" l="1"/>
  <c r="G185" i="1"/>
  <c r="F53" i="1" l="1"/>
  <c r="G188" i="1"/>
  <c r="F56" i="1" l="1"/>
  <c r="G191" i="1"/>
  <c r="F59" i="1" l="1"/>
  <c r="G194" i="1"/>
  <c r="F62" i="1" l="1"/>
  <c r="F65" i="1" l="1"/>
  <c r="F68" i="1" l="1"/>
  <c r="F71" i="1" l="1"/>
  <c r="F74" i="1" l="1"/>
  <c r="F77" i="1" l="1"/>
  <c r="F80" i="1" l="1"/>
  <c r="F83" i="1" l="1"/>
  <c r="F86" i="1" l="1"/>
  <c r="F89" i="1" l="1"/>
  <c r="F92" i="1" s="1"/>
  <c r="F95" i="1" s="1"/>
  <c r="F98" i="1" s="1"/>
  <c r="F101" i="1" s="1"/>
  <c r="F104" i="1" s="1"/>
  <c r="F107" i="1" s="1"/>
  <c r="F110" i="1" s="1"/>
  <c r="F113" i="1" s="1"/>
  <c r="F116" i="1" s="1"/>
  <c r="F119" i="1" s="1"/>
  <c r="F122" i="1" s="1"/>
  <c r="F125" i="1" s="1"/>
  <c r="F128" i="1" s="1"/>
  <c r="F131" i="1" s="1"/>
  <c r="F134" i="1" s="1"/>
  <c r="F137" i="1" s="1"/>
  <c r="F140" i="1" s="1"/>
  <c r="F143" i="1" s="1"/>
  <c r="F146" i="1" s="1"/>
  <c r="F149" i="1" s="1"/>
  <c r="F152" i="1" s="1"/>
  <c r="F155" i="1" s="1"/>
  <c r="F158" i="1" s="1"/>
  <c r="F161" i="1" s="1"/>
  <c r="F164" i="1" s="1"/>
  <c r="F167" i="1" s="1"/>
  <c r="F170" i="1" s="1"/>
  <c r="F173" i="1" s="1"/>
  <c r="H491" i="2" l="1"/>
  <c r="G491" i="2"/>
  <c r="H492" i="2"/>
  <c r="I490" i="2"/>
  <c r="F491" i="2"/>
  <c r="I491" i="2"/>
  <c r="H490" i="2"/>
  <c r="I492" i="2"/>
  <c r="G492" i="2"/>
  <c r="F493" i="2"/>
  <c r="H493" i="2"/>
  <c r="F492" i="2"/>
  <c r="G490" i="2"/>
  <c r="F490" i="2"/>
  <c r="I493" i="2"/>
  <c r="G493" i="2"/>
  <c r="H488" i="2"/>
  <c r="I489" i="2"/>
  <c r="F488" i="2"/>
  <c r="H489" i="2"/>
  <c r="G489" i="2"/>
  <c r="I488" i="2"/>
  <c r="G488" i="2"/>
  <c r="F489" i="2"/>
  <c r="F486" i="2"/>
  <c r="I486" i="2"/>
  <c r="H486" i="2"/>
  <c r="F487" i="2"/>
  <c r="G486" i="2"/>
  <c r="I487" i="2"/>
  <c r="G487" i="2"/>
  <c r="H487" i="2"/>
  <c r="I484" i="2"/>
  <c r="G484" i="2"/>
  <c r="H484" i="2"/>
  <c r="I485" i="2"/>
  <c r="H485" i="2"/>
  <c r="G485" i="2"/>
  <c r="F484" i="2"/>
  <c r="F485" i="2"/>
  <c r="H483" i="2"/>
  <c r="H482" i="2"/>
  <c r="G483" i="2"/>
  <c r="I483" i="2"/>
  <c r="G482" i="2"/>
  <c r="I482" i="2"/>
  <c r="F482" i="2"/>
  <c r="F483" i="2"/>
  <c r="G481" i="2"/>
  <c r="F481" i="2"/>
  <c r="I481" i="2"/>
  <c r="H480" i="2"/>
  <c r="I480" i="2"/>
  <c r="G480" i="2"/>
  <c r="H481" i="2"/>
  <c r="F480" i="2"/>
  <c r="I479" i="2"/>
  <c r="H478" i="2"/>
  <c r="F478" i="2"/>
  <c r="G478" i="2"/>
  <c r="I478" i="2"/>
  <c r="F479" i="2"/>
  <c r="G479" i="2"/>
  <c r="H479" i="2"/>
  <c r="H477" i="2"/>
  <c r="F477" i="2"/>
  <c r="G477" i="2"/>
  <c r="I477" i="2"/>
  <c r="F476" i="2"/>
  <c r="H476" i="2"/>
  <c r="G476" i="2"/>
  <c r="I476" i="2"/>
  <c r="H475" i="2"/>
  <c r="G475" i="2"/>
  <c r="G474" i="2"/>
  <c r="I475" i="2"/>
  <c r="I474" i="2"/>
  <c r="H474" i="2"/>
  <c r="F474" i="2"/>
  <c r="F475" i="2"/>
  <c r="H472" i="2"/>
  <c r="I473" i="2"/>
  <c r="G472" i="2"/>
  <c r="I472" i="2"/>
  <c r="G473" i="2"/>
  <c r="F473" i="2"/>
  <c r="F472" i="2"/>
  <c r="H473" i="2"/>
  <c r="H471" i="2"/>
  <c r="I471" i="2"/>
  <c r="G470" i="2"/>
  <c r="I470" i="2"/>
  <c r="F471" i="2"/>
  <c r="G471" i="2"/>
  <c r="F470" i="2"/>
  <c r="H470" i="2"/>
  <c r="I469" i="2"/>
  <c r="H469" i="2"/>
  <c r="F469" i="2"/>
  <c r="F468" i="2"/>
  <c r="G469" i="2"/>
  <c r="H468" i="2"/>
  <c r="I468" i="2"/>
  <c r="G468" i="2"/>
  <c r="G466" i="2"/>
  <c r="F467" i="2"/>
  <c r="F465" i="2"/>
  <c r="I466" i="2"/>
  <c r="H467" i="2"/>
  <c r="G465" i="2"/>
  <c r="H466" i="2"/>
  <c r="I465" i="2"/>
  <c r="H465" i="2"/>
  <c r="G467" i="2"/>
  <c r="F466" i="2"/>
  <c r="I467" i="2"/>
  <c r="G464" i="2"/>
  <c r="I464" i="2"/>
  <c r="I463" i="2"/>
  <c r="F463" i="2"/>
  <c r="H463" i="2"/>
  <c r="H464" i="2"/>
  <c r="F464" i="2"/>
  <c r="G463" i="2"/>
  <c r="H461" i="2"/>
  <c r="I461" i="2"/>
  <c r="F462" i="2"/>
  <c r="G461" i="2"/>
  <c r="H462" i="2"/>
  <c r="G462" i="2"/>
  <c r="F461" i="2"/>
  <c r="I462" i="2"/>
  <c r="I460" i="2"/>
  <c r="F459" i="2"/>
  <c r="G460" i="2"/>
  <c r="I459" i="2"/>
  <c r="H460" i="2"/>
  <c r="F460" i="2"/>
  <c r="H459" i="2"/>
  <c r="G459" i="2"/>
  <c r="H185" i="2"/>
  <c r="H359" i="2"/>
  <c r="H363" i="2"/>
  <c r="H367" i="2"/>
  <c r="H371" i="2"/>
  <c r="H375" i="2"/>
  <c r="H396" i="2"/>
  <c r="H430" i="2"/>
  <c r="H456" i="2"/>
  <c r="H172" i="2"/>
  <c r="H200" i="2"/>
  <c r="H223" i="2"/>
  <c r="H261" i="2"/>
  <c r="H290" i="2"/>
  <c r="H407" i="2"/>
  <c r="H436" i="2"/>
  <c r="I456" i="2"/>
  <c r="H19" i="2"/>
  <c r="H29" i="2"/>
  <c r="H55" i="2"/>
  <c r="H232" i="2"/>
  <c r="H253" i="2"/>
  <c r="H92" i="2"/>
  <c r="H104" i="2"/>
  <c r="H116" i="2"/>
  <c r="H128" i="2"/>
  <c r="H139" i="2"/>
  <c r="H152" i="2"/>
  <c r="H165" i="2"/>
  <c r="H177" i="2"/>
  <c r="H189" i="2"/>
  <c r="H202" i="2"/>
  <c r="H219" i="2"/>
  <c r="H381" i="2"/>
  <c r="H409" i="2"/>
  <c r="H421" i="2"/>
  <c r="H401" i="2"/>
  <c r="H438" i="2"/>
  <c r="H306" i="2"/>
  <c r="H385" i="2"/>
  <c r="H194" i="2"/>
  <c r="H74" i="2"/>
  <c r="H292" i="2"/>
  <c r="H66" i="2"/>
  <c r="H392" i="2"/>
  <c r="H186" i="2"/>
  <c r="H249" i="2"/>
  <c r="H434" i="2"/>
  <c r="H295" i="2"/>
  <c r="H431" i="2"/>
  <c r="H240" i="2"/>
  <c r="H444" i="2"/>
  <c r="H453" i="2"/>
  <c r="H309" i="2"/>
  <c r="H357" i="2"/>
  <c r="H361" i="2"/>
  <c r="H365" i="2"/>
  <c r="H369" i="2"/>
  <c r="H373" i="2"/>
  <c r="H377" i="2"/>
  <c r="H414" i="2"/>
  <c r="H443" i="2"/>
  <c r="H6" i="2"/>
  <c r="H181" i="2"/>
  <c r="H207" i="2"/>
  <c r="H233" i="2"/>
  <c r="H271" i="2"/>
  <c r="H300" i="2"/>
  <c r="H395" i="2"/>
  <c r="H429" i="2"/>
  <c r="H454" i="2"/>
  <c r="H10" i="2"/>
  <c r="H26" i="2"/>
  <c r="H49" i="2"/>
  <c r="H67" i="2"/>
  <c r="H242" i="2"/>
  <c r="H258" i="2"/>
  <c r="H95" i="2"/>
  <c r="H107" i="2"/>
  <c r="H119" i="2"/>
  <c r="H131" i="2"/>
  <c r="H142" i="2"/>
  <c r="H154" i="2"/>
  <c r="H168" i="2"/>
  <c r="H180" i="2"/>
  <c r="H193" i="2"/>
  <c r="H222" i="2"/>
  <c r="H394" i="2"/>
  <c r="H298" i="2"/>
  <c r="H389" i="2"/>
  <c r="H424" i="2"/>
  <c r="H455" i="2"/>
  <c r="H308" i="2"/>
  <c r="H282" i="2"/>
  <c r="H423" i="2"/>
  <c r="H40" i="2"/>
  <c r="H229" i="2"/>
  <c r="H86" i="2"/>
  <c r="H450" i="2"/>
  <c r="H251" i="2"/>
  <c r="H171" i="2"/>
  <c r="I458" i="2"/>
  <c r="H408" i="2"/>
  <c r="H235" i="2"/>
  <c r="H183" i="2"/>
  <c r="H278" i="2"/>
  <c r="H417" i="2"/>
  <c r="H305" i="2"/>
  <c r="H356" i="2"/>
  <c r="H360" i="2"/>
  <c r="H364" i="2"/>
  <c r="H368" i="2"/>
  <c r="H372" i="2"/>
  <c r="H376" i="2"/>
  <c r="H406" i="2"/>
  <c r="H437" i="2"/>
  <c r="F457" i="2"/>
  <c r="H34" i="2"/>
  <c r="H225" i="2"/>
  <c r="H247" i="2"/>
  <c r="H90" i="2"/>
  <c r="H98" i="2"/>
  <c r="H110" i="2"/>
  <c r="H122" i="2"/>
  <c r="H134" i="2"/>
  <c r="H145" i="2"/>
  <c r="H157" i="2"/>
  <c r="H170" i="2"/>
  <c r="H184" i="2"/>
  <c r="H196" i="2"/>
  <c r="H211" i="2"/>
  <c r="H228" i="2"/>
  <c r="H354" i="2"/>
  <c r="H358" i="2"/>
  <c r="H362" i="2"/>
  <c r="H366" i="2"/>
  <c r="H370" i="2"/>
  <c r="H374" i="2"/>
  <c r="H386" i="2"/>
  <c r="H422" i="2"/>
  <c r="H448" i="2"/>
  <c r="H159" i="2"/>
  <c r="H191" i="2"/>
  <c r="H215" i="2"/>
  <c r="H248" i="2"/>
  <c r="H277" i="2"/>
  <c r="H4" i="2"/>
  <c r="H250" i="2"/>
  <c r="H382" i="2"/>
  <c r="H226" i="2"/>
  <c r="H439" i="2"/>
  <c r="I457" i="2"/>
  <c r="H266" i="2"/>
  <c r="H457" i="2"/>
  <c r="H400" i="2"/>
  <c r="H435" i="2"/>
  <c r="H257" i="2"/>
  <c r="H5" i="2"/>
  <c r="H419" i="2"/>
  <c r="H446" i="2"/>
  <c r="H8" i="2"/>
  <c r="H22" i="2"/>
  <c r="H41" i="2"/>
  <c r="H61" i="2"/>
  <c r="H238" i="2"/>
  <c r="H87" i="2"/>
  <c r="H101" i="2"/>
  <c r="H113" i="2"/>
  <c r="H125" i="2"/>
  <c r="H136" i="2"/>
  <c r="H148" i="2"/>
  <c r="H162" i="2"/>
  <c r="H175" i="2"/>
  <c r="H187" i="2"/>
  <c r="H199" i="2"/>
  <c r="H214" i="2"/>
  <c r="H304" i="2"/>
  <c r="H402" i="2"/>
  <c r="H182" i="2"/>
  <c r="H198" i="2"/>
  <c r="H216" i="2"/>
  <c r="H234" i="2"/>
  <c r="H39" i="2"/>
  <c r="H56" i="2"/>
  <c r="H77" i="2"/>
  <c r="H88" i="2"/>
  <c r="H100" i="2"/>
  <c r="H112" i="2"/>
  <c r="H124" i="2"/>
  <c r="H137" i="2"/>
  <c r="H355" i="2"/>
  <c r="H303" i="2"/>
  <c r="H413" i="2"/>
  <c r="H442" i="2"/>
  <c r="H52" i="2"/>
  <c r="H209" i="2"/>
  <c r="H384" i="2"/>
  <c r="H178" i="2"/>
  <c r="H51" i="2"/>
  <c r="H97" i="2"/>
  <c r="H27" i="2"/>
  <c r="H286" i="2"/>
  <c r="H30" i="2"/>
  <c r="H218" i="2"/>
  <c r="H387" i="2"/>
  <c r="H269" i="2"/>
  <c r="H452" i="2"/>
  <c r="H227" i="2"/>
  <c r="H399" i="2"/>
  <c r="H411" i="2"/>
  <c r="H163" i="2"/>
  <c r="H176" i="2"/>
  <c r="H192" i="2"/>
  <c r="H206" i="2"/>
  <c r="H221" i="2"/>
  <c r="H236" i="2"/>
  <c r="H254" i="2"/>
  <c r="H273" i="2"/>
  <c r="H393" i="2"/>
  <c r="G457" i="2"/>
  <c r="H243" i="2"/>
  <c r="H212" i="2"/>
  <c r="H403" i="2"/>
  <c r="H427" i="2"/>
  <c r="H297" i="2"/>
  <c r="H445" i="2"/>
  <c r="H379" i="2"/>
  <c r="H109" i="2"/>
  <c r="H121" i="2"/>
  <c r="H133" i="2"/>
  <c r="H146" i="2"/>
  <c r="H160" i="2"/>
  <c r="H173" i="2"/>
  <c r="H149" i="2"/>
  <c r="H197" i="2"/>
  <c r="H213" i="2"/>
  <c r="H231" i="2"/>
  <c r="H244" i="2"/>
  <c r="H262" i="2"/>
  <c r="H425" i="2"/>
  <c r="H204" i="2"/>
  <c r="H45" i="2"/>
  <c r="H458" i="2"/>
  <c r="H59" i="2"/>
  <c r="H220" i="2"/>
  <c r="H239" i="2"/>
  <c r="H43" i="2"/>
  <c r="H69" i="2"/>
  <c r="H80" i="2"/>
  <c r="H91" i="2"/>
  <c r="H103" i="2"/>
  <c r="H115" i="2"/>
  <c r="H127" i="2"/>
  <c r="H140" i="2"/>
  <c r="H151" i="2"/>
  <c r="H166" i="2"/>
  <c r="H179" i="2"/>
  <c r="H188" i="2"/>
  <c r="H203" i="2"/>
  <c r="H201" i="2"/>
  <c r="H195" i="2"/>
  <c r="H217" i="2"/>
  <c r="H37" i="2"/>
  <c r="H174" i="2"/>
  <c r="H190" i="2"/>
  <c r="H208" i="2"/>
  <c r="H224" i="2"/>
  <c r="H245" i="2"/>
  <c r="H46" i="2"/>
  <c r="H71" i="2"/>
  <c r="H83" i="2"/>
  <c r="H94" i="2"/>
  <c r="H106" i="2"/>
  <c r="H118" i="2"/>
  <c r="H130" i="2"/>
  <c r="H143" i="2"/>
  <c r="H156" i="2"/>
  <c r="H169" i="2"/>
  <c r="H210" i="2"/>
  <c r="H260" i="2"/>
  <c r="H99" i="2"/>
  <c r="H333" i="2"/>
  <c r="H36" i="2"/>
  <c r="H349" i="2"/>
  <c r="H342" i="2"/>
  <c r="H155" i="2"/>
  <c r="H23" i="2"/>
  <c r="H279" i="2"/>
  <c r="H102" i="2"/>
  <c r="H256" i="2"/>
  <c r="H12" i="2"/>
  <c r="H21" i="2"/>
  <c r="H288" i="2"/>
  <c r="H351" i="2"/>
  <c r="H340" i="2"/>
  <c r="H345" i="2"/>
  <c r="H274" i="2"/>
  <c r="H316" i="2"/>
  <c r="H339" i="2"/>
  <c r="H350" i="2"/>
  <c r="H126" i="2"/>
  <c r="H344" i="2"/>
  <c r="H416" i="2"/>
  <c r="H391" i="2"/>
  <c r="H433" i="2"/>
  <c r="H32" i="2"/>
  <c r="H53" i="2"/>
  <c r="H108" i="2"/>
  <c r="H167" i="2"/>
  <c r="H268" i="2"/>
  <c r="H405" i="2"/>
  <c r="H24" i="2"/>
  <c r="H246" i="2"/>
  <c r="H270" i="2"/>
  <c r="H426" i="2"/>
  <c r="H325" i="2"/>
  <c r="H440" i="2"/>
  <c r="H322" i="2"/>
  <c r="H348" i="2"/>
  <c r="H60" i="2"/>
  <c r="H7" i="2"/>
  <c r="H79" i="2"/>
  <c r="H70" i="2"/>
  <c r="H285" i="2"/>
  <c r="H329" i="2"/>
  <c r="H18" i="2"/>
  <c r="H280" i="2"/>
  <c r="H65" i="2"/>
  <c r="H289" i="2"/>
  <c r="H93" i="2"/>
  <c r="H164" i="2"/>
  <c r="H47" i="2"/>
  <c r="H62" i="2"/>
  <c r="H82" i="2"/>
  <c r="H153" i="2"/>
  <c r="H272" i="2"/>
  <c r="H291" i="2"/>
  <c r="H390" i="2"/>
  <c r="H418" i="2"/>
  <c r="H312" i="2"/>
  <c r="H318" i="2"/>
  <c r="H328" i="2"/>
  <c r="H335" i="2"/>
  <c r="H84" i="2"/>
  <c r="H138" i="2"/>
  <c r="H9" i="2"/>
  <c r="H33" i="2"/>
  <c r="H319" i="2"/>
  <c r="H327" i="2"/>
  <c r="H336" i="2"/>
  <c r="H346" i="2"/>
  <c r="H310" i="2"/>
  <c r="H320" i="2"/>
  <c r="H123" i="2"/>
  <c r="H314" i="2"/>
  <c r="H105" i="2"/>
  <c r="H388" i="2"/>
  <c r="H241" i="2"/>
  <c r="H114" i="2"/>
  <c r="H89" i="2"/>
  <c r="H380" i="2"/>
  <c r="H341" i="2"/>
  <c r="H299" i="2"/>
  <c r="H2" i="2"/>
  <c r="H78" i="2"/>
  <c r="H161" i="2"/>
  <c r="H28" i="2"/>
  <c r="H302" i="2"/>
  <c r="H205" i="2"/>
  <c r="H415" i="2"/>
  <c r="H397" i="2"/>
  <c r="H441" i="2"/>
  <c r="H35" i="2"/>
  <c r="H63" i="2"/>
  <c r="H120" i="2"/>
  <c r="H3" i="2"/>
  <c r="H283" i="2"/>
  <c r="H428" i="2"/>
  <c r="H230" i="2"/>
  <c r="H252" i="2"/>
  <c r="H275" i="2"/>
  <c r="H293" i="2"/>
  <c r="H85" i="2"/>
  <c r="H141" i="2"/>
  <c r="H44" i="2"/>
  <c r="H58" i="2"/>
  <c r="H73" i="2"/>
  <c r="H313" i="2"/>
  <c r="H332" i="2"/>
  <c r="H20" i="2"/>
  <c r="H331" i="2"/>
  <c r="H451" i="2"/>
  <c r="H287" i="2"/>
  <c r="H265" i="2"/>
  <c r="H25" i="2"/>
  <c r="H255" i="2"/>
  <c r="H410" i="2"/>
  <c r="H81" i="2"/>
  <c r="H237" i="2"/>
  <c r="H96" i="2"/>
  <c r="H259" i="2"/>
  <c r="H276" i="2"/>
  <c r="H296" i="2"/>
  <c r="H398" i="2"/>
  <c r="H72" i="2"/>
  <c r="H338" i="2"/>
  <c r="H383" i="2"/>
  <c r="H54" i="2"/>
  <c r="F458" i="2"/>
  <c r="G456" i="2"/>
  <c r="H420" i="2"/>
  <c r="F456" i="2"/>
  <c r="H147" i="2"/>
  <c r="H31" i="2"/>
  <c r="H284" i="2"/>
  <c r="H267" i="2"/>
  <c r="H135" i="2"/>
  <c r="H15" i="2"/>
  <c r="H352" i="2"/>
  <c r="H117" i="2"/>
  <c r="H13" i="2"/>
  <c r="H64" i="2"/>
  <c r="H307" i="2"/>
  <c r="H378" i="2"/>
  <c r="H412" i="2"/>
  <c r="G458" i="2"/>
  <c r="H42" i="2"/>
  <c r="H449" i="2"/>
  <c r="H76" i="2"/>
  <c r="H129" i="2"/>
  <c r="H264" i="2"/>
  <c r="H281" i="2"/>
  <c r="H301" i="2"/>
  <c r="H404" i="2"/>
  <c r="H432" i="2"/>
  <c r="H315" i="2"/>
  <c r="H323" i="2"/>
  <c r="H330" i="2"/>
  <c r="H337" i="2"/>
  <c r="H111" i="2"/>
  <c r="H150" i="2"/>
  <c r="H16" i="2"/>
  <c r="H311" i="2"/>
  <c r="H317" i="2"/>
  <c r="H324" i="2"/>
  <c r="H334" i="2"/>
  <c r="H343" i="2"/>
  <c r="H68" i="2"/>
  <c r="H144" i="2"/>
  <c r="H17" i="2"/>
  <c r="H447" i="2"/>
  <c r="H11" i="2"/>
  <c r="H57" i="2"/>
  <c r="H347" i="2"/>
  <c r="H263" i="2"/>
  <c r="H353" i="2"/>
  <c r="H321" i="2"/>
  <c r="H294" i="2"/>
  <c r="H75" i="2"/>
  <c r="H326" i="2"/>
  <c r="H14" i="2"/>
  <c r="H38" i="2"/>
  <c r="H48" i="2"/>
  <c r="H132" i="2"/>
  <c r="H158" i="2"/>
  <c r="H50" i="2"/>
  <c r="G454" i="2"/>
  <c r="I454" i="2"/>
  <c r="F455" i="2"/>
  <c r="F454" i="2"/>
  <c r="I455" i="2"/>
  <c r="G455" i="2"/>
  <c r="I453" i="2"/>
  <c r="G452" i="2"/>
  <c r="I452" i="2"/>
  <c r="G453" i="2"/>
  <c r="F452" i="2"/>
  <c r="F453" i="2"/>
  <c r="G450" i="2"/>
  <c r="I450" i="2"/>
  <c r="G449" i="2"/>
  <c r="G451" i="2"/>
  <c r="I451" i="2"/>
  <c r="F451" i="2"/>
  <c r="I449" i="2"/>
  <c r="F450" i="2"/>
  <c r="F449" i="2"/>
  <c r="G447" i="2"/>
  <c r="G446" i="2"/>
  <c r="F447" i="2"/>
  <c r="I448" i="2"/>
  <c r="I446" i="2"/>
  <c r="G448" i="2"/>
  <c r="F446" i="2"/>
  <c r="I447" i="2"/>
  <c r="F448" i="2"/>
  <c r="I444" i="2"/>
  <c r="G444" i="2"/>
  <c r="G445" i="2"/>
  <c r="I445" i="2"/>
  <c r="F445" i="2"/>
  <c r="F444" i="2"/>
  <c r="I441" i="2"/>
  <c r="I439" i="2"/>
  <c r="F441" i="2"/>
  <c r="I442" i="2"/>
  <c r="F443" i="2"/>
  <c r="I438" i="2"/>
  <c r="G442" i="2"/>
  <c r="G441" i="2"/>
  <c r="I440" i="2"/>
  <c r="G440" i="2"/>
  <c r="F442" i="2"/>
  <c r="G443" i="2"/>
  <c r="F440" i="2"/>
  <c r="I443" i="2"/>
  <c r="F439" i="2"/>
  <c r="G439" i="2"/>
  <c r="G438" i="2"/>
  <c r="F438" i="2"/>
  <c r="G436" i="2"/>
  <c r="I436" i="2"/>
  <c r="G437" i="2"/>
  <c r="I437" i="2"/>
  <c r="F436" i="2"/>
  <c r="F437" i="2"/>
  <c r="I435" i="2"/>
  <c r="G435" i="2"/>
  <c r="G434" i="2"/>
  <c r="I434" i="2"/>
  <c r="F435" i="2"/>
  <c r="F434" i="2"/>
  <c r="I432" i="2"/>
  <c r="I433" i="2"/>
  <c r="G432" i="2"/>
  <c r="F433" i="2"/>
  <c r="G433" i="2"/>
  <c r="F432" i="2"/>
  <c r="I431" i="2"/>
  <c r="F431" i="2"/>
  <c r="G431" i="2"/>
  <c r="I430" i="2"/>
  <c r="G430" i="2"/>
  <c r="F430" i="2"/>
  <c r="G428" i="2"/>
  <c r="F428" i="2"/>
  <c r="I428" i="2"/>
  <c r="G429" i="2"/>
  <c r="F429" i="2"/>
  <c r="I429" i="2"/>
  <c r="I427" i="2"/>
  <c r="F425" i="2"/>
  <c r="G424" i="2"/>
  <c r="F427" i="2"/>
  <c r="G425" i="2"/>
  <c r="G427" i="2"/>
  <c r="I426" i="2"/>
  <c r="I424" i="2"/>
  <c r="G426" i="2"/>
  <c r="F424" i="2"/>
  <c r="I425" i="2"/>
  <c r="F426" i="2"/>
  <c r="G423" i="2"/>
  <c r="F422" i="2"/>
  <c r="G422" i="2"/>
  <c r="I422" i="2"/>
  <c r="F423" i="2"/>
  <c r="I423" i="2"/>
  <c r="I421" i="2"/>
  <c r="G420" i="2"/>
  <c r="F420" i="2"/>
  <c r="G421" i="2"/>
  <c r="F421" i="2"/>
  <c r="I420" i="2"/>
  <c r="G418" i="2"/>
  <c r="I419" i="2"/>
  <c r="I418" i="2"/>
  <c r="F419" i="2"/>
  <c r="G419" i="2"/>
  <c r="F418" i="2"/>
  <c r="I416" i="2"/>
  <c r="G416" i="2"/>
  <c r="I417" i="2"/>
  <c r="G417" i="2"/>
  <c r="F417" i="2"/>
  <c r="F416" i="2"/>
  <c r="G415" i="2"/>
  <c r="G414" i="2"/>
  <c r="I415" i="2"/>
  <c r="I414" i="2"/>
  <c r="F415" i="2"/>
  <c r="F414" i="2"/>
  <c r="I412" i="2"/>
  <c r="F412" i="2"/>
  <c r="G413" i="2"/>
  <c r="G412" i="2"/>
  <c r="I413" i="2"/>
  <c r="F413" i="2"/>
  <c r="I409" i="2"/>
  <c r="G411" i="2"/>
  <c r="G409" i="2"/>
  <c r="G410" i="2"/>
  <c r="F411" i="2"/>
  <c r="I411" i="2"/>
  <c r="I410" i="2"/>
  <c r="F410" i="2"/>
  <c r="F409" i="2"/>
  <c r="G406" i="2"/>
  <c r="I406" i="2"/>
  <c r="I408" i="2"/>
  <c r="G407" i="2"/>
  <c r="F408" i="2"/>
  <c r="G408" i="2"/>
  <c r="F407" i="2"/>
  <c r="I407" i="2"/>
  <c r="F406" i="2"/>
  <c r="I405" i="2"/>
  <c r="I404" i="2"/>
  <c r="G405" i="2"/>
  <c r="F404" i="2"/>
  <c r="F405" i="2"/>
  <c r="G404" i="2"/>
  <c r="I403" i="2"/>
  <c r="I402" i="2"/>
  <c r="G403" i="2"/>
  <c r="G402" i="2"/>
  <c r="F403" i="2"/>
  <c r="F402" i="2"/>
  <c r="I401" i="2"/>
  <c r="G400" i="2"/>
  <c r="F400" i="2"/>
  <c r="F401" i="2"/>
  <c r="G401" i="2"/>
  <c r="I400" i="2"/>
  <c r="G399" i="2"/>
  <c r="I398" i="2"/>
  <c r="I399" i="2"/>
  <c r="F399" i="2"/>
  <c r="G398" i="2"/>
  <c r="F398" i="2"/>
  <c r="G396" i="2"/>
  <c r="G397" i="2"/>
  <c r="I396" i="2"/>
  <c r="I397" i="2"/>
  <c r="F396" i="2"/>
  <c r="F397" i="2"/>
  <c r="G395" i="2"/>
  <c r="G394" i="2"/>
  <c r="I394" i="2"/>
  <c r="I395" i="2"/>
  <c r="F394" i="2"/>
  <c r="F395" i="2"/>
  <c r="I392" i="2"/>
  <c r="G393" i="2"/>
  <c r="I393" i="2"/>
  <c r="G392" i="2"/>
  <c r="F393" i="2"/>
  <c r="F392" i="2"/>
  <c r="F365" i="2"/>
  <c r="F47" i="2"/>
  <c r="F76" i="2"/>
  <c r="F340" i="2"/>
  <c r="F40" i="2"/>
  <c r="F208" i="2"/>
  <c r="I390" i="2"/>
  <c r="F44" i="2"/>
  <c r="F325" i="2"/>
  <c r="F170" i="2"/>
  <c r="F156" i="2"/>
  <c r="F225" i="2"/>
  <c r="F329" i="2"/>
  <c r="F19" i="2"/>
  <c r="F207" i="2"/>
  <c r="F202" i="2"/>
  <c r="F200" i="2"/>
  <c r="F197" i="2"/>
  <c r="F190" i="2"/>
  <c r="F187" i="2"/>
  <c r="F185" i="2"/>
  <c r="F182" i="2"/>
  <c r="F335" i="2"/>
  <c r="F332" i="2"/>
  <c r="F331" i="2"/>
  <c r="F9" i="2"/>
  <c r="F131" i="2"/>
  <c r="F126" i="2"/>
  <c r="F114" i="2"/>
  <c r="F51" i="2"/>
  <c r="F84" i="2"/>
  <c r="F79" i="2"/>
  <c r="F75" i="2"/>
  <c r="F60" i="2"/>
  <c r="F346" i="2"/>
  <c r="F334" i="2"/>
  <c r="F212" i="2"/>
  <c r="F205" i="2"/>
  <c r="F10" i="2"/>
  <c r="F5" i="2"/>
  <c r="F159" i="2"/>
  <c r="F26" i="2"/>
  <c r="F43" i="2"/>
  <c r="F87" i="2"/>
  <c r="F73" i="2"/>
  <c r="F336" i="2"/>
  <c r="F17" i="2"/>
  <c r="F173" i="2"/>
  <c r="F312" i="2"/>
  <c r="F196" i="2"/>
  <c r="F158" i="2"/>
  <c r="F155" i="2"/>
  <c r="F152" i="2"/>
  <c r="F148" i="2"/>
  <c r="F146" i="2"/>
  <c r="F143" i="2"/>
  <c r="F140" i="2"/>
  <c r="F41" i="2"/>
  <c r="F20" i="2"/>
  <c r="F13" i="2"/>
  <c r="F49" i="2"/>
  <c r="F341" i="2"/>
  <c r="F177" i="2"/>
  <c r="F161" i="2"/>
  <c r="F320" i="2"/>
  <c r="F227" i="2"/>
  <c r="F206" i="2"/>
  <c r="F192" i="2"/>
  <c r="F181" i="2"/>
  <c r="F176" i="2"/>
  <c r="F172" i="2"/>
  <c r="F280" i="2"/>
  <c r="F164" i="2"/>
  <c r="F163" i="2"/>
  <c r="F162" i="2"/>
  <c r="F160" i="2"/>
  <c r="F364" i="2"/>
  <c r="F284" i="2"/>
  <c r="F221" i="2"/>
  <c r="F217" i="2"/>
  <c r="F273" i="2"/>
  <c r="F327" i="2"/>
  <c r="F318" i="2"/>
  <c r="F313" i="2"/>
  <c r="F276" i="2"/>
  <c r="F272" i="2"/>
  <c r="F263" i="2"/>
  <c r="F257" i="2"/>
  <c r="F241" i="2"/>
  <c r="F236" i="2"/>
  <c r="F219" i="2"/>
  <c r="F213" i="2"/>
  <c r="F375" i="2"/>
  <c r="F132" i="2"/>
  <c r="F116" i="2"/>
  <c r="F69" i="2"/>
  <c r="F58" i="2"/>
  <c r="F85" i="2"/>
  <c r="F82" i="2"/>
  <c r="F80" i="2"/>
  <c r="F78" i="2"/>
  <c r="F64" i="2"/>
  <c r="F351" i="2"/>
  <c r="F342" i="2"/>
  <c r="F382" i="2"/>
  <c r="F165" i="2"/>
  <c r="F333" i="2"/>
  <c r="F324" i="2"/>
  <c r="F286" i="2"/>
  <c r="F275" i="2"/>
  <c r="F270" i="2"/>
  <c r="F260" i="2"/>
  <c r="F248" i="2"/>
  <c r="F239" i="2"/>
  <c r="F234" i="2"/>
  <c r="F222" i="2"/>
  <c r="F46" i="2"/>
  <c r="F42" i="2"/>
  <c r="F171" i="2"/>
  <c r="F115" i="2"/>
  <c r="F67" i="2"/>
  <c r="F55" i="2"/>
  <c r="F83" i="2"/>
  <c r="F373" i="2"/>
  <c r="F201" i="2"/>
  <c r="F338" i="2"/>
  <c r="F317" i="2"/>
  <c r="F22" i="2"/>
  <c r="F330" i="2"/>
  <c r="F322" i="2"/>
  <c r="F315" i="2"/>
  <c r="F277" i="2"/>
  <c r="F274" i="2"/>
  <c r="F267" i="2"/>
  <c r="F253" i="2"/>
  <c r="F244" i="2"/>
  <c r="F231" i="2"/>
  <c r="F215" i="2"/>
  <c r="F210" i="2"/>
  <c r="F388" i="2"/>
  <c r="F168" i="2"/>
  <c r="F130" i="2"/>
  <c r="F71" i="2"/>
  <c r="F62" i="2"/>
  <c r="F86" i="2"/>
  <c r="F81" i="2"/>
  <c r="F77" i="2"/>
  <c r="F74" i="2"/>
  <c r="F356" i="2"/>
  <c r="F2" i="2"/>
  <c r="I389" i="2"/>
  <c r="F328" i="2"/>
  <c r="F167" i="2"/>
  <c r="F35" i="2"/>
  <c r="F289" i="2"/>
  <c r="F214" i="2"/>
  <c r="F154" i="2"/>
  <c r="F24" i="2"/>
  <c r="F220" i="2"/>
  <c r="F223" i="2"/>
  <c r="F151" i="2"/>
  <c r="F306" i="2"/>
  <c r="F122" i="2"/>
  <c r="F117" i="2"/>
  <c r="F139" i="2"/>
  <c r="F33" i="2"/>
  <c r="F23" i="2"/>
  <c r="F112" i="2"/>
  <c r="F105" i="2"/>
  <c r="F102" i="2"/>
  <c r="F99" i="2"/>
  <c r="F92" i="2"/>
  <c r="F89" i="2"/>
  <c r="F252" i="2"/>
  <c r="F229" i="2"/>
  <c r="F124" i="2"/>
  <c r="F150" i="2"/>
  <c r="F54" i="2"/>
  <c r="F145" i="2"/>
  <c r="F135" i="2"/>
  <c r="F133" i="2"/>
  <c r="F25" i="2"/>
  <c r="F107" i="2"/>
  <c r="F94" i="2"/>
  <c r="F250" i="2"/>
  <c r="F61" i="2"/>
  <c r="F316" i="2"/>
  <c r="F296" i="2"/>
  <c r="F189" i="2"/>
  <c r="F300" i="2"/>
  <c r="F68" i="2"/>
  <c r="F349" i="2"/>
  <c r="F326" i="2"/>
  <c r="F255" i="2"/>
  <c r="F235" i="2"/>
  <c r="F228" i="2"/>
  <c r="F91" i="2"/>
  <c r="F238" i="2"/>
  <c r="F36" i="2"/>
  <c r="F311" i="2"/>
  <c r="F246" i="2"/>
  <c r="F32" i="2"/>
  <c r="F372" i="2"/>
  <c r="F360" i="2"/>
  <c r="F389" i="2"/>
  <c r="F381" i="2"/>
  <c r="F377" i="2"/>
  <c r="F120" i="2"/>
  <c r="F52" i="2"/>
  <c r="F195" i="2"/>
  <c r="F174" i="2"/>
  <c r="F303" i="2"/>
  <c r="F294" i="2"/>
  <c r="F283" i="2"/>
  <c r="F7" i="2"/>
  <c r="F3" i="2"/>
  <c r="F385" i="2"/>
  <c r="F12" i="2"/>
  <c r="F8" i="2"/>
  <c r="F345" i="2"/>
  <c r="F298" i="2"/>
  <c r="F271" i="2"/>
  <c r="F27" i="2"/>
  <c r="I391" i="2"/>
  <c r="F256" i="2"/>
  <c r="F149" i="2"/>
  <c r="F184" i="2"/>
  <c r="F288" i="2"/>
  <c r="F319" i="2"/>
  <c r="F153" i="2"/>
  <c r="F355" i="2"/>
  <c r="F348" i="2"/>
  <c r="F309" i="2"/>
  <c r="F293" i="2"/>
  <c r="F48" i="2"/>
  <c r="F166" i="2"/>
  <c r="F291" i="2"/>
  <c r="F353" i="2"/>
  <c r="F290" i="2"/>
  <c r="F347" i="2"/>
  <c r="F323" i="2"/>
  <c r="F251" i="2"/>
  <c r="F230" i="2"/>
  <c r="F226" i="2"/>
  <c r="F368" i="2"/>
  <c r="F321" i="2"/>
  <c r="F299" i="2"/>
  <c r="F268" i="2"/>
  <c r="F266" i="2"/>
  <c r="F352" i="2"/>
  <c r="F65" i="2"/>
  <c r="F344" i="2"/>
  <c r="F16" i="2"/>
  <c r="F179" i="2"/>
  <c r="F339" i="2"/>
  <c r="F287" i="2"/>
  <c r="F28" i="2"/>
  <c r="F376" i="2"/>
  <c r="F371" i="2"/>
  <c r="F359" i="2"/>
  <c r="F369" i="2"/>
  <c r="F367" i="2"/>
  <c r="F374" i="2"/>
  <c r="F240" i="2"/>
  <c r="F218" i="2"/>
  <c r="F138" i="2"/>
  <c r="F123" i="2"/>
  <c r="F118" i="2"/>
  <c r="F57" i="2"/>
  <c r="F383" i="2"/>
  <c r="F366" i="2"/>
  <c r="F354" i="2"/>
  <c r="F305" i="2"/>
  <c r="F45" i="2"/>
  <c r="F30" i="2"/>
  <c r="F285" i="2"/>
  <c r="F249" i="2"/>
  <c r="F209" i="2"/>
  <c r="F379" i="2"/>
  <c r="F386" i="2"/>
  <c r="F247" i="2"/>
  <c r="F237" i="2"/>
  <c r="F232" i="2"/>
  <c r="F224" i="2"/>
  <c r="F216" i="2"/>
  <c r="F125" i="2"/>
  <c r="F72" i="2"/>
  <c r="F59" i="2"/>
  <c r="F258" i="2"/>
  <c r="F211" i="2"/>
  <c r="F121" i="2"/>
  <c r="F262" i="2"/>
  <c r="F198" i="2"/>
  <c r="F188" i="2"/>
  <c r="F186" i="2"/>
  <c r="F144" i="2"/>
  <c r="F128" i="2"/>
  <c r="F157" i="2"/>
  <c r="G390" i="2"/>
  <c r="G388" i="2"/>
  <c r="F264" i="2"/>
  <c r="F15" i="2"/>
  <c r="F11" i="2"/>
  <c r="F380" i="2"/>
  <c r="F358" i="2"/>
  <c r="F308" i="2"/>
  <c r="F50" i="2"/>
  <c r="F34" i="2"/>
  <c r="F269" i="2"/>
  <c r="F243" i="2"/>
  <c r="F183" i="2"/>
  <c r="F370" i="2"/>
  <c r="F203" i="2"/>
  <c r="F199" i="2"/>
  <c r="F194" i="2"/>
  <c r="F193" i="2"/>
  <c r="F180" i="2"/>
  <c r="F175" i="2"/>
  <c r="F141" i="2"/>
  <c r="F169" i="2"/>
  <c r="F391" i="2"/>
  <c r="F378" i="2"/>
  <c r="F18" i="2"/>
  <c r="F14" i="2"/>
  <c r="F242" i="2"/>
  <c r="F70" i="2"/>
  <c r="F63" i="2"/>
  <c r="F53" i="2"/>
  <c r="F362" i="2"/>
  <c r="F350" i="2"/>
  <c r="F302" i="2"/>
  <c r="F38" i="2"/>
  <c r="F295" i="2"/>
  <c r="F282" i="2"/>
  <c r="F254" i="2"/>
  <c r="F245" i="2"/>
  <c r="F191" i="2"/>
  <c r="I388" i="2"/>
  <c r="F6" i="2"/>
  <c r="F4" i="2"/>
  <c r="G389" i="2"/>
  <c r="F384" i="2"/>
  <c r="F363" i="2"/>
  <c r="F314" i="2"/>
  <c r="F310" i="2"/>
  <c r="F307" i="2"/>
  <c r="F304" i="2"/>
  <c r="F301" i="2"/>
  <c r="F297" i="2"/>
  <c r="F137" i="2"/>
  <c r="F129" i="2"/>
  <c r="F127" i="2"/>
  <c r="F31" i="2"/>
  <c r="F357" i="2"/>
  <c r="F337" i="2"/>
  <c r="F279" i="2"/>
  <c r="F278" i="2"/>
  <c r="F259" i="2"/>
  <c r="F119" i="2"/>
  <c r="F387" i="2"/>
  <c r="F292" i="2"/>
  <c r="F110" i="2"/>
  <c r="F100" i="2"/>
  <c r="F97" i="2"/>
  <c r="F390" i="2"/>
  <c r="F343" i="2"/>
  <c r="F233" i="2"/>
  <c r="F281" i="2"/>
  <c r="F361" i="2"/>
  <c r="F134" i="2"/>
  <c r="F106" i="2"/>
  <c r="F147" i="2"/>
  <c r="F39" i="2"/>
  <c r="F104" i="2"/>
  <c r="F93" i="2"/>
  <c r="F204" i="2"/>
  <c r="F37" i="2"/>
  <c r="F261" i="2"/>
  <c r="F265" i="2"/>
  <c r="F21" i="2"/>
  <c r="F95" i="2"/>
  <c r="F98" i="2"/>
  <c r="F111" i="2"/>
  <c r="F108" i="2"/>
  <c r="F101" i="2"/>
  <c r="F66" i="2"/>
  <c r="F88" i="2"/>
  <c r="F178" i="2"/>
  <c r="F56" i="2"/>
  <c r="F103" i="2"/>
  <c r="F29" i="2"/>
  <c r="F90" i="2"/>
  <c r="G391" i="2"/>
  <c r="F109" i="2"/>
  <c r="F96" i="2"/>
  <c r="F136" i="2"/>
  <c r="F142" i="2"/>
  <c r="F113" i="2"/>
  <c r="G387" i="2"/>
  <c r="I385" i="2"/>
  <c r="I386" i="2"/>
  <c r="G386" i="2"/>
  <c r="G385" i="2"/>
  <c r="I387" i="2"/>
  <c r="I384" i="2"/>
  <c r="I383" i="2"/>
  <c r="I382" i="2"/>
  <c r="G383" i="2"/>
  <c r="G384" i="2"/>
  <c r="G382" i="2"/>
  <c r="I381" i="2"/>
  <c r="I380" i="2"/>
  <c r="G380" i="2"/>
  <c r="G381" i="2"/>
  <c r="G378" i="2"/>
  <c r="I379" i="2"/>
  <c r="G379" i="2"/>
  <c r="I378" i="2"/>
  <c r="I376" i="2"/>
  <c r="I377" i="2"/>
  <c r="G376" i="2"/>
  <c r="G377" i="2"/>
  <c r="I375" i="2"/>
  <c r="G375" i="2"/>
  <c r="I374" i="2"/>
  <c r="G371" i="2"/>
  <c r="G374" i="2"/>
  <c r="I371" i="2"/>
  <c r="G373" i="2"/>
  <c r="I373" i="2"/>
  <c r="G372" i="2"/>
  <c r="I372" i="2"/>
  <c r="G368" i="2"/>
  <c r="I369" i="2"/>
  <c r="I368" i="2"/>
  <c r="G370" i="2"/>
  <c r="G369" i="2"/>
  <c r="I370" i="2"/>
  <c r="I366" i="2"/>
  <c r="I367" i="2"/>
  <c r="G366" i="2"/>
  <c r="G367" i="2"/>
  <c r="G365" i="2"/>
  <c r="I365" i="2"/>
  <c r="I364" i="2"/>
  <c r="G364" i="2"/>
  <c r="G362" i="2"/>
  <c r="I362" i="2"/>
  <c r="I363" i="2"/>
  <c r="G363" i="2"/>
  <c r="G361" i="2"/>
  <c r="G360" i="2"/>
  <c r="I361" i="2"/>
  <c r="I360" i="2"/>
  <c r="I358" i="2"/>
  <c r="I359" i="2"/>
  <c r="G359" i="2"/>
  <c r="G358" i="2"/>
  <c r="G356" i="2"/>
  <c r="G357" i="2"/>
  <c r="I356" i="2"/>
  <c r="I357" i="2"/>
  <c r="G353" i="2"/>
  <c r="G354" i="2"/>
  <c r="I353" i="2"/>
  <c r="I354" i="2"/>
  <c r="G355" i="2"/>
  <c r="I355" i="2"/>
  <c r="G351" i="2"/>
  <c r="I352" i="2"/>
  <c r="G352" i="2"/>
  <c r="I351" i="2"/>
  <c r="G349" i="2"/>
  <c r="I350" i="2"/>
  <c r="G350" i="2"/>
  <c r="I349" i="2"/>
  <c r="G347" i="2"/>
  <c r="G345" i="2"/>
  <c r="G348" i="2"/>
  <c r="I348" i="2"/>
  <c r="G346" i="2"/>
  <c r="I346" i="2"/>
  <c r="I345" i="2"/>
  <c r="I347" i="2"/>
  <c r="I343" i="2"/>
  <c r="I344" i="2"/>
  <c r="G343" i="2"/>
  <c r="G344" i="2"/>
  <c r="G339" i="2"/>
  <c r="I340" i="2"/>
  <c r="G341" i="2"/>
  <c r="G342" i="2"/>
  <c r="I341" i="2"/>
  <c r="I342" i="2"/>
  <c r="I339" i="2"/>
  <c r="G340" i="2"/>
  <c r="I337" i="2"/>
  <c r="I338" i="2"/>
  <c r="I335" i="2"/>
  <c r="G336" i="2"/>
  <c r="I336" i="2"/>
  <c r="G337" i="2"/>
  <c r="G335" i="2"/>
  <c r="G338" i="2"/>
  <c r="G333" i="2"/>
  <c r="I333" i="2"/>
  <c r="I334" i="2"/>
  <c r="G334" i="2"/>
  <c r="G331" i="2"/>
  <c r="I331" i="2"/>
  <c r="G332" i="2"/>
  <c r="I332" i="2"/>
  <c r="I329" i="2"/>
  <c r="G329" i="2"/>
  <c r="I330" i="2"/>
  <c r="G330" i="2"/>
  <c r="G326" i="2"/>
  <c r="I326" i="2"/>
  <c r="G327" i="2"/>
  <c r="G328" i="2"/>
  <c r="I327" i="2"/>
  <c r="I328" i="2"/>
  <c r="I325" i="2"/>
  <c r="G325" i="2"/>
  <c r="I324" i="2"/>
  <c r="G324" i="2"/>
  <c r="I321" i="2"/>
  <c r="I323" i="2"/>
  <c r="G323" i="2"/>
  <c r="G322" i="2"/>
  <c r="G321" i="2"/>
  <c r="I322" i="2"/>
  <c r="I320" i="2"/>
  <c r="I319" i="2"/>
  <c r="G319" i="2"/>
  <c r="G320" i="2"/>
  <c r="G318" i="2"/>
  <c r="I318" i="2"/>
  <c r="I317" i="2"/>
  <c r="G317" i="2"/>
  <c r="G315" i="2"/>
  <c r="G316" i="2"/>
  <c r="I316" i="2"/>
  <c r="I315" i="2"/>
  <c r="G313" i="2"/>
  <c r="I313" i="2"/>
  <c r="I314" i="2"/>
  <c r="G314" i="2"/>
  <c r="I311" i="2"/>
  <c r="I312" i="2"/>
  <c r="G312" i="2"/>
  <c r="G311" i="2"/>
  <c r="G309" i="2"/>
  <c r="G310" i="2"/>
  <c r="I309" i="2"/>
  <c r="I310" i="2"/>
  <c r="G307" i="2"/>
  <c r="I308" i="2"/>
  <c r="G308" i="2"/>
  <c r="I307" i="2"/>
  <c r="I304" i="2"/>
  <c r="I306" i="2"/>
  <c r="G305" i="2"/>
  <c r="G306" i="2"/>
  <c r="I305" i="2"/>
  <c r="G304" i="2"/>
  <c r="I302" i="2"/>
  <c r="I301" i="2"/>
  <c r="G303" i="2"/>
  <c r="I303" i="2"/>
  <c r="G301" i="2"/>
  <c r="G302" i="2"/>
  <c r="I299" i="2"/>
  <c r="G300" i="2"/>
  <c r="I300" i="2"/>
  <c r="G299" i="2"/>
  <c r="I298" i="2"/>
  <c r="G297" i="2"/>
  <c r="I297" i="2"/>
  <c r="G298" i="2"/>
  <c r="I295" i="2"/>
  <c r="G296" i="2"/>
  <c r="G295" i="2"/>
  <c r="I296" i="2"/>
  <c r="I293" i="2"/>
  <c r="G294" i="2"/>
  <c r="G293" i="2"/>
  <c r="I294" i="2"/>
  <c r="I292" i="2"/>
  <c r="G291" i="2"/>
  <c r="I291" i="2"/>
  <c r="G292" i="2"/>
  <c r="G289" i="2"/>
  <c r="I290" i="2"/>
  <c r="G290" i="2"/>
  <c r="I289" i="2"/>
  <c r="I288" i="2"/>
  <c r="G288" i="2"/>
  <c r="G287" i="2"/>
  <c r="I287" i="2"/>
  <c r="I286" i="2"/>
  <c r="I285" i="2"/>
  <c r="G286" i="2"/>
  <c r="G285" i="2"/>
  <c r="G283" i="2"/>
  <c r="I283" i="2"/>
  <c r="I284" i="2"/>
  <c r="G284" i="2"/>
  <c r="I282" i="2"/>
  <c r="I281" i="2"/>
  <c r="G281" i="2"/>
  <c r="G282" i="2"/>
  <c r="I279" i="2"/>
  <c r="G279" i="2"/>
  <c r="G280" i="2"/>
  <c r="I280" i="2"/>
  <c r="G278" i="2"/>
  <c r="G277" i="2"/>
  <c r="I278" i="2"/>
  <c r="I277" i="2"/>
  <c r="I275" i="2"/>
  <c r="G275" i="2"/>
  <c r="I276" i="2"/>
  <c r="G276" i="2"/>
  <c r="G273" i="2"/>
  <c r="I273" i="2"/>
  <c r="G274" i="2"/>
  <c r="I274" i="2"/>
  <c r="G271" i="2"/>
  <c r="G272" i="2"/>
  <c r="I272" i="2"/>
  <c r="I271" i="2"/>
  <c r="I269" i="2"/>
  <c r="G270" i="2"/>
  <c r="G269" i="2"/>
  <c r="I270" i="2"/>
  <c r="I267" i="2"/>
  <c r="I268" i="2"/>
  <c r="G267" i="2"/>
  <c r="G268" i="2"/>
  <c r="G265" i="2"/>
  <c r="G266" i="2"/>
  <c r="I265" i="2"/>
  <c r="I266" i="2"/>
  <c r="I263" i="2"/>
  <c r="G261" i="2"/>
  <c r="G262" i="2"/>
  <c r="G259" i="2"/>
  <c r="I260" i="2"/>
  <c r="I262" i="2"/>
  <c r="I261" i="2"/>
  <c r="G263" i="2"/>
  <c r="I257" i="2"/>
  <c r="G260" i="2"/>
  <c r="I264" i="2"/>
  <c r="I259" i="2"/>
  <c r="G257" i="2"/>
  <c r="G264" i="2"/>
  <c r="G258" i="2"/>
  <c r="I258" i="2"/>
  <c r="I255" i="2"/>
  <c r="G255" i="2"/>
  <c r="G256" i="2"/>
  <c r="I256" i="2"/>
  <c r="I252" i="2"/>
  <c r="I254" i="2"/>
  <c r="G253" i="2"/>
  <c r="G254" i="2"/>
  <c r="G252" i="2"/>
  <c r="I253" i="2"/>
  <c r="G251" i="2"/>
  <c r="G250" i="2"/>
  <c r="I250" i="2"/>
  <c r="I251" i="2"/>
  <c r="G249" i="2"/>
  <c r="I248" i="2"/>
  <c r="G248" i="2"/>
  <c r="I249" i="2"/>
  <c r="I245" i="2"/>
  <c r="I244" i="2"/>
  <c r="I247" i="2"/>
  <c r="G247" i="2"/>
  <c r="G245" i="2"/>
  <c r="I246" i="2"/>
  <c r="G246" i="2"/>
  <c r="G244" i="2"/>
  <c r="I242" i="2"/>
  <c r="G242" i="2"/>
  <c r="I243" i="2"/>
  <c r="G243" i="2"/>
  <c r="I240" i="2"/>
  <c r="G240" i="2"/>
  <c r="G241" i="2"/>
  <c r="I241" i="2"/>
  <c r="G238" i="2"/>
  <c r="G237" i="2"/>
  <c r="I239" i="2"/>
  <c r="I238" i="2"/>
  <c r="G239" i="2"/>
  <c r="I237" i="2"/>
  <c r="I236" i="2"/>
  <c r="G235" i="2"/>
  <c r="G236" i="2"/>
  <c r="G234" i="2"/>
  <c r="I234" i="2"/>
  <c r="I235" i="2"/>
  <c r="G233" i="2"/>
  <c r="G231" i="2"/>
  <c r="I233" i="2"/>
  <c r="I232" i="2"/>
  <c r="G232" i="2"/>
  <c r="I231" i="2"/>
  <c r="I228" i="2"/>
  <c r="G230" i="2"/>
  <c r="I229" i="2"/>
  <c r="G228" i="2"/>
  <c r="I230" i="2"/>
  <c r="G229" i="2"/>
  <c r="G226" i="2"/>
  <c r="G227" i="2"/>
  <c r="I226" i="2"/>
  <c r="I227" i="2"/>
  <c r="G223" i="2"/>
  <c r="G225" i="2"/>
  <c r="G224" i="2"/>
  <c r="I223" i="2"/>
  <c r="I225" i="2"/>
  <c r="I224" i="2"/>
  <c r="G222" i="2"/>
  <c r="I222" i="2"/>
  <c r="G221" i="2"/>
  <c r="I221" i="2"/>
  <c r="G220" i="2"/>
  <c r="I220" i="2"/>
  <c r="I219" i="2"/>
  <c r="G219" i="2"/>
  <c r="G218" i="2"/>
  <c r="I218" i="2"/>
  <c r="G217" i="2"/>
  <c r="I217" i="2"/>
  <c r="G216" i="2"/>
  <c r="I216" i="2"/>
  <c r="G215" i="2"/>
  <c r="I214" i="2"/>
  <c r="G214" i="2"/>
  <c r="I215" i="2"/>
  <c r="I213" i="2"/>
  <c r="G212" i="2"/>
  <c r="G213" i="2"/>
  <c r="I212" i="2"/>
  <c r="G211" i="2"/>
  <c r="I211" i="2"/>
  <c r="G210" i="2"/>
  <c r="I210" i="2"/>
  <c r="I208" i="2"/>
  <c r="I209" i="2"/>
  <c r="G209" i="2"/>
  <c r="G208" i="2"/>
  <c r="G206" i="2"/>
  <c r="I206" i="2"/>
  <c r="G207" i="2"/>
  <c r="I207" i="2"/>
  <c r="I204" i="2"/>
  <c r="G205" i="2"/>
  <c r="I205" i="2"/>
  <c r="G204" i="2"/>
  <c r="G202" i="2"/>
  <c r="I203" i="2"/>
  <c r="I202" i="2"/>
  <c r="G203" i="2"/>
  <c r="G200" i="2"/>
  <c r="I201" i="2"/>
  <c r="I200" i="2"/>
  <c r="G201" i="2"/>
  <c r="G198" i="2"/>
  <c r="I198" i="2"/>
  <c r="I199" i="2"/>
  <c r="G199" i="2"/>
  <c r="G197" i="2"/>
  <c r="I196" i="2"/>
  <c r="I197" i="2"/>
  <c r="G196" i="2"/>
  <c r="I194" i="2"/>
  <c r="G195" i="2"/>
  <c r="G194" i="2"/>
  <c r="I195" i="2"/>
  <c r="I193" i="2"/>
  <c r="G193" i="2"/>
  <c r="G192" i="2"/>
  <c r="I192" i="2"/>
  <c r="I191" i="2"/>
  <c r="I190" i="2"/>
  <c r="G191" i="2"/>
  <c r="G190" i="2"/>
  <c r="I187" i="2"/>
  <c r="G188" i="2"/>
  <c r="I188" i="2"/>
  <c r="G189" i="2"/>
  <c r="I189" i="2"/>
  <c r="G187" i="2"/>
  <c r="I184" i="2"/>
  <c r="G185" i="2"/>
  <c r="I185" i="2"/>
  <c r="G184" i="2"/>
  <c r="G186" i="2"/>
  <c r="I186" i="2"/>
  <c r="G183" i="2"/>
  <c r="G182" i="2"/>
  <c r="I183" i="2"/>
  <c r="I182" i="2"/>
  <c r="I181" i="2"/>
  <c r="G181" i="2"/>
  <c r="I179" i="2"/>
  <c r="G180" i="2"/>
  <c r="I180" i="2"/>
  <c r="I178" i="2"/>
  <c r="G178" i="2"/>
  <c r="G179" i="2"/>
  <c r="I177" i="2"/>
  <c r="I175" i="2"/>
  <c r="I176" i="2"/>
  <c r="G176" i="2"/>
  <c r="G175" i="2"/>
  <c r="G177" i="2"/>
  <c r="G174" i="2"/>
  <c r="I173" i="2"/>
  <c r="G172" i="2"/>
  <c r="I174" i="2"/>
  <c r="I172" i="2"/>
  <c r="G173" i="2"/>
  <c r="G170" i="2"/>
  <c r="I167" i="2"/>
  <c r="G171" i="2"/>
  <c r="I169" i="2"/>
  <c r="G167" i="2"/>
  <c r="I166" i="2"/>
  <c r="I165" i="2"/>
  <c r="I168" i="2"/>
  <c r="G169" i="2"/>
  <c r="G165" i="2"/>
  <c r="G168" i="2"/>
  <c r="I171" i="2"/>
  <c r="I170" i="2"/>
  <c r="G166" i="2"/>
  <c r="I164" i="2"/>
  <c r="G163" i="2"/>
  <c r="I162" i="2"/>
  <c r="I163" i="2"/>
  <c r="G162" i="2"/>
  <c r="G164" i="2"/>
  <c r="I159" i="2"/>
  <c r="I160" i="2"/>
  <c r="G161" i="2"/>
  <c r="G159" i="2"/>
  <c r="G160" i="2"/>
  <c r="I161" i="2"/>
  <c r="G156" i="2"/>
  <c r="I157" i="2"/>
  <c r="G158" i="2"/>
  <c r="G157" i="2"/>
  <c r="I156" i="2"/>
  <c r="I158" i="2"/>
  <c r="G154" i="2"/>
  <c r="I153" i="2"/>
  <c r="I154" i="2"/>
  <c r="I155" i="2"/>
  <c r="G153" i="2"/>
  <c r="G155" i="2"/>
  <c r="G151" i="2"/>
  <c r="G152" i="2"/>
  <c r="I151" i="2"/>
  <c r="I150" i="2"/>
  <c r="G150" i="2"/>
  <c r="I152" i="2"/>
  <c r="I148" i="2"/>
  <c r="G148" i="2"/>
  <c r="I149" i="2"/>
  <c r="G149" i="2"/>
  <c r="I147" i="2"/>
  <c r="G147" i="2"/>
  <c r="G146" i="2"/>
  <c r="I146" i="2"/>
  <c r="I144" i="2"/>
  <c r="G144" i="2"/>
  <c r="G145" i="2"/>
  <c r="I145" i="2"/>
  <c r="I143" i="2"/>
  <c r="G142" i="2"/>
  <c r="G143" i="2"/>
  <c r="I142" i="2"/>
  <c r="I141" i="2"/>
  <c r="G139" i="2"/>
  <c r="I139" i="2"/>
  <c r="G140" i="2"/>
  <c r="I140" i="2"/>
  <c r="G141" i="2"/>
  <c r="G137" i="2"/>
  <c r="I137" i="2"/>
  <c r="G138" i="2"/>
  <c r="I138" i="2"/>
  <c r="G135" i="2"/>
  <c r="I136" i="2"/>
  <c r="I134" i="2"/>
  <c r="G136" i="2"/>
  <c r="I135" i="2"/>
  <c r="G134" i="2"/>
  <c r="G133" i="2"/>
  <c r="G132" i="2"/>
  <c r="I133" i="2"/>
  <c r="I132" i="2"/>
  <c r="G130" i="2"/>
  <c r="G131" i="2"/>
  <c r="I130" i="2"/>
  <c r="I131" i="2"/>
  <c r="G129" i="2"/>
  <c r="I128" i="2"/>
  <c r="G128" i="2"/>
  <c r="I129" i="2"/>
  <c r="I127" i="2"/>
  <c r="G127" i="2"/>
  <c r="G125" i="2"/>
  <c r="I125" i="2"/>
  <c r="I126" i="2"/>
  <c r="G126" i="2"/>
  <c r="I124" i="2"/>
  <c r="G123" i="2"/>
  <c r="I123" i="2"/>
  <c r="G124" i="2"/>
  <c r="G122" i="2"/>
  <c r="G121" i="2"/>
  <c r="I122" i="2"/>
  <c r="I121" i="2"/>
  <c r="G120" i="2"/>
  <c r="I119" i="2"/>
  <c r="I120" i="2"/>
  <c r="G119" i="2"/>
  <c r="G117" i="2"/>
  <c r="G118" i="2"/>
  <c r="I117" i="2"/>
  <c r="I118" i="2"/>
  <c r="G116" i="2"/>
  <c r="I115" i="2"/>
  <c r="G115" i="2"/>
  <c r="I116" i="2"/>
  <c r="I113" i="2"/>
  <c r="I114" i="2"/>
  <c r="G113" i="2"/>
  <c r="G114" i="2"/>
  <c r="I104" i="2"/>
  <c r="I106" i="2"/>
  <c r="G95" i="2"/>
  <c r="I50" i="2"/>
  <c r="I81" i="2"/>
  <c r="I105" i="2"/>
  <c r="I99" i="2"/>
  <c r="I56" i="2"/>
  <c r="G29" i="2"/>
  <c r="I35" i="2"/>
  <c r="G2" i="2"/>
  <c r="G67" i="2"/>
  <c r="I100" i="2"/>
  <c r="I107" i="2"/>
  <c r="G50" i="2"/>
  <c r="I38" i="2"/>
  <c r="G23" i="2"/>
  <c r="G36" i="2"/>
  <c r="G73" i="2"/>
  <c r="I63" i="2"/>
  <c r="G94" i="2"/>
  <c r="I77" i="2"/>
  <c r="I93" i="2"/>
  <c r="I34" i="2"/>
  <c r="G33" i="2"/>
  <c r="G28" i="2"/>
  <c r="G40" i="2"/>
  <c r="G91" i="2"/>
  <c r="I54" i="2"/>
  <c r="G104" i="2"/>
  <c r="I31" i="2"/>
  <c r="I111" i="2"/>
  <c r="G87" i="2"/>
  <c r="G25" i="2"/>
  <c r="G19" i="2"/>
  <c r="I47" i="2"/>
  <c r="I17" i="2"/>
  <c r="I48" i="2"/>
  <c r="G90" i="2"/>
  <c r="I57" i="2"/>
  <c r="G12" i="2"/>
  <c r="I5" i="2"/>
  <c r="I68" i="2"/>
  <c r="G14" i="2"/>
  <c r="G82" i="2"/>
  <c r="G44" i="2"/>
  <c r="G26" i="2"/>
  <c r="G31" i="2"/>
  <c r="G5" i="2"/>
  <c r="I43" i="2"/>
  <c r="I46" i="2"/>
  <c r="G69" i="2"/>
  <c r="G9" i="2"/>
  <c r="G78" i="2"/>
  <c r="G30" i="2"/>
  <c r="I36" i="2"/>
  <c r="G88" i="2"/>
  <c r="G45" i="2"/>
  <c r="I98" i="2"/>
  <c r="G27" i="2"/>
  <c r="I25" i="2"/>
  <c r="G24" i="2"/>
  <c r="I49" i="2"/>
  <c r="I79" i="2"/>
  <c r="G39" i="2"/>
  <c r="I90" i="2"/>
  <c r="G60" i="2"/>
  <c r="G65" i="2"/>
  <c r="G98" i="2"/>
  <c r="I70" i="2"/>
  <c r="I65" i="2"/>
  <c r="G112" i="2"/>
  <c r="I74" i="2"/>
  <c r="I75" i="2"/>
  <c r="G66" i="2"/>
  <c r="I32" i="2"/>
  <c r="I42" i="2"/>
  <c r="G42" i="2"/>
  <c r="I101" i="2"/>
  <c r="G48" i="2"/>
  <c r="G107" i="2"/>
  <c r="I7" i="2"/>
  <c r="G96" i="2"/>
  <c r="I44" i="2"/>
  <c r="I12" i="2"/>
  <c r="G43" i="2"/>
  <c r="G108" i="2"/>
  <c r="G77" i="2"/>
  <c r="G109" i="2"/>
  <c r="I71" i="2"/>
  <c r="G102" i="2"/>
  <c r="I73" i="2"/>
  <c r="G38" i="2"/>
  <c r="G4" i="2"/>
  <c r="I72" i="2"/>
  <c r="G101" i="2"/>
  <c r="I66" i="2"/>
  <c r="I87" i="2"/>
  <c r="G61" i="2"/>
  <c r="G103" i="2"/>
  <c r="I10" i="2"/>
  <c r="I92" i="2"/>
  <c r="I51" i="2"/>
  <c r="G13" i="2"/>
  <c r="G81" i="2"/>
  <c r="I102" i="2"/>
  <c r="I60" i="2"/>
  <c r="I33" i="2"/>
  <c r="G6" i="2"/>
  <c r="G22" i="2"/>
  <c r="G80" i="2"/>
  <c r="G58" i="2"/>
  <c r="I95" i="2"/>
  <c r="I55" i="2"/>
  <c r="G92" i="2"/>
  <c r="I85" i="2"/>
  <c r="I58" i="2"/>
  <c r="G35" i="2"/>
  <c r="I89" i="2"/>
  <c r="I30" i="2"/>
  <c r="I11" i="2"/>
  <c r="I18" i="2"/>
  <c r="G16" i="2"/>
  <c r="G74" i="2"/>
  <c r="G99" i="2"/>
  <c r="I67" i="2"/>
  <c r="I26" i="2"/>
  <c r="G63" i="2"/>
  <c r="I22" i="2"/>
  <c r="I3" i="2"/>
  <c r="I59" i="2"/>
  <c r="G93" i="2"/>
  <c r="I64" i="2"/>
  <c r="G100" i="2"/>
  <c r="I41" i="2"/>
  <c r="G79" i="2"/>
  <c r="I19" i="2"/>
  <c r="G21" i="2"/>
  <c r="G51" i="2"/>
  <c r="I27" i="2"/>
  <c r="G15" i="2"/>
  <c r="I103" i="2"/>
  <c r="I37" i="2"/>
  <c r="I52" i="2"/>
  <c r="G32" i="2"/>
  <c r="G111" i="2"/>
  <c r="G53" i="2"/>
  <c r="G83" i="2"/>
  <c r="I80" i="2"/>
  <c r="I45" i="2"/>
  <c r="G52" i="2"/>
  <c r="I2" i="2"/>
  <c r="G46" i="2"/>
  <c r="I96" i="2"/>
  <c r="I53" i="2"/>
  <c r="I6" i="2"/>
  <c r="I91" i="2"/>
  <c r="G97" i="2"/>
  <c r="I61" i="2"/>
  <c r="I8" i="2"/>
  <c r="G59" i="2"/>
  <c r="I15" i="2"/>
  <c r="I97" i="2"/>
  <c r="I82" i="2"/>
  <c r="I23" i="2"/>
  <c r="I108" i="2"/>
  <c r="G18" i="2"/>
  <c r="G86" i="2"/>
  <c r="I4" i="2"/>
  <c r="G57" i="2"/>
  <c r="G17" i="2"/>
  <c r="G10" i="2"/>
  <c r="I16" i="2"/>
  <c r="G55" i="2"/>
  <c r="G56" i="2"/>
  <c r="G106" i="2"/>
  <c r="G47" i="2"/>
  <c r="I76" i="2"/>
  <c r="G68" i="2"/>
  <c r="I84" i="2"/>
  <c r="I88" i="2"/>
  <c r="G49" i="2"/>
  <c r="I69" i="2"/>
  <c r="I9" i="2"/>
  <c r="I109" i="2"/>
  <c r="G110" i="2"/>
  <c r="G75" i="2"/>
  <c r="G41" i="2"/>
  <c r="I86" i="2"/>
  <c r="I14" i="2"/>
  <c r="G62" i="2"/>
  <c r="G105" i="2"/>
  <c r="G71" i="2"/>
  <c r="I40" i="2"/>
  <c r="I20" i="2"/>
  <c r="G7" i="2"/>
  <c r="I112" i="2"/>
  <c r="G89" i="2"/>
  <c r="I28" i="2"/>
  <c r="G70" i="2"/>
  <c r="G84" i="2"/>
  <c r="G85" i="2"/>
  <c r="I83" i="2"/>
  <c r="I29" i="2"/>
  <c r="G8" i="2"/>
  <c r="I94" i="2"/>
  <c r="I62" i="2"/>
  <c r="G20" i="2"/>
  <c r="G76" i="2"/>
  <c r="I110" i="2"/>
  <c r="G34" i="2"/>
  <c r="G54" i="2"/>
  <c r="G64" i="2"/>
  <c r="G72" i="2"/>
  <c r="I24" i="2"/>
  <c r="I78" i="2"/>
  <c r="G11" i="2"/>
  <c r="G3" i="2"/>
  <c r="I39" i="2"/>
  <c r="I21" i="2"/>
  <c r="G37" i="2"/>
  <c r="I13" i="2"/>
  <c r="L10" i="8" l="1"/>
  <c r="L11" i="8" s="1"/>
  <c r="L12" i="8" s="1"/>
  <c r="L13" i="8" s="1"/>
  <c r="L14" i="8" s="1"/>
  <c r="L15" i="8" s="1"/>
  <c r="L16" i="8" s="1"/>
  <c r="L17" i="8" s="1"/>
  <c r="L18" i="8" s="1"/>
  <c r="L19" i="8" s="1"/>
  <c r="L20" i="8" s="1"/>
  <c r="L21" i="8" s="1"/>
  <c r="L22" i="8" s="1"/>
  <c r="L23" i="8" s="1"/>
  <c r="L24" i="8" s="1"/>
  <c r="L25" i="8" s="1"/>
  <c r="L26" i="8" s="1"/>
  <c r="L27" i="8" s="1"/>
  <c r="L28" i="8" s="1"/>
  <c r="L29" i="8" s="1"/>
  <c r="L30" i="8" s="1"/>
  <c r="L31" i="8" s="1"/>
  <c r="L32" i="8" s="1"/>
  <c r="L33" i="8" s="1"/>
  <c r="L34" i="8" s="1"/>
  <c r="L35" i="8" s="1"/>
  <c r="L36" i="8" s="1"/>
  <c r="L37" i="8" s="1"/>
  <c r="L38" i="8" s="1"/>
  <c r="L39" i="8" s="1"/>
  <c r="L40" i="8" s="1"/>
  <c r="L41" i="8" s="1"/>
  <c r="L42" i="8" s="1"/>
  <c r="L43" i="8" s="1"/>
  <c r="L44" i="8" s="1"/>
  <c r="L45" i="8" s="1"/>
  <c r="L46" i="8" s="1"/>
  <c r="L47" i="8" s="1"/>
  <c r="L48" i="8" s="1"/>
  <c r="L49" i="8" s="1"/>
  <c r="L50" i="8" s="1"/>
  <c r="L51" i="8" s="1"/>
  <c r="L52" i="8" s="1"/>
  <c r="L53" i="8" s="1"/>
  <c r="L54" i="8" s="1"/>
  <c r="L55" i="8" s="1"/>
  <c r="L56" i="8" s="1"/>
  <c r="L57" i="8" s="1"/>
  <c r="L58" i="8" s="1"/>
  <c r="L59" i="8" s="1"/>
  <c r="L60" i="8" s="1"/>
  <c r="L61" i="8" s="1"/>
  <c r="L62" i="8" s="1"/>
  <c r="L63" i="8" s="1"/>
  <c r="L64" i="8" s="1"/>
  <c r="L65" i="8" s="1"/>
  <c r="L66" i="8" s="1"/>
  <c r="L67" i="8" s="1"/>
  <c r="L68" i="8" s="1"/>
  <c r="L69" i="8" s="1"/>
  <c r="L70" i="8" s="1"/>
  <c r="L71" i="8" s="1"/>
  <c r="L72" i="8" s="1"/>
  <c r="L73" i="8" s="1"/>
  <c r="L74" i="8" s="1"/>
  <c r="L75" i="8" s="1"/>
  <c r="L76" i="8" s="1"/>
  <c r="L77" i="8" s="1"/>
  <c r="L78" i="8" s="1"/>
  <c r="L79" i="8" s="1"/>
  <c r="L80" i="8" s="1"/>
  <c r="L81" i="8" s="1"/>
  <c r="L82" i="8" s="1"/>
  <c r="L83" i="8" s="1"/>
  <c r="L84" i="8" s="1"/>
  <c r="L85" i="8" s="1"/>
  <c r="L86" i="8" s="1"/>
  <c r="L87" i="8" s="1"/>
  <c r="L88" i="8" s="1"/>
  <c r="L89" i="8" s="1"/>
  <c r="L90" i="8" s="1"/>
  <c r="L91" i="8" s="1"/>
  <c r="L92" i="8" s="1"/>
  <c r="L93" i="8" s="1"/>
  <c r="L94" i="8" s="1"/>
  <c r="L95" i="8" s="1"/>
  <c r="L96" i="8" s="1"/>
  <c r="L97" i="8" s="1"/>
  <c r="L98" i="8" s="1"/>
  <c r="L99" i="8" s="1"/>
  <c r="L100" i="8" s="1"/>
  <c r="L101" i="8" s="1"/>
  <c r="L102" i="8" s="1"/>
  <c r="L103" i="8" s="1"/>
  <c r="L104" i="8" s="1"/>
  <c r="L105" i="8" s="1"/>
  <c r="L106" i="8" s="1"/>
  <c r="L107" i="8" s="1"/>
  <c r="L108" i="8" s="1"/>
  <c r="L109" i="8" s="1"/>
  <c r="L110" i="8" s="1"/>
  <c r="L111" i="8" s="1"/>
  <c r="L112" i="8" s="1"/>
  <c r="L113" i="8" s="1"/>
  <c r="L114" i="8" s="1"/>
  <c r="L115" i="8" s="1"/>
  <c r="L116" i="8" s="1"/>
  <c r="L117" i="8" s="1"/>
  <c r="L118" i="8" s="1"/>
  <c r="L119" i="8" s="1"/>
  <c r="L120" i="8" s="1"/>
  <c r="L121" i="8" s="1"/>
  <c r="L122" i="8" s="1"/>
  <c r="L123" i="8" s="1"/>
  <c r="L124" i="8" s="1"/>
  <c r="L125" i="8" s="1"/>
  <c r="L126" i="8" s="1"/>
  <c r="L127" i="8" s="1"/>
  <c r="L128" i="8" s="1"/>
  <c r="L129" i="8" s="1"/>
  <c r="L130" i="8" s="1"/>
  <c r="L131" i="8" s="1"/>
  <c r="L132" i="8" s="1"/>
  <c r="L133" i="8" s="1"/>
  <c r="L134" i="8" s="1"/>
  <c r="L135" i="8" s="1"/>
  <c r="L136" i="8" s="1"/>
  <c r="L137" i="8" s="1"/>
  <c r="L138" i="8" s="1"/>
  <c r="L139" i="8" s="1"/>
  <c r="L140" i="8" s="1"/>
  <c r="L141" i="8" s="1"/>
  <c r="L142" i="8" s="1"/>
  <c r="L143" i="8" s="1"/>
  <c r="L144" i="8" s="1"/>
  <c r="L145" i="8" s="1"/>
  <c r="L146" i="8" s="1"/>
  <c r="L147" i="8" s="1"/>
  <c r="L148" i="8" s="1"/>
  <c r="L149" i="8" s="1"/>
  <c r="L150" i="8" s="1"/>
  <c r="L151" i="8" s="1"/>
  <c r="L152" i="8" s="1"/>
  <c r="L153" i="8" s="1"/>
  <c r="L154" i="8" s="1"/>
  <c r="L155" i="8" s="1"/>
  <c r="L156" i="8" s="1"/>
  <c r="L157" i="8" s="1"/>
  <c r="L158" i="8" s="1"/>
  <c r="L159" i="8" s="1"/>
  <c r="L160" i="8" s="1"/>
  <c r="L161" i="8" s="1"/>
  <c r="L162" i="8" s="1"/>
  <c r="L163" i="8" s="1"/>
  <c r="L164" i="8" s="1"/>
  <c r="L165" i="8" s="1"/>
  <c r="L166" i="8" s="1"/>
  <c r="L167" i="8" s="1"/>
  <c r="L168" i="8" s="1"/>
  <c r="L169" i="8" s="1"/>
  <c r="L170" i="8" s="1"/>
  <c r="L171" i="8" s="1"/>
  <c r="L172" i="8" s="1"/>
  <c r="L173" i="8" s="1"/>
  <c r="L174" i="8" s="1"/>
  <c r="L175" i="8" s="1"/>
  <c r="L176" i="8" s="1"/>
  <c r="L177" i="8" s="1"/>
  <c r="L178" i="8" s="1"/>
  <c r="L179" i="8" s="1"/>
  <c r="L180" i="8" s="1"/>
  <c r="L181" i="8" s="1"/>
  <c r="L182" i="8" s="1"/>
  <c r="L183" i="8" s="1"/>
  <c r="L184" i="8" s="1"/>
  <c r="L185" i="8" s="1"/>
  <c r="L186" i="8" s="1"/>
  <c r="L187" i="8" s="1"/>
  <c r="L188" i="8" s="1"/>
  <c r="L189" i="8" s="1"/>
  <c r="L190" i="8" s="1"/>
  <c r="L191" i="8" s="1"/>
  <c r="L192" i="8" s="1"/>
  <c r="L193" i="8" s="1"/>
  <c r="L194" i="8" s="1"/>
  <c r="L195" i="8" s="1"/>
  <c r="L196" i="8" s="1"/>
  <c r="L197" i="8" s="1"/>
  <c r="L198" i="8" s="1"/>
  <c r="L199" i="8" s="1"/>
  <c r="L200" i="8" s="1"/>
  <c r="L201" i="8" s="1"/>
  <c r="L202" i="8" s="1"/>
  <c r="L203" i="8" s="1"/>
  <c r="L204" i="8" s="1"/>
  <c r="L205"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A22A4E-ADB2-0947-A1DB-0DB0F9FA4F85}" keepAlive="1" name="Query - Convert to Clutch" description="Connection to the 'Convert to Clutch' query in the workbook." type="5" refreshedVersion="8" background="1" saveData="1">
    <dbPr connection="Provider=Microsoft.Mashup.OleDb.1;Data Source=$Workbook$;Location=&quot;Convert to Clutch&quot;;Extended Properties=&quot;&quot;" command="SELECT * FROM [Convert to Clutch]"/>
  </connection>
  <connection id="2" xr16:uid="{FFFD6343-F638-744C-92B7-966BDD997957}" keepAlive="1" name="Query - Convert to Games(1)" description="Connection to the 'Convert to Games' query in the workbook." type="5" refreshedVersion="8" background="1" saveData="1">
    <dbPr connection="Provider=Microsoft.Mashup.OleDb.1;Data Source=$Workbook$;Location=&quot;Convert to Games&quot;;Extended Properties=&quot;&quot;" command="SELECT * FROM [Convert to Games]"/>
  </connection>
  <connection id="3" xr16:uid="{901C9098-1157-1A4F-8E30-E2BC67C07E17}" keepAlive="1" name="Query - Convert to Records" description="Connection to the 'Convert to Records' query in the workbook." type="5" refreshedVersion="8" background="1" saveData="1">
    <dbPr connection="Provider=Microsoft.Mashup.OleDb.1;Data Source=$Workbook$;Location=&quot;Convert to Records&quot;;Extended Properties=&quot;&quot;" command="SELECT * FROM [Convert to Records]"/>
  </connection>
  <connection id="4" xr16:uid="{26F82F47-C97B-6A42-9B02-D8391CCB683D}" keepAlive="1" name="Query - max_score" description="Connection to the 'max_score' query in the workbook." type="5" refreshedVersion="8" background="1" saveData="1">
    <dbPr connection="Provider=Microsoft.Mashup.OleDb.1;Data Source=$Workbook$;Location=max_score;Extended Properties=&quot;&quot;" command="SELECT * FROM [max_score]"/>
  </connection>
</connections>
</file>

<file path=xl/sharedStrings.xml><?xml version="1.0" encoding="utf-8"?>
<sst xmlns="http://schemas.openxmlformats.org/spreadsheetml/2006/main" count="15385" uniqueCount="125">
  <si>
    <t>Date</t>
  </si>
  <si>
    <t>Game</t>
  </si>
  <si>
    <t>Round</t>
  </si>
  <si>
    <t>Order</t>
  </si>
  <si>
    <t>Caleb</t>
  </si>
  <si>
    <t>Joshua</t>
  </si>
  <si>
    <t>Quadri</t>
  </si>
  <si>
    <t>Daniel</t>
  </si>
  <si>
    <t>CJQ</t>
  </si>
  <si>
    <t>JC</t>
  </si>
  <si>
    <t>QJC</t>
  </si>
  <si>
    <t>CJ</t>
  </si>
  <si>
    <t>DCJ</t>
  </si>
  <si>
    <t>CJD</t>
  </si>
  <si>
    <t>DJC</t>
  </si>
  <si>
    <t>JCQ</t>
  </si>
  <si>
    <t>magnet</t>
  </si>
  <si>
    <t>bad magnet</t>
  </si>
  <si>
    <t>no magnet</t>
  </si>
  <si>
    <t>high</t>
  </si>
  <si>
    <t>mid</t>
  </si>
  <si>
    <t>low</t>
  </si>
  <si>
    <t>Total</t>
  </si>
  <si>
    <t>Veronica</t>
  </si>
  <si>
    <t>CJV</t>
  </si>
  <si>
    <t>vertical</t>
  </si>
  <si>
    <t>flat</t>
  </si>
  <si>
    <t>JD</t>
  </si>
  <si>
    <t>QJCDY</t>
  </si>
  <si>
    <t>Qianzi</t>
  </si>
  <si>
    <t>JCK</t>
  </si>
  <si>
    <t>Kenny</t>
  </si>
  <si>
    <t>CJK</t>
  </si>
  <si>
    <t>JCD</t>
  </si>
  <si>
    <t>QJ</t>
  </si>
  <si>
    <t>Player</t>
  </si>
  <si>
    <t>Board Hits</t>
  </si>
  <si>
    <t>Land</t>
  </si>
  <si>
    <t>Grand Total</t>
  </si>
  <si>
    <t>Games</t>
  </si>
  <si>
    <t>Landing</t>
  </si>
  <si>
    <t>Hits</t>
  </si>
  <si>
    <t>Throws</t>
  </si>
  <si>
    <t>Accuracy</t>
  </si>
  <si>
    <t>Players</t>
  </si>
  <si>
    <t>Touch</t>
  </si>
  <si>
    <t>Average of Caleb</t>
  </si>
  <si>
    <t>Average of Joshua</t>
  </si>
  <si>
    <t>Average of Quadri</t>
  </si>
  <si>
    <t>Average of Daniel</t>
  </si>
  <si>
    <t>Average of Qianzi</t>
  </si>
  <si>
    <t>Average of Kenny</t>
  </si>
  <si>
    <t>Average of Veronica</t>
  </si>
  <si>
    <t>Points</t>
  </si>
  <si>
    <t>Accuracy - Board Hits per Throw</t>
  </si>
  <si>
    <t>Touch - Landing per Board Hit</t>
  </si>
  <si>
    <t>Land Rate</t>
  </si>
  <si>
    <t>QCJ</t>
  </si>
  <si>
    <t>CD</t>
  </si>
  <si>
    <t>CJQD</t>
  </si>
  <si>
    <t>Efficiency</t>
  </si>
  <si>
    <t>Efficiency - Points per Landing</t>
  </si>
  <si>
    <t>JDC</t>
  </si>
  <si>
    <t>Height</t>
  </si>
  <si>
    <t>PPT</t>
  </si>
  <si>
    <t>First</t>
  </si>
  <si>
    <t>Row Labels</t>
  </si>
  <si>
    <t>Success</t>
  </si>
  <si>
    <t>Success Rate</t>
  </si>
  <si>
    <t>JVC</t>
  </si>
  <si>
    <t>JCDQ</t>
  </si>
  <si>
    <t>JQ</t>
  </si>
  <si>
    <t>Total Score</t>
  </si>
  <si>
    <t>3</t>
  </si>
  <si>
    <t>Deficit</t>
  </si>
  <si>
    <t>(All)</t>
  </si>
  <si>
    <t>Opportunities</t>
  </si>
  <si>
    <t>JB</t>
  </si>
  <si>
    <t>Joseph</t>
  </si>
  <si>
    <t>Victory</t>
  </si>
  <si>
    <t>DD</t>
  </si>
  <si>
    <t>Cons DD</t>
  </si>
  <si>
    <t>OT1</t>
  </si>
  <si>
    <t>OT2</t>
  </si>
  <si>
    <t>CQJ</t>
  </si>
  <si>
    <t>Opponent</t>
  </si>
  <si>
    <t>Result</t>
  </si>
  <si>
    <t>Tie</t>
  </si>
  <si>
    <t>Loss</t>
  </si>
  <si>
    <t>Win</t>
  </si>
  <si>
    <t>Angle</t>
  </si>
  <si>
    <t>Base</t>
  </si>
  <si>
    <t>Total Games</t>
  </si>
  <si>
    <t>Win Rate</t>
  </si>
  <si>
    <t>BJC</t>
  </si>
  <si>
    <t>Ties</t>
  </si>
  <si>
    <t>Losses</t>
  </si>
  <si>
    <t>Wins</t>
  </si>
  <si>
    <t>Matchups</t>
  </si>
  <si>
    <t>Average Score</t>
  </si>
  <si>
    <t>JBC</t>
  </si>
  <si>
    <t>Average of Joseph</t>
  </si>
  <si>
    <t>Last</t>
  </si>
  <si>
    <t>BC</t>
  </si>
  <si>
    <t>BCJ</t>
  </si>
  <si>
    <t>Rounds</t>
  </si>
  <si>
    <t>JQC</t>
  </si>
  <si>
    <t>JCBQ</t>
  </si>
  <si>
    <t>CJB</t>
  </si>
  <si>
    <t>CBQ</t>
  </si>
  <si>
    <t>BQC</t>
  </si>
  <si>
    <t>CB</t>
  </si>
  <si>
    <t>PPG</t>
  </si>
  <si>
    <t>Trifecta (three 3s in a single round)</t>
  </si>
  <si>
    <t>Perfect Touch (land every board hit)</t>
  </si>
  <si>
    <t>BJ</t>
  </si>
  <si>
    <t>tape-magnet</t>
  </si>
  <si>
    <t>JCV</t>
  </si>
  <si>
    <t>JTCV</t>
  </si>
  <si>
    <t>Theo</t>
  </si>
  <si>
    <t>Average of Theo</t>
  </si>
  <si>
    <t>CQ</t>
  </si>
  <si>
    <t>Board</t>
  </si>
  <si>
    <t>Original</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</si>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</sst>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TimesNewRomanPSMT"/>
      <family val="2"/>
    </font>
    <font>
      <sz val="12"/>
      <color theme="1"/>
      <name val="Times New Roman"/>
      <family val="1"/>
    </font>
    <font>
      <sz val="8"/>
      <name val="TimesNewRomanPSMT"/>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16" fontId="1" fillId="0" borderId="0" xfId="0" applyNumberFormat="1" applyFont="1" applyAlignment="1">
      <alignment horizontal="center" vertical="center"/>
    </xf>
    <xf numFmtId="16" fontId="0" fillId="0" borderId="0" xfId="0" applyNumberFormat="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4" fontId="0" fillId="0" borderId="0" xfId="0" applyNumberFormat="1"/>
    <xf numFmtId="10" fontId="0" fillId="0" borderId="0" xfId="0" applyNumberFormat="1"/>
    <xf numFmtId="0" fontId="0" fillId="0" borderId="0" xfId="0" applyAlignment="1">
      <alignment horizontal="center"/>
    </xf>
    <xf numFmtId="0" fontId="0" fillId="0" borderId="0" xfId="0" pivotButton="1"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1" fillId="0" borderId="1" xfId="0" applyFont="1" applyBorder="1" applyAlignment="1">
      <alignment horizontal="center" vertical="center"/>
    </xf>
    <xf numFmtId="16" fontId="0" fillId="2" borderId="1" xfId="0" applyNumberFormat="1" applyFill="1" applyBorder="1" applyAlignment="1">
      <alignment horizontal="center" vertical="center"/>
    </xf>
    <xf numFmtId="0" fontId="0" fillId="0" borderId="0" xfId="0" applyNumberFormat="1" applyAlignment="1">
      <alignment horizontal="center" vertical="center"/>
    </xf>
  </cellXfs>
  <cellStyles count="1">
    <cellStyle name="Normal" xfId="0" builtinId="0"/>
  </cellStyles>
  <dxfs count="68">
    <dxf>
      <numFmt numFmtId="0" formatCode="General"/>
    </dxf>
    <dxf>
      <numFmt numFmtId="0" formatCode="General"/>
    </dxf>
    <dxf>
      <numFmt numFmtId="0" formatCode="General"/>
    </dxf>
    <dxf>
      <numFmt numFmtId="19" formatCode="m/d/yy"/>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2" formatCode="0.00"/>
    </dxf>
    <dxf>
      <numFmt numFmtId="0" formatCode="General"/>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0" formatCode="General"/>
    </dxf>
    <dxf>
      <numFmt numFmtId="0" formatCode="General"/>
    </dxf>
    <dxf>
      <numFmt numFmtId="0" formatCode="General"/>
    </dxf>
    <dxf>
      <numFmt numFmtId="19" formatCode="m/d/yy"/>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dxf>
    <dxf>
      <numFmt numFmtId="2" formatCode="0.00"/>
    </dxf>
    <dxf>
      <numFmt numFmtId="2" formatCode="0.00"/>
    </dxf>
    <dxf>
      <numFmt numFmtId="21" formatCode="d\-m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dxf>
    <dxf>
      <numFmt numFmtId="2" formatCode="0.0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microsoft.com/office/2011/relationships/timelineCache" Target="timelineCaches/timeline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microsoft.com/office/2011/relationships/timelineCache" Target="timelineCaches/timeline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11/relationships/timelineCache" Target="timelineCaches/timelineCache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22</xdr:col>
      <xdr:colOff>12700</xdr:colOff>
      <xdr:row>4</xdr:row>
      <xdr:rowOff>190500</xdr:rowOff>
    </xdr:from>
    <xdr:to>
      <xdr:col>24</xdr:col>
      <xdr:colOff>558800</xdr:colOff>
      <xdr:row>17</xdr:row>
      <xdr:rowOff>168272</xdr:rowOff>
    </xdr:to>
    <mc:AlternateContent xmlns:mc="http://schemas.openxmlformats.org/markup-compatibility/2006" xmlns:a14="http://schemas.microsoft.com/office/drawing/2010/main">
      <mc:Choice Requires="a14">
        <xdr:graphicFrame macro="">
          <xdr:nvGraphicFramePr>
            <xdr:cNvPr id="3" name="Opponent">
              <a:extLst>
                <a:ext uri="{FF2B5EF4-FFF2-40B4-BE49-F238E27FC236}">
                  <a16:creationId xmlns:a16="http://schemas.microsoft.com/office/drawing/2014/main" id="{E1D2B4E7-6A47-DDBC-1330-50304C057DCC}"/>
                </a:ext>
              </a:extLst>
            </xdr:cNvPr>
            <xdr:cNvGraphicFramePr/>
          </xdr:nvGraphicFramePr>
          <xdr:xfrm>
            <a:off x="0" y="0"/>
            <a:ext cx="0" cy="0"/>
          </xdr:xfrm>
          <a:graphic>
            <a:graphicData uri="http://schemas.microsoft.com/office/drawing/2010/slicer">
              <sle:slicer xmlns:sle="http://schemas.microsoft.com/office/drawing/2010/slicer" name="Opponent"/>
            </a:graphicData>
          </a:graphic>
        </xdr:graphicFrame>
      </mc:Choice>
      <mc:Fallback xmlns="">
        <xdr:sp macro="" textlink="">
          <xdr:nvSpPr>
            <xdr:cNvPr id="0" name=""/>
            <xdr:cNvSpPr>
              <a:spLocks noTextEdit="1"/>
            </xdr:cNvSpPr>
          </xdr:nvSpPr>
          <xdr:spPr>
            <a:xfrm>
              <a:off x="12979400" y="1003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16</xdr:row>
      <xdr:rowOff>25400</xdr:rowOff>
    </xdr:from>
    <xdr:to>
      <xdr:col>22</xdr:col>
      <xdr:colOff>12700</xdr:colOff>
      <xdr:row>22</xdr:row>
      <xdr:rowOff>38100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6C59AE-5833-D541-2626-A81DD96BB02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978900" y="3276600"/>
              <a:ext cx="334010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38100</xdr:colOff>
      <xdr:row>0</xdr:row>
      <xdr:rowOff>190500</xdr:rowOff>
    </xdr:from>
    <xdr:to>
      <xdr:col>16</xdr:col>
      <xdr:colOff>469900</xdr:colOff>
      <xdr:row>25</xdr:row>
      <xdr:rowOff>190500</xdr:rowOff>
    </xdr:to>
    <mc:AlternateContent xmlns:mc="http://schemas.openxmlformats.org/markup-compatibility/2006" xmlns:a14="http://schemas.microsoft.com/office/drawing/2010/main">
      <mc:Choice Requires="a14">
        <xdr:graphicFrame macro="">
          <xdr:nvGraphicFramePr>
            <xdr:cNvPr id="2" name="Deficit">
              <a:extLst>
                <a:ext uri="{FF2B5EF4-FFF2-40B4-BE49-F238E27FC236}">
                  <a16:creationId xmlns:a16="http://schemas.microsoft.com/office/drawing/2014/main" id="{6C14BD1C-E507-4AC6-1421-FB8AA37875FA}"/>
                </a:ext>
              </a:extLst>
            </xdr:cNvPr>
            <xdr:cNvGraphicFramePr/>
          </xdr:nvGraphicFramePr>
          <xdr:xfrm>
            <a:off x="0" y="0"/>
            <a:ext cx="0" cy="0"/>
          </xdr:xfrm>
          <a:graphic>
            <a:graphicData uri="http://schemas.microsoft.com/office/drawing/2010/slicer">
              <sle:slicer xmlns:sle="http://schemas.microsoft.com/office/drawing/2010/slicer" name="Deficit"/>
            </a:graphicData>
          </a:graphic>
        </xdr:graphicFrame>
      </mc:Choice>
      <mc:Fallback xmlns="">
        <xdr:sp macro="" textlink="">
          <xdr:nvSpPr>
            <xdr:cNvPr id="0" name=""/>
            <xdr:cNvSpPr>
              <a:spLocks noTextEdit="1"/>
            </xdr:cNvSpPr>
          </xdr:nvSpPr>
          <xdr:spPr>
            <a:xfrm>
              <a:off x="9893300" y="190500"/>
              <a:ext cx="1828800" cy="469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10</xdr:row>
      <xdr:rowOff>12700</xdr:rowOff>
    </xdr:from>
    <xdr:to>
      <xdr:col>13</xdr:col>
      <xdr:colOff>355600</xdr:colOff>
      <xdr:row>16</xdr:row>
      <xdr:rowOff>50800</xdr:rowOff>
    </xdr:to>
    <mc:AlternateContent xmlns:mc="http://schemas.openxmlformats.org/markup-compatibility/2006" xmlns:tsle="http://schemas.microsoft.com/office/drawing/2012/timeslicer">
      <mc:Choice Requires="tsle">
        <xdr:graphicFrame macro="">
          <xdr:nvGraphicFramePr>
            <xdr:cNvPr id="3" name="Date 2">
              <a:extLst>
                <a:ext uri="{FF2B5EF4-FFF2-40B4-BE49-F238E27FC236}">
                  <a16:creationId xmlns:a16="http://schemas.microsoft.com/office/drawing/2014/main" id="{3B8DA25A-2216-657C-BE3F-BC0E79615CB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6705600" y="2044700"/>
              <a:ext cx="334010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12</xdr:row>
      <xdr:rowOff>17780</xdr:rowOff>
    </xdr:from>
    <xdr:to>
      <xdr:col>14</xdr:col>
      <xdr:colOff>132080</xdr:colOff>
      <xdr:row>19</xdr:row>
      <xdr:rowOff>10160</xdr:rowOff>
    </xdr:to>
    <mc:AlternateContent xmlns:mc="http://schemas.openxmlformats.org/markup-compatibility/2006" xmlns:a14="http://schemas.microsoft.com/office/drawing/2010/main">
      <mc:Choice Requires="a14">
        <xdr:graphicFrame macro="">
          <xdr:nvGraphicFramePr>
            <xdr:cNvPr id="2" name="Height">
              <a:extLst>
                <a:ext uri="{FF2B5EF4-FFF2-40B4-BE49-F238E27FC236}">
                  <a16:creationId xmlns:a16="http://schemas.microsoft.com/office/drawing/2014/main" id="{22D65280-06DE-5578-CBEB-732CCF25143E}"/>
                </a:ext>
              </a:extLst>
            </xdr:cNvPr>
            <xdr:cNvGraphicFramePr/>
          </xdr:nvGraphicFramePr>
          <xdr:xfrm>
            <a:off x="0" y="0"/>
            <a:ext cx="0" cy="0"/>
          </xdr:xfrm>
          <a:graphic>
            <a:graphicData uri="http://schemas.microsoft.com/office/drawing/2010/slicer">
              <sle:slicer xmlns:sle="http://schemas.microsoft.com/office/drawing/2010/slicer" name="Height"/>
            </a:graphicData>
          </a:graphic>
        </xdr:graphicFrame>
      </mc:Choice>
      <mc:Fallback xmlns="">
        <xdr:sp macro="" textlink="">
          <xdr:nvSpPr>
            <xdr:cNvPr id="0" name=""/>
            <xdr:cNvSpPr>
              <a:spLocks noTextEdit="1"/>
            </xdr:cNvSpPr>
          </xdr:nvSpPr>
          <xdr:spPr>
            <a:xfrm>
              <a:off x="8351520" y="2456180"/>
              <a:ext cx="1778000" cy="1414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139700</xdr:colOff>
      <xdr:row>12</xdr:row>
      <xdr:rowOff>15240</xdr:rowOff>
    </xdr:from>
    <xdr:to>
      <xdr:col>19</xdr:col>
      <xdr:colOff>76200</xdr:colOff>
      <xdr:row>18</xdr:row>
      <xdr:rowOff>53340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0FBD47FF-F303-85DE-C61E-67F07DBAB1B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137140" y="2453640"/>
              <a:ext cx="334010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0</xdr:colOff>
      <xdr:row>19</xdr:row>
      <xdr:rowOff>0</xdr:rowOff>
    </xdr:from>
    <xdr:to>
      <xdr:col>14</xdr:col>
      <xdr:colOff>152400</xdr:colOff>
      <xdr:row>24</xdr:row>
      <xdr:rowOff>193040</xdr:rowOff>
    </xdr:to>
    <mc:AlternateContent xmlns:mc="http://schemas.openxmlformats.org/markup-compatibility/2006" xmlns:a14="http://schemas.microsoft.com/office/drawing/2010/main">
      <mc:Choice Requires="a14">
        <xdr:graphicFrame macro="">
          <xdr:nvGraphicFramePr>
            <xdr:cNvPr id="5" name="Height 1">
              <a:extLst>
                <a:ext uri="{FF2B5EF4-FFF2-40B4-BE49-F238E27FC236}">
                  <a16:creationId xmlns:a16="http://schemas.microsoft.com/office/drawing/2014/main" id="{60FAAD03-A96C-EA43-8BE9-08BA6C739AC4}"/>
                </a:ext>
              </a:extLst>
            </xdr:cNvPr>
            <xdr:cNvGraphicFramePr/>
          </xdr:nvGraphicFramePr>
          <xdr:xfrm>
            <a:off x="0" y="0"/>
            <a:ext cx="0" cy="0"/>
          </xdr:xfrm>
          <a:graphic>
            <a:graphicData uri="http://schemas.microsoft.com/office/drawing/2010/slicer">
              <sle:slicer xmlns:sle="http://schemas.microsoft.com/office/drawing/2010/slicer" name="Height 1"/>
            </a:graphicData>
          </a:graphic>
        </xdr:graphicFrame>
      </mc:Choice>
      <mc:Fallback xmlns="">
        <xdr:sp macro="" textlink="">
          <xdr:nvSpPr>
            <xdr:cNvPr id="0" name=""/>
            <xdr:cNvSpPr>
              <a:spLocks noTextEdit="1"/>
            </xdr:cNvSpPr>
          </xdr:nvSpPr>
          <xdr:spPr>
            <a:xfrm>
              <a:off x="8351520" y="3860800"/>
              <a:ext cx="1798320" cy="1209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172720</xdr:colOff>
      <xdr:row>19</xdr:row>
      <xdr:rowOff>15240</xdr:rowOff>
    </xdr:from>
    <xdr:to>
      <xdr:col>19</xdr:col>
      <xdr:colOff>109220</xdr:colOff>
      <xdr:row>25</xdr:row>
      <xdr:rowOff>53340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9EDF30E1-B716-7F4F-FE55-AD3F78FBF53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170160" y="3876040"/>
              <a:ext cx="3340100" cy="1257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79.564623842591" createdVersion="8" refreshedVersion="8" minRefreshableVersion="3" recordCount="747" xr:uid="{B945D114-3996-EA47-B14D-2701692CDDEE}">
  <cacheSource type="worksheet">
    <worksheetSource ref="A1:Q922" sheet="Scores"/>
  </cacheSource>
  <cacheFields count="16">
    <cacheField name="Angle" numFmtId="0">
      <sharedItems count="2">
        <s v="vertical"/>
        <s v="flat"/>
      </sharedItems>
    </cacheField>
    <cacheField name="Height" numFmtId="0">
      <sharedItems containsMixedTypes="1" containsNumber="1" containsInteger="1" minValue="256" maxValue="256" count="4">
        <s v="mid"/>
        <s v="high"/>
        <s v="low"/>
        <n v="256"/>
      </sharedItems>
    </cacheField>
    <cacheField name="Base" numFmtId="0">
      <sharedItems count="4">
        <s v="no magnet"/>
        <s v="magnet"/>
        <s v="bad magnet"/>
        <s v="tape-magnet"/>
      </sharedItems>
    </cacheField>
    <cacheField name="Date" numFmtId="16">
      <sharedItems containsSemiMixedTypes="0" containsNonDate="0" containsDate="1" containsString="0" minDate="2025-02-19T00:00:00" maxDate="2025-11-19T00:00:00"/>
    </cacheField>
    <cacheField name="Game" numFmtId="0">
      <sharedItems containsSemiMixedTypes="0" containsString="0" containsNumber="1" containsInteger="1" minValue="1" maxValue="241"/>
    </cacheField>
    <cacheField name="Round" numFmtId="0">
      <sharedItems containsMixedTypes="1" containsNumber="1" containsInteger="1" minValue="1" maxValue="3" count="5">
        <n v="1"/>
        <n v="2"/>
        <n v="3"/>
        <s v="OT1"/>
        <s v="OT2"/>
      </sharedItems>
    </cacheField>
    <cacheField name="Order" numFmtId="0">
      <sharedItems/>
    </cacheField>
    <cacheField name="Caleb" numFmtId="0">
      <sharedItems containsString="0" containsBlank="1" containsNumber="1" containsInteger="1" minValue="0" maxValue="10"/>
    </cacheField>
    <cacheField name="Joshua" numFmtId="0">
      <sharedItems containsString="0" containsBlank="1" containsNumber="1" containsInteger="1" minValue="0" maxValue="8"/>
    </cacheField>
    <cacheField name="Quadri" numFmtId="0">
      <sharedItems containsString="0" containsBlank="1" containsNumber="1" containsInteger="1" minValue="0" maxValue="6"/>
    </cacheField>
    <cacheField name="Daniel" numFmtId="0">
      <sharedItems containsString="0" containsBlank="1" containsNumber="1" containsInteger="1" minValue="0" maxValue="4"/>
    </cacheField>
    <cacheField name="Qianzi" numFmtId="0">
      <sharedItems containsString="0" containsBlank="1" containsNumber="1" containsInteger="1" minValue="0" maxValue="1"/>
    </cacheField>
    <cacheField name="Kenny" numFmtId="0">
      <sharedItems containsString="0" containsBlank="1" containsNumber="1" containsInteger="1" minValue="0" maxValue="3"/>
    </cacheField>
    <cacheField name="Veronica" numFmtId="0">
      <sharedItems containsString="0" containsBlank="1" containsNumber="1" containsInteger="1" minValue="0" maxValue="5"/>
    </cacheField>
    <cacheField name="Joseph" numFmtId="0">
      <sharedItems containsString="0" containsBlank="1" containsNumber="1" containsInteger="1" minValue="0" maxValue="8"/>
    </cacheField>
    <cacheField name="Theo"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8.544375115744" createdVersion="8" refreshedVersion="8" minRefreshableVersion="3" recordCount="322" xr:uid="{DC25305F-6C34-2443-BBAA-FE6F7F65D723}">
  <cacheSource type="worksheet">
    <worksheetSource name="Convert_to_Clutch"/>
  </cacheSource>
  <cacheFields count="8">
    <cacheField name="Date" numFmtId="14">
      <sharedItems containsSemiMixedTypes="0" containsNonDate="0" containsDate="1" containsString="0" minDate="2025-02-19T00:00:00" maxDate="2026-02-06T00:00:00" count="136">
        <d v="2025-02-19T00:00:00"/>
        <d v="2025-02-20T00:00:00"/>
        <d v="2025-02-21T00:00:00"/>
        <d v="2025-02-24T00:00:00"/>
        <d v="2025-02-25T00:00:00"/>
        <d v="2025-02-26T00:00:00"/>
        <d v="2025-02-27T00:00:00"/>
        <d v="2025-02-28T00:00:00"/>
        <d v="2025-03-04T00:00:00"/>
        <d v="2025-03-05T00:00:00"/>
        <d v="2025-03-06T00:00:00"/>
        <d v="2025-03-07T00:00:00"/>
        <d v="2025-03-10T00:00:00"/>
        <d v="2025-03-11T00:00:00"/>
        <d v="2025-03-12T00:00:00"/>
        <d v="2025-03-13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13T00:00:00"/>
        <d v="2025-05-14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15T00:00:00"/>
        <d v="2025-07-16T00:00:00"/>
        <d v="2025-07-17T00:00:00"/>
        <d v="2025-07-22T00:00:00"/>
        <d v="2025-07-23T00:00:00"/>
        <d v="2025-07-30T00:00:00"/>
        <d v="2025-07-31T00:00:00"/>
        <d v="2025-08-01T00:00:00"/>
        <d v="2025-08-04T00:00:00"/>
        <d v="2025-08-06T00:00:00"/>
        <d v="2025-08-07T00:00:00"/>
        <d v="2025-08-11T00:00:00"/>
        <d v="2025-08-12T00:00:00"/>
        <d v="2025-08-13T00:00:00"/>
        <d v="2025-08-14T00:00:00"/>
        <d v="2025-08-18T00:00:00"/>
        <d v="2025-08-19T00:00:00"/>
        <d v="2025-08-20T00:00:00"/>
        <d v="2025-08-21T00:00:00"/>
        <d v="2025-08-25T00:00:00"/>
        <d v="2025-08-27T00:00:00"/>
        <d v="2025-08-28T00:00:00"/>
        <d v="2025-08-29T00:00:00"/>
        <d v="2025-09-02T00:00:00"/>
        <d v="2025-09-03T00:00:00"/>
        <d v="2025-09-04T00:00:00"/>
        <d v="2025-09-10T00:00:00"/>
        <d v="2025-09-11T00:00:00"/>
        <d v="2025-09-15T00:00:00"/>
        <d v="2025-09-16T00:00:00"/>
        <d v="2025-09-17T00:00:00"/>
        <d v="2025-09-18T00:00:00"/>
        <d v="2025-09-19T00:00:00"/>
        <d v="2025-09-23T00:00:00"/>
        <d v="2025-09-24T00:00:00"/>
        <d v="2025-09-26T00:00:00"/>
        <d v="2025-09-29T00:00:00"/>
        <d v="2025-09-30T00:00:00"/>
        <d v="2025-10-01T00:00:00"/>
        <d v="2025-10-08T00:00:00"/>
        <d v="2025-10-10T00:00:00"/>
        <d v="2025-10-13T00:00:00"/>
        <d v="2025-10-22T00:00:00"/>
        <d v="2025-10-23T00:00:00"/>
        <d v="2025-10-24T00:00:00"/>
        <d v="2025-10-28T00:00:00"/>
        <d v="2025-10-29T00:00:00"/>
        <d v="2025-10-31T00:00:00"/>
        <d v="2025-11-11T00:00:00"/>
        <d v="2025-11-12T00:00:00"/>
        <d v="2025-11-18T00:00:00"/>
        <d v="2025-11-20T00:00:00"/>
        <d v="2025-11-21T00:00:00"/>
        <d v="2025-12-01T00:00:00"/>
        <d v="2025-12-02T00:00:00"/>
        <d v="2025-12-03T00:00:00"/>
        <d v="2025-12-04T00:00:00"/>
        <d v="2025-12-05T00:00:00"/>
        <d v="2025-12-08T00:00:00"/>
        <d v="2025-12-09T00:00:00"/>
        <d v="2026-01-12T00:00:00"/>
        <d v="2026-01-13T00:00:00"/>
        <d v="2026-01-14T00:00:00"/>
        <d v="2026-01-22T00:00:00"/>
        <d v="2026-01-29T00:00:00"/>
        <d v="2026-02-02T00:00:00"/>
        <d v="2026-02-03T00:00:00"/>
        <d v="2026-02-05T00:00:00"/>
      </sharedItems>
    </cacheField>
    <cacheField name="Game" numFmtId="0">
      <sharedItems containsSemiMixedTypes="0" containsString="0" containsNumber="1" containsInteger="1" minValue="1" maxValue="260"/>
    </cacheField>
    <cacheField name="First" numFmtId="0">
      <sharedItems count="2">
        <s v="Caleb"/>
        <s v="Joshua"/>
      </sharedItems>
    </cacheField>
    <cacheField name="Player" numFmtId="0">
      <sharedItems count="2">
        <s v="Joshua"/>
        <s v="Caleb"/>
      </sharedItems>
    </cacheField>
    <cacheField name="Round" numFmtId="0">
      <sharedItems count="4">
        <s v="3"/>
        <s v="OT1"/>
        <s v="OT2"/>
        <s v="OT" u="1"/>
      </sharedItems>
    </cacheField>
    <cacheField name="Deficit" numFmtId="0">
      <sharedItems containsSemiMixedTypes="0" containsString="0" containsNumber="1" containsInteger="1" minValue="0" maxValue="16" count="16">
        <n v="11"/>
        <n v="13"/>
        <n v="7"/>
        <n v="4"/>
        <n v="8"/>
        <n v="5"/>
        <n v="2"/>
        <n v="12"/>
        <n v="9"/>
        <n v="10"/>
        <n v="6"/>
        <n v="0"/>
        <n v="1"/>
        <n v="3"/>
        <n v="14"/>
        <n v="16"/>
      </sharedItems>
    </cacheField>
    <cacheField name="Success" numFmtId="0">
      <sharedItems containsSemiMixedTypes="0" containsString="0" containsNumber="1" containsInteger="1" minValue="0" maxValue="1"/>
    </cacheField>
    <cacheField name="Occurences" numFmtId="0" formula=" COUNT(Game)" databaseField="0"/>
  </cacheFields>
  <extLst>
    <ext xmlns:x14="http://schemas.microsoft.com/office/spreadsheetml/2009/9/main" uri="{725AE2AE-9491-48be-B2B4-4EB974FC3084}">
      <x14:pivotCacheDefinition pivotCacheId="7044033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8.544996875004" createdVersion="8" refreshedVersion="8" minRefreshableVersion="3" recordCount="428" xr:uid="{4F54BD4F-9761-7341-AF65-EBA9586CC438}">
  <cacheSource type="worksheet">
    <worksheetSource ref="A1:I493" sheet="Next Gen"/>
  </cacheSource>
  <cacheFields count="14">
    <cacheField name="Game" numFmtId="0">
      <sharedItems containsSemiMixedTypes="0" containsString="0" containsNumber="1" containsInteger="1" minValue="71" maxValue="260"/>
    </cacheField>
    <cacheField name="Player" numFmtId="0">
      <sharedItems count="7">
        <s v="Caleb"/>
        <s v="Joshua"/>
        <s v="Daniel"/>
        <s v="Quadri"/>
        <s v="Veronica"/>
        <s v="Joseph"/>
        <s v="Theo"/>
      </sharedItems>
    </cacheField>
    <cacheField name="Throws" numFmtId="0">
      <sharedItems containsSemiMixedTypes="0" containsString="0" containsNumber="1" containsInteger="1" minValue="9" maxValue="15"/>
    </cacheField>
    <cacheField name="Board Hits" numFmtId="0">
      <sharedItems containsSemiMixedTypes="0" containsString="0" containsNumber="1" containsInteger="1" minValue="2" maxValue="15"/>
    </cacheField>
    <cacheField name="Land" numFmtId="0">
      <sharedItems containsSemiMixedTypes="0" containsString="0" containsNumber="1" containsInteger="1" minValue="0" maxValue="11"/>
    </cacheField>
    <cacheField name="Points" numFmtId="0">
      <sharedItems containsSemiMixedTypes="0" containsString="0" containsNumber="1" containsInteger="1" minValue="0" maxValue="20"/>
    </cacheField>
    <cacheField name="Height" numFmtId="0">
      <sharedItems containsMixedTypes="1" containsNumber="1" containsInteger="1" minValue="254" maxValue="256" count="5">
        <s v="high"/>
        <s v="mid"/>
        <s v="low"/>
        <n v="256"/>
        <n v="254" u="1"/>
      </sharedItems>
    </cacheField>
    <cacheField name="Date" numFmtId="16">
      <sharedItems containsSemiMixedTypes="0" containsNonDate="0" containsDate="1" containsString="0" minDate="2025-04-25T00:00:00" maxDate="2026-02-06T00:00:00" count="111">
        <d v="2025-04-25T00:00:00"/>
        <d v="2025-04-28T00:00:00"/>
        <d v="2025-04-29T00:00:00"/>
        <d v="2025-04-30T00:00:00"/>
        <d v="2025-05-01T00:00:00"/>
        <d v="2025-05-02T00:00:00"/>
        <d v="2025-05-05T00:00:00"/>
        <d v="2025-05-06T00:00:00"/>
        <d v="2025-05-07T00:00:00"/>
        <d v="2025-05-13T00:00:00"/>
        <d v="2025-05-14T00:00:00"/>
        <d v="2025-05-20T00:00:00"/>
        <d v="2025-05-21T00:00:00"/>
        <d v="2025-05-22T00:00:00"/>
        <d v="2025-06-03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21T00:00:00"/>
        <d v="2025-07-22T00:00:00"/>
        <d v="2025-07-23T00:00:00"/>
        <d v="2025-07-24T00:00:00"/>
        <d v="2025-07-25T00:00:00"/>
        <d v="2025-07-28T00:00:00"/>
        <d v="2025-07-30T00:00:00"/>
        <d v="2025-07-31T00:00:00"/>
        <d v="2025-08-01T00:00:00"/>
        <d v="2025-08-04T00:00:00"/>
        <d v="2025-08-06T00:00:00"/>
        <d v="2025-08-07T00:00:00"/>
        <d v="2025-08-11T00:00:00"/>
        <d v="2025-08-12T00:00:00"/>
        <d v="2025-08-13T00:00:00"/>
        <d v="2025-08-14T00:00:00"/>
        <d v="2025-08-18T00:00:00"/>
        <d v="2025-08-19T00:00:00"/>
        <d v="2025-08-20T00:00:00"/>
        <d v="2025-08-21T00:00:00"/>
        <d v="2025-08-25T00:00:00"/>
        <d v="2025-08-27T00:00:00"/>
        <d v="2025-08-28T00:00:00"/>
        <d v="2025-08-29T00:00:00"/>
        <d v="2025-09-02T00:00:00"/>
        <d v="2025-09-03T00:00:00"/>
        <d v="2025-09-04T00:00:00"/>
        <d v="2025-09-10T00:00:00"/>
        <d v="2025-09-11T00:00:00"/>
        <d v="2025-09-15T00:00:00"/>
        <d v="2025-09-16T00:00:00"/>
        <d v="2025-09-17T00:00:00"/>
        <d v="2025-09-18T00:00:00"/>
        <d v="2025-09-19T00:00:00"/>
        <d v="2025-09-23T00:00:00"/>
        <d v="2025-09-24T00:00:00"/>
        <d v="2025-09-26T00:00:00"/>
        <d v="2025-09-29T00:00:00"/>
        <d v="2025-09-30T00:00:00"/>
        <d v="2025-10-01T00:00:00"/>
        <d v="2025-10-08T00:00:00"/>
        <d v="2025-10-10T00:00:00"/>
        <d v="2025-10-13T00:00:00"/>
        <d v="2025-10-22T00:00:00"/>
        <d v="2025-10-23T00:00:00"/>
        <d v="2025-10-24T00:00:00"/>
        <d v="2025-10-28T00:00:00"/>
        <d v="2025-10-29T00:00:00"/>
        <d v="2025-10-31T00:00:00"/>
        <d v="2025-11-11T00:00:00"/>
        <d v="2025-11-12T00:00:00"/>
        <d v="2025-11-18T00:00:00"/>
        <d v="2025-11-20T00:00:00"/>
        <d v="2025-11-21T00:00:00"/>
        <d v="2025-12-01T00:00:00"/>
        <d v="2025-12-02T00:00:00"/>
        <d v="2025-12-03T00:00:00"/>
        <d v="2025-12-04T00:00:00"/>
        <d v="2025-12-05T00:00:00"/>
        <d v="2025-12-08T00:00:00"/>
        <d v="2025-12-09T00:00:00"/>
        <d v="2026-01-12T00:00:00"/>
        <d v="2026-01-13T00:00:00"/>
        <d v="2026-01-14T00:00:00"/>
        <d v="2026-01-22T00:00:00"/>
        <d v="2026-01-29T00:00:00"/>
        <d v="2026-02-02T00:00:00"/>
        <d v="2026-02-03T00:00:00"/>
        <d v="2026-02-05T00:00:00"/>
      </sharedItems>
    </cacheField>
    <cacheField name="touch_comp" numFmtId="0" formula="Land/'Board Hits'" databaseField="0"/>
    <cacheField name="accuracy_comp" numFmtId="0" formula="'Board Hits'/Throws" databaseField="0"/>
    <cacheField name="precision_comp" numFmtId="0" formula="Points/Land" databaseField="0"/>
    <cacheField name="land_rate_comp" numFmtId="0" formula="Land/Throws" databaseField="0"/>
    <cacheField name="points_comp" numFmtId="0" formula="Points/Throws" databaseField="0"/>
    <cacheField name="PP9" numFmtId="0" formula="Points/Throws*9" databaseField="0"/>
  </cacheFields>
  <extLst>
    <ext xmlns:x14="http://schemas.microsoft.com/office/spreadsheetml/2009/9/main" uri="{725AE2AE-9491-48be-B2B4-4EB974FC3084}">
      <x14:pivotCacheDefinition pivotCacheId="81002152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02.675982754627" createdVersion="8" refreshedVersion="8" minRefreshableVersion="3" recordCount="914" xr:uid="{64E83E69-4284-BF44-80DD-24BCB63F3985}">
  <cacheSource type="worksheet">
    <worksheetSource name="Convert_to_Records"/>
  </cacheSource>
  <cacheFields count="15">
    <cacheField name="Angle" numFmtId="0">
      <sharedItems count="2">
        <s v="vertical"/>
        <s v="flat"/>
      </sharedItems>
    </cacheField>
    <cacheField name="Height" numFmtId="0">
      <sharedItems containsMixedTypes="1" containsNumber="1" containsInteger="1" minValue="254" maxValue="256" count="5">
        <s v="mid"/>
        <s v="high"/>
        <s v="low"/>
        <n v="256"/>
        <n v="254" u="1"/>
      </sharedItems>
    </cacheField>
    <cacheField name="Base" numFmtId="0">
      <sharedItems count="4">
        <s v="no magnet"/>
        <s v="magnet"/>
        <s v="bad magnet"/>
        <s v="tape-magnet"/>
      </sharedItems>
    </cacheField>
    <cacheField name="Date" numFmtId="14">
      <sharedItems containsSemiMixedTypes="0" containsNonDate="0" containsDate="1" containsString="0" minDate="2025-02-19T00:00:00" maxDate="2026-06-26T00:00:00" count="179">
        <d v="2025-02-19T00:00:00"/>
        <d v="2025-02-20T00:00:00"/>
        <d v="2025-02-21T00:00:00"/>
        <d v="2025-02-24T00:00:00"/>
        <d v="2025-02-25T00:00:00"/>
        <d v="2025-02-26T00:00:00"/>
        <d v="2025-02-27T00:00:00"/>
        <d v="2025-02-28T00:00:00"/>
        <d v="2025-03-04T00:00:00"/>
        <d v="2025-03-05T00:00:00"/>
        <d v="2025-03-06T00:00:00"/>
        <d v="2025-03-07T00:00:00"/>
        <d v="2025-03-10T00:00:00"/>
        <d v="2025-03-11T00:00:00"/>
        <d v="2025-03-12T00:00:00"/>
        <d v="2025-03-13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4T00:00:00"/>
        <d v="2025-04-15T00:00:00"/>
        <d v="2025-04-16T00:00:00"/>
        <d v="2025-04-17T00:00:00"/>
        <d v="2025-04-18T00:00:00"/>
        <d v="2025-04-21T00:00:00"/>
        <d v="2025-04-22T00:00:00"/>
        <d v="2025-04-23T00:00:00"/>
        <d v="2025-04-24T00:00:00"/>
        <d v="2025-04-25T00:00:00"/>
        <d v="2025-04-28T00:00:00"/>
        <d v="2025-04-29T00:00:00"/>
        <d v="2025-04-30T00:00:00"/>
        <d v="2025-05-01T00:00:00"/>
        <d v="2025-05-02T00:00:00"/>
        <d v="2025-05-05T00:00:00"/>
        <d v="2025-05-06T00:00:00"/>
        <d v="2025-05-07T00:00:00"/>
        <d v="2025-05-13T00:00:00"/>
        <d v="2025-05-14T00:00:00"/>
        <d v="2025-05-20T00:00:00"/>
        <d v="2025-05-21T00:00:00"/>
        <d v="2025-05-22T00:00:00"/>
        <d v="2025-06-03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21T00:00:00"/>
        <d v="2025-07-22T00:00:00"/>
        <d v="2025-07-23T00:00:00"/>
        <d v="2025-07-24T00:00:00"/>
        <d v="2025-07-25T00:00:00"/>
        <d v="2025-07-28T00:00:00"/>
        <d v="2025-07-30T00:00:00"/>
        <d v="2025-07-31T00:00:00"/>
        <d v="2025-08-01T00:00:00"/>
        <d v="2025-08-04T00:00:00"/>
        <d v="2025-08-06T00:00:00"/>
        <d v="2025-08-07T00:00:00"/>
        <d v="2025-08-11T00:00:00"/>
        <d v="2025-08-12T00:00:00"/>
        <d v="2025-08-13T00:00:00"/>
        <d v="2025-08-14T00:00:00"/>
        <d v="2025-08-18T00:00:00"/>
        <d v="2025-08-19T00:00:00"/>
        <d v="2025-08-20T00:00:00"/>
        <d v="2025-08-21T00:00:00"/>
        <d v="2025-08-25T00:00:00"/>
        <d v="2025-08-27T00:00:00"/>
        <d v="2025-08-28T00:00:00"/>
        <d v="2025-08-29T00:00:00"/>
        <d v="2025-09-02T00:00:00"/>
        <d v="2025-09-03T00:00:00"/>
        <d v="2025-09-04T00:00:00"/>
        <d v="2025-09-10T00:00:00"/>
        <d v="2025-09-11T00:00:00"/>
        <d v="2025-09-15T00:00:00"/>
        <d v="2025-09-16T00:00:00"/>
        <d v="2025-09-17T00:00:00"/>
        <d v="2025-09-18T00:00:00"/>
        <d v="2025-09-19T00:00:00"/>
        <d v="2025-09-23T00:00:00"/>
        <d v="2025-09-24T00:00:00"/>
        <d v="2025-09-26T00:00:00"/>
        <d v="2025-09-29T00:00:00"/>
        <d v="2025-09-30T00:00:00"/>
        <d v="2025-10-01T00:00:00"/>
        <d v="2025-10-08T00:00:00"/>
        <d v="2025-10-10T00:00:00"/>
        <d v="2025-10-13T00:00:00"/>
        <d v="2025-10-22T00:00:00"/>
        <d v="2025-10-23T00:00:00"/>
        <d v="2025-10-24T00:00:00"/>
        <d v="2025-10-28T00:00:00"/>
        <d v="2025-10-29T00:00:00"/>
        <d v="2025-10-31T00:00:00"/>
        <d v="2025-11-11T00:00:00"/>
        <d v="2025-11-12T00:00:00"/>
        <d v="2025-11-18T00:00:00"/>
        <d v="2025-11-20T00:00:00"/>
        <d v="2025-11-21T00:00:00"/>
        <d v="2025-12-01T00:00:00"/>
        <d v="2025-12-02T00:00:00"/>
        <d v="2025-12-03T00:00:00"/>
        <d v="2025-12-04T00:00:00"/>
        <d v="2025-12-05T00:00:00"/>
        <d v="2025-12-08T00:00:00"/>
        <d v="2025-12-09T00:00:00"/>
        <d v="2025-12-15T00:00:00"/>
        <d v="2026-01-12T00:00:00"/>
        <d v="2026-01-13T00:00:00"/>
        <d v="2026-01-14T00:00:00"/>
        <d v="2026-01-22T00:00:00"/>
        <d v="2026-01-29T00:00:00"/>
        <d v="2026-02-02T00:00:00"/>
        <d v="2026-02-03T00:00:00"/>
        <d v="2026-02-05T00:00:00"/>
        <d v="2026-02-06T00:00:00"/>
        <d v="2026-02-10T00:00:00"/>
        <d v="2026-02-18T00:00:00"/>
        <d v="2026-02-20T00:00:00"/>
        <d v="2026-02-24T00:00:00"/>
        <d v="2026-02-25T00:00:00"/>
        <d v="2026-02-27T00:00:00"/>
        <d v="2026-03-03T00:00:00"/>
        <d v="2026-03-04T00:00:00"/>
        <d v="2026-03-05T00:00:00"/>
        <d v="2026-03-06T00:00:00"/>
        <d v="2026-03-10T00:00:00"/>
        <d v="2026-03-11T00:00:00"/>
        <d v="2026-03-12T00:00:00"/>
        <d v="2026-03-13T00:00:00"/>
        <d v="2026-03-24T00:00:00"/>
        <d v="2026-03-25T00:00:00"/>
        <d v="2026-03-27T00:00:00"/>
        <d v="2026-04-02T00:00:00"/>
        <d v="2026-04-09T00:00:00"/>
        <d v="2026-04-10T00:00:00"/>
        <d v="2026-04-15T00:00:00"/>
        <d v="2026-04-20T00:00:00"/>
        <d v="2026-05-06T00:00:00"/>
        <d v="2026-05-12T00:00:00"/>
        <d v="2026-05-14T00:00:00"/>
        <d v="2026-06-24T00:00:00"/>
        <d v="2026-06-25T00:00:00"/>
      </sharedItems>
    </cacheField>
    <cacheField name="Game" numFmtId="0">
      <sharedItems containsSemiMixedTypes="0" containsString="0" containsNumber="1" containsInteger="1" minValue="1" maxValue="288"/>
    </cacheField>
    <cacheField name="Player" numFmtId="0">
      <sharedItems count="8">
        <s v="Caleb"/>
        <s v="Joshua"/>
        <s v="Quadri"/>
        <s v="Daniel"/>
        <s v="Veronica"/>
        <s v="Qianzi"/>
        <s v="Kenny"/>
        <s v="Joseph"/>
      </sharedItems>
    </cacheField>
    <cacheField name="Order" numFmtId="0">
      <sharedItems count="2">
        <s v="First"/>
        <s v="Last"/>
      </sharedItems>
    </cacheField>
    <cacheField name="Total Score" numFmtId="0">
      <sharedItems containsSemiMixedTypes="0" containsString="0" containsNumber="1" containsInteger="1" minValue="0" maxValue="21"/>
    </cacheField>
    <cacheField name="Opponent" numFmtId="0">
      <sharedItems count="8">
        <s v="Joshua"/>
        <s v="Quadri"/>
        <s v="Caleb"/>
        <s v="Daniel"/>
        <s v="Veronica"/>
        <s v="Qianzi"/>
        <s v="Kenny"/>
        <s v="Joseph"/>
      </sharedItems>
    </cacheField>
    <cacheField name="Result" numFmtId="0">
      <sharedItems/>
    </cacheField>
    <cacheField name="Win" numFmtId="0">
      <sharedItems containsSemiMixedTypes="0" containsString="0" containsNumber="1" containsInteger="1" minValue="0" maxValue="1"/>
    </cacheField>
    <cacheField name="Loss" numFmtId="0">
      <sharedItems containsSemiMixedTypes="0" containsString="0" containsNumber="1" containsInteger="1" minValue="0" maxValue="1"/>
    </cacheField>
    <cacheField name="Tie" numFmtId="0">
      <sharedItems containsSemiMixedTypes="0" containsString="0" containsNumber="1" containsInteger="1" minValue="0" maxValue="1"/>
    </cacheField>
    <cacheField name="Total Games" numFmtId="0">
      <sharedItems containsSemiMixedTypes="0" containsString="0" containsNumber="1" containsInteger="1" minValue="1" maxValue="1"/>
    </cacheField>
    <cacheField name="Win Percentage" numFmtId="0" formula=" (Win+ 0.5*Tie) /'Total Games'" databaseField="0"/>
  </cacheFields>
  <extLst>
    <ext xmlns:x14="http://schemas.microsoft.com/office/spreadsheetml/2009/9/main" uri="{725AE2AE-9491-48be-B2B4-4EB974FC3084}">
      <x14:pivotCacheDefinition pivotCacheId="108705742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28.50070196759" createdVersion="8" refreshedVersion="8" minRefreshableVersion="3" recordCount="115" xr:uid="{2C5351B7-B4BB-7E41-9118-343AC3AC1F2D}">
  <cacheSource type="worksheet">
    <worksheetSource name="Table3"/>
  </cacheSource>
  <cacheFields count="8">
    <cacheField name="Game" numFmtId="0">
      <sharedItems containsSemiMixedTypes="0" containsString="0" containsNumber="1" containsInteger="1" minValue="71" maxValue="121" count="50">
        <n v="71"/>
        <n v="72"/>
        <n v="73"/>
        <n v="74"/>
        <n v="75"/>
        <n v="76"/>
        <n v="77"/>
        <n v="78"/>
        <n v="79"/>
        <n v="80"/>
        <n v="81"/>
        <n v="82"/>
        <n v="83"/>
        <n v="84"/>
        <n v="85"/>
        <n v="86"/>
        <n v="87"/>
        <n v="88"/>
        <n v="89"/>
        <n v="90"/>
        <n v="91"/>
        <n v="92"/>
        <n v="93"/>
        <n v="94"/>
        <n v="95"/>
        <n v="96"/>
        <n v="98"/>
        <n v="99"/>
        <n v="100"/>
        <n v="101"/>
        <n v="102"/>
        <n v="103"/>
        <n v="104"/>
        <n v="105"/>
        <n v="106"/>
        <n v="107"/>
        <n v="108"/>
        <n v="109"/>
        <n v="110"/>
        <n v="111"/>
        <n v="112"/>
        <n v="113"/>
        <n v="114"/>
        <n v="115"/>
        <n v="116"/>
        <n v="117"/>
        <n v="118"/>
        <n v="119"/>
        <n v="120"/>
        <n v="121"/>
      </sharedItems>
    </cacheField>
    <cacheField name="Player" numFmtId="0">
      <sharedItems count="5">
        <s v="Joshua"/>
        <s v="Caleb"/>
        <s v="Daniel"/>
        <s v="Quadri"/>
        <s v="Veronica"/>
      </sharedItems>
    </cacheField>
    <cacheField name="Throws" numFmtId="0">
      <sharedItems containsSemiMixedTypes="0" containsString="0" containsNumber="1" containsInteger="1" minValue="9" maxValue="12"/>
    </cacheField>
    <cacheField name="Board Hits" numFmtId="0">
      <sharedItems containsSemiMixedTypes="0" containsString="0" containsNumber="1" containsInteger="1" minValue="2" maxValue="12"/>
    </cacheField>
    <cacheField name="Land" numFmtId="0">
      <sharedItems containsSemiMixedTypes="0" containsString="0" containsNumber="1" containsInteger="1" minValue="0" maxValue="7"/>
    </cacheField>
    <cacheField name="Points" numFmtId="0">
      <sharedItems containsSemiMixedTypes="0" containsString="0" containsNumber="1" containsInteger="1" minValue="0" maxValue="14"/>
    </cacheField>
    <cacheField name="Height" numFmtId="0">
      <sharedItems count="3">
        <s v="high"/>
        <s v="mid"/>
        <s v="low"/>
      </sharedItems>
    </cacheField>
    <cacheField name="Date" numFmtId="16">
      <sharedItems containsSemiMixedTypes="0" containsNonDate="0" containsDate="1" containsString="0" minDate="2025-04-25T00:00:00" maxDate="2025-06-21T00:00:00" count="24">
        <d v="2025-04-25T00:00:00"/>
        <d v="2025-04-28T00:00:00"/>
        <d v="2025-04-29T00:00:00"/>
        <d v="2025-04-30T00:00:00"/>
        <d v="2025-05-01T00:00:00"/>
        <d v="2025-05-02T00:00:00"/>
        <d v="2025-05-05T00:00:00"/>
        <d v="2025-05-06T00:00:00"/>
        <d v="2025-05-07T00:00:00"/>
        <d v="2025-05-13T00:00:00"/>
        <d v="2025-05-14T00:00:00"/>
        <d v="2025-05-20T00:00:00"/>
        <d v="2025-05-21T00:00:00"/>
        <d v="2025-05-22T00:00:00"/>
        <d v="2025-06-03T00:00:00"/>
        <d v="2025-06-10T00:00:00"/>
        <d v="2025-06-11T00:00:00"/>
        <d v="2025-06-12T00:00:00"/>
        <d v="2025-06-13T00:00:00"/>
        <d v="2025-06-16T00:00:00"/>
        <d v="2025-06-17T00:00:00"/>
        <d v="2025-06-18T00:00:00"/>
        <d v="2025-06-19T00:00:00"/>
        <d v="2025-06-20T00:00:00"/>
      </sharedItems>
    </cacheField>
  </cacheFields>
  <extLst>
    <ext xmlns:x14="http://schemas.microsoft.com/office/spreadsheetml/2009/9/main" uri="{725AE2AE-9491-48be-B2B4-4EB974FC3084}">
      <x14:pivotCacheDefinition pivotCacheId="2187468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7">
  <r>
    <x v="0"/>
    <x v="0"/>
    <x v="0"/>
    <d v="2025-02-19T00:00:00"/>
    <n v="1"/>
    <x v="0"/>
    <s v="CJQ"/>
    <n v="4"/>
    <n v="0"/>
    <n v="0"/>
    <m/>
    <m/>
    <m/>
    <m/>
    <m/>
    <m/>
  </r>
  <r>
    <x v="0"/>
    <x v="0"/>
    <x v="0"/>
    <d v="2025-02-19T00:00:00"/>
    <n v="1"/>
    <x v="1"/>
    <s v="CJQ"/>
    <n v="3"/>
    <n v="0"/>
    <n v="0"/>
    <m/>
    <m/>
    <m/>
    <m/>
    <m/>
    <m/>
  </r>
  <r>
    <x v="0"/>
    <x v="0"/>
    <x v="0"/>
    <d v="2025-02-19T00:00:00"/>
    <n v="1"/>
    <x v="2"/>
    <s v="CJQ"/>
    <n v="4"/>
    <n v="1"/>
    <n v="1"/>
    <m/>
    <m/>
    <m/>
    <m/>
    <m/>
    <m/>
  </r>
  <r>
    <x v="0"/>
    <x v="0"/>
    <x v="0"/>
    <d v="2025-02-19T00:00:00"/>
    <n v="2"/>
    <x v="0"/>
    <s v="JC"/>
    <n v="8"/>
    <n v="0"/>
    <m/>
    <m/>
    <m/>
    <m/>
    <m/>
    <m/>
    <m/>
  </r>
  <r>
    <x v="0"/>
    <x v="0"/>
    <x v="0"/>
    <d v="2025-02-19T00:00:00"/>
    <n v="2"/>
    <x v="1"/>
    <s v="JC"/>
    <n v="5"/>
    <n v="0"/>
    <m/>
    <m/>
    <m/>
    <m/>
    <m/>
    <m/>
    <m/>
  </r>
  <r>
    <x v="0"/>
    <x v="0"/>
    <x v="0"/>
    <d v="2025-02-19T00:00:00"/>
    <n v="2"/>
    <x v="2"/>
    <s v="JC"/>
    <n v="3"/>
    <n v="0"/>
    <m/>
    <m/>
    <m/>
    <m/>
    <m/>
    <m/>
    <m/>
  </r>
  <r>
    <x v="0"/>
    <x v="0"/>
    <x v="0"/>
    <d v="2025-02-20T00:00:00"/>
    <n v="3"/>
    <x v="0"/>
    <s v="JC"/>
    <n v="1"/>
    <n v="0"/>
    <m/>
    <m/>
    <m/>
    <m/>
    <m/>
    <m/>
    <m/>
  </r>
  <r>
    <x v="0"/>
    <x v="0"/>
    <x v="0"/>
    <d v="2025-02-20T00:00:00"/>
    <n v="3"/>
    <x v="1"/>
    <s v="JC"/>
    <n v="6"/>
    <n v="0"/>
    <m/>
    <m/>
    <m/>
    <m/>
    <m/>
    <m/>
    <m/>
  </r>
  <r>
    <x v="0"/>
    <x v="0"/>
    <x v="0"/>
    <d v="2025-02-20T00:00:00"/>
    <n v="3"/>
    <x v="2"/>
    <s v="JC"/>
    <n v="3"/>
    <n v="4"/>
    <m/>
    <m/>
    <m/>
    <m/>
    <m/>
    <m/>
    <m/>
  </r>
  <r>
    <x v="0"/>
    <x v="0"/>
    <x v="0"/>
    <d v="2025-02-20T00:00:00"/>
    <n v="4"/>
    <x v="0"/>
    <s v="CJQ"/>
    <n v="3"/>
    <n v="0"/>
    <n v="1"/>
    <m/>
    <m/>
    <m/>
    <m/>
    <m/>
    <m/>
  </r>
  <r>
    <x v="0"/>
    <x v="0"/>
    <x v="0"/>
    <d v="2025-02-20T00:00:00"/>
    <n v="4"/>
    <x v="1"/>
    <s v="CJQ"/>
    <n v="0"/>
    <n v="0"/>
    <n v="2"/>
    <m/>
    <m/>
    <m/>
    <m/>
    <m/>
    <m/>
  </r>
  <r>
    <x v="0"/>
    <x v="0"/>
    <x v="0"/>
    <d v="2025-02-20T00:00:00"/>
    <n v="4"/>
    <x v="2"/>
    <s v="CJQ"/>
    <n v="1"/>
    <n v="0"/>
    <n v="4"/>
    <m/>
    <m/>
    <m/>
    <m/>
    <m/>
    <m/>
  </r>
  <r>
    <x v="0"/>
    <x v="0"/>
    <x v="0"/>
    <d v="2025-02-20T00:00:00"/>
    <n v="5"/>
    <x v="0"/>
    <s v="QJC"/>
    <n v="5"/>
    <n v="1"/>
    <n v="1"/>
    <m/>
    <m/>
    <m/>
    <m/>
    <m/>
    <m/>
  </r>
  <r>
    <x v="0"/>
    <x v="0"/>
    <x v="0"/>
    <d v="2025-02-20T00:00:00"/>
    <n v="5"/>
    <x v="1"/>
    <s v="QJC"/>
    <n v="4"/>
    <n v="0"/>
    <n v="2"/>
    <m/>
    <m/>
    <m/>
    <m/>
    <m/>
    <m/>
  </r>
  <r>
    <x v="0"/>
    <x v="0"/>
    <x v="0"/>
    <d v="2025-02-20T00:00:00"/>
    <n v="5"/>
    <x v="2"/>
    <s v="QJC"/>
    <n v="2"/>
    <n v="0"/>
    <n v="0"/>
    <m/>
    <m/>
    <m/>
    <m/>
    <m/>
    <m/>
  </r>
  <r>
    <x v="0"/>
    <x v="0"/>
    <x v="0"/>
    <d v="2025-02-21T00:00:00"/>
    <n v="6"/>
    <x v="0"/>
    <s v="JC"/>
    <n v="7"/>
    <n v="0"/>
    <m/>
    <m/>
    <m/>
    <m/>
    <m/>
    <m/>
    <m/>
  </r>
  <r>
    <x v="0"/>
    <x v="0"/>
    <x v="0"/>
    <d v="2025-02-21T00:00:00"/>
    <n v="6"/>
    <x v="1"/>
    <s v="JC"/>
    <n v="2"/>
    <n v="4"/>
    <m/>
    <m/>
    <m/>
    <m/>
    <m/>
    <m/>
    <m/>
  </r>
  <r>
    <x v="0"/>
    <x v="0"/>
    <x v="0"/>
    <d v="2025-02-21T00:00:00"/>
    <n v="6"/>
    <x v="2"/>
    <s v="JC"/>
    <n v="1"/>
    <n v="0"/>
    <m/>
    <m/>
    <m/>
    <m/>
    <m/>
    <m/>
    <m/>
  </r>
  <r>
    <x v="0"/>
    <x v="0"/>
    <x v="0"/>
    <d v="2025-02-24T00:00:00"/>
    <n v="7"/>
    <x v="0"/>
    <s v="CJ"/>
    <n v="0"/>
    <n v="1"/>
    <m/>
    <m/>
    <m/>
    <m/>
    <m/>
    <m/>
    <m/>
  </r>
  <r>
    <x v="0"/>
    <x v="0"/>
    <x v="0"/>
    <d v="2025-02-24T00:00:00"/>
    <n v="7"/>
    <x v="1"/>
    <s v="CJ"/>
    <n v="5"/>
    <n v="2"/>
    <m/>
    <m/>
    <m/>
    <m/>
    <m/>
    <m/>
    <m/>
  </r>
  <r>
    <x v="0"/>
    <x v="0"/>
    <x v="0"/>
    <d v="2025-02-24T00:00:00"/>
    <n v="7"/>
    <x v="2"/>
    <s v="CJ"/>
    <n v="0"/>
    <n v="6"/>
    <m/>
    <m/>
    <m/>
    <m/>
    <m/>
    <m/>
    <m/>
  </r>
  <r>
    <x v="0"/>
    <x v="0"/>
    <x v="0"/>
    <d v="2025-02-24T00:00:00"/>
    <n v="8"/>
    <x v="0"/>
    <s v="CJ"/>
    <n v="0"/>
    <n v="1"/>
    <m/>
    <m/>
    <m/>
    <m/>
    <m/>
    <m/>
    <m/>
  </r>
  <r>
    <x v="0"/>
    <x v="0"/>
    <x v="0"/>
    <d v="2025-02-24T00:00:00"/>
    <n v="8"/>
    <x v="1"/>
    <s v="CJ"/>
    <n v="3"/>
    <n v="1"/>
    <m/>
    <m/>
    <m/>
    <m/>
    <m/>
    <m/>
    <m/>
  </r>
  <r>
    <x v="0"/>
    <x v="0"/>
    <x v="0"/>
    <d v="2025-02-24T00:00:00"/>
    <n v="8"/>
    <x v="2"/>
    <s v="CJ"/>
    <n v="3"/>
    <n v="0"/>
    <m/>
    <m/>
    <m/>
    <m/>
    <m/>
    <m/>
    <m/>
  </r>
  <r>
    <x v="0"/>
    <x v="0"/>
    <x v="0"/>
    <d v="2025-02-25T00:00:00"/>
    <n v="9"/>
    <x v="0"/>
    <s v="CJQ"/>
    <n v="2"/>
    <n v="1"/>
    <n v="0"/>
    <m/>
    <m/>
    <m/>
    <m/>
    <m/>
    <m/>
  </r>
  <r>
    <x v="0"/>
    <x v="0"/>
    <x v="0"/>
    <d v="2025-02-25T00:00:00"/>
    <n v="9"/>
    <x v="1"/>
    <s v="CJQ"/>
    <n v="5"/>
    <n v="3"/>
    <n v="1"/>
    <m/>
    <m/>
    <m/>
    <m/>
    <m/>
    <m/>
  </r>
  <r>
    <x v="0"/>
    <x v="0"/>
    <x v="0"/>
    <d v="2025-02-25T00:00:00"/>
    <n v="9"/>
    <x v="2"/>
    <s v="CJQ"/>
    <n v="2"/>
    <n v="7"/>
    <n v="3"/>
    <m/>
    <m/>
    <m/>
    <m/>
    <m/>
    <m/>
  </r>
  <r>
    <x v="0"/>
    <x v="0"/>
    <x v="0"/>
    <d v="2025-02-25T00:00:00"/>
    <n v="10"/>
    <x v="0"/>
    <s v="CJ"/>
    <n v="0"/>
    <n v="1"/>
    <m/>
    <m/>
    <m/>
    <m/>
    <m/>
    <m/>
    <m/>
  </r>
  <r>
    <x v="0"/>
    <x v="0"/>
    <x v="0"/>
    <d v="2025-02-25T00:00:00"/>
    <n v="10"/>
    <x v="1"/>
    <s v="CJ"/>
    <n v="3"/>
    <n v="0"/>
    <m/>
    <m/>
    <m/>
    <m/>
    <m/>
    <m/>
    <m/>
  </r>
  <r>
    <x v="0"/>
    <x v="0"/>
    <x v="0"/>
    <d v="2025-02-25T00:00:00"/>
    <n v="10"/>
    <x v="2"/>
    <s v="CJ"/>
    <n v="3"/>
    <n v="0"/>
    <m/>
    <m/>
    <m/>
    <m/>
    <m/>
    <m/>
    <m/>
  </r>
  <r>
    <x v="0"/>
    <x v="0"/>
    <x v="1"/>
    <d v="2025-02-26T00:00:00"/>
    <n v="11"/>
    <x v="0"/>
    <s v="DCJ"/>
    <n v="5"/>
    <n v="0"/>
    <m/>
    <n v="1"/>
    <m/>
    <m/>
    <m/>
    <m/>
    <m/>
  </r>
  <r>
    <x v="0"/>
    <x v="0"/>
    <x v="1"/>
    <d v="2025-02-26T00:00:00"/>
    <n v="11"/>
    <x v="1"/>
    <s v="DCJ"/>
    <n v="6"/>
    <n v="2"/>
    <m/>
    <n v="3"/>
    <m/>
    <m/>
    <m/>
    <m/>
    <m/>
  </r>
  <r>
    <x v="0"/>
    <x v="0"/>
    <x v="1"/>
    <d v="2025-02-26T00:00:00"/>
    <n v="11"/>
    <x v="2"/>
    <s v="DCJ"/>
    <n v="3"/>
    <n v="3"/>
    <m/>
    <n v="2"/>
    <m/>
    <m/>
    <m/>
    <m/>
    <m/>
  </r>
  <r>
    <x v="0"/>
    <x v="0"/>
    <x v="1"/>
    <d v="2025-02-27T00:00:00"/>
    <n v="12"/>
    <x v="0"/>
    <s v="CJD"/>
    <n v="1"/>
    <n v="0"/>
    <m/>
    <n v="2"/>
    <m/>
    <m/>
    <m/>
    <m/>
    <m/>
  </r>
  <r>
    <x v="0"/>
    <x v="0"/>
    <x v="1"/>
    <d v="2025-02-27T00:00:00"/>
    <n v="12"/>
    <x v="1"/>
    <s v="CJD"/>
    <n v="6"/>
    <n v="1"/>
    <m/>
    <n v="0"/>
    <m/>
    <m/>
    <m/>
    <m/>
    <m/>
  </r>
  <r>
    <x v="0"/>
    <x v="0"/>
    <x v="1"/>
    <d v="2025-02-27T00:00:00"/>
    <n v="12"/>
    <x v="2"/>
    <s v="CJD"/>
    <n v="3"/>
    <n v="2"/>
    <m/>
    <n v="1"/>
    <m/>
    <m/>
    <m/>
    <m/>
    <m/>
  </r>
  <r>
    <x v="0"/>
    <x v="0"/>
    <x v="1"/>
    <d v="2025-02-27T00:00:00"/>
    <n v="13"/>
    <x v="0"/>
    <s v="DCJ"/>
    <n v="3"/>
    <n v="0"/>
    <m/>
    <n v="0"/>
    <m/>
    <m/>
    <m/>
    <m/>
    <m/>
  </r>
  <r>
    <x v="0"/>
    <x v="0"/>
    <x v="1"/>
    <d v="2025-02-27T00:00:00"/>
    <n v="13"/>
    <x v="1"/>
    <s v="DCJ"/>
    <n v="5"/>
    <n v="1"/>
    <m/>
    <n v="0"/>
    <m/>
    <m/>
    <m/>
    <m/>
    <m/>
  </r>
  <r>
    <x v="0"/>
    <x v="0"/>
    <x v="1"/>
    <d v="2025-02-27T00:00:00"/>
    <n v="13"/>
    <x v="2"/>
    <s v="DCJ"/>
    <n v="3"/>
    <n v="0"/>
    <m/>
    <n v="0"/>
    <m/>
    <m/>
    <m/>
    <m/>
    <m/>
  </r>
  <r>
    <x v="0"/>
    <x v="0"/>
    <x v="1"/>
    <d v="2025-02-28T00:00:00"/>
    <n v="14"/>
    <x v="0"/>
    <s v="JC"/>
    <n v="5"/>
    <n v="1"/>
    <m/>
    <m/>
    <m/>
    <m/>
    <m/>
    <m/>
    <m/>
  </r>
  <r>
    <x v="0"/>
    <x v="0"/>
    <x v="1"/>
    <d v="2025-02-28T00:00:00"/>
    <n v="14"/>
    <x v="1"/>
    <s v="JC"/>
    <n v="3"/>
    <n v="1"/>
    <m/>
    <m/>
    <m/>
    <m/>
    <m/>
    <m/>
    <m/>
  </r>
  <r>
    <x v="0"/>
    <x v="0"/>
    <x v="1"/>
    <d v="2025-02-28T00:00:00"/>
    <n v="14"/>
    <x v="2"/>
    <s v="JC"/>
    <n v="3"/>
    <n v="1"/>
    <m/>
    <m/>
    <m/>
    <m/>
    <m/>
    <m/>
    <m/>
  </r>
  <r>
    <x v="0"/>
    <x v="0"/>
    <x v="1"/>
    <d v="2025-02-28T00:00:00"/>
    <n v="15"/>
    <x v="0"/>
    <s v="CJ"/>
    <n v="2"/>
    <n v="1"/>
    <m/>
    <m/>
    <m/>
    <m/>
    <m/>
    <m/>
    <m/>
  </r>
  <r>
    <x v="0"/>
    <x v="0"/>
    <x v="1"/>
    <d v="2025-02-28T00:00:00"/>
    <n v="15"/>
    <x v="1"/>
    <s v="CJ"/>
    <n v="3"/>
    <n v="0"/>
    <m/>
    <m/>
    <m/>
    <m/>
    <m/>
    <m/>
    <m/>
  </r>
  <r>
    <x v="0"/>
    <x v="0"/>
    <x v="1"/>
    <d v="2025-02-28T00:00:00"/>
    <n v="15"/>
    <x v="2"/>
    <s v="CJ"/>
    <n v="0"/>
    <n v="2"/>
    <m/>
    <m/>
    <m/>
    <m/>
    <m/>
    <m/>
    <m/>
  </r>
  <r>
    <x v="0"/>
    <x v="0"/>
    <x v="1"/>
    <d v="2025-03-04T00:00:00"/>
    <n v="16"/>
    <x v="0"/>
    <s v="DJC"/>
    <n v="3"/>
    <n v="1"/>
    <m/>
    <n v="1"/>
    <m/>
    <m/>
    <m/>
    <m/>
    <m/>
  </r>
  <r>
    <x v="0"/>
    <x v="0"/>
    <x v="1"/>
    <d v="2025-03-04T00:00:00"/>
    <n v="16"/>
    <x v="1"/>
    <s v="DJC"/>
    <n v="6"/>
    <n v="0"/>
    <m/>
    <n v="2"/>
    <m/>
    <m/>
    <m/>
    <m/>
    <m/>
  </r>
  <r>
    <x v="0"/>
    <x v="0"/>
    <x v="1"/>
    <d v="2025-03-04T00:00:00"/>
    <n v="16"/>
    <x v="2"/>
    <s v="DJC"/>
    <n v="0"/>
    <n v="0"/>
    <m/>
    <n v="2"/>
    <m/>
    <m/>
    <m/>
    <m/>
    <m/>
  </r>
  <r>
    <x v="0"/>
    <x v="0"/>
    <x v="1"/>
    <d v="2025-03-05T00:00:00"/>
    <n v="17"/>
    <x v="0"/>
    <s v="JC"/>
    <n v="5"/>
    <n v="0"/>
    <m/>
    <m/>
    <m/>
    <m/>
    <m/>
    <m/>
    <m/>
  </r>
  <r>
    <x v="0"/>
    <x v="0"/>
    <x v="1"/>
    <d v="2025-03-05T00:00:00"/>
    <n v="17"/>
    <x v="1"/>
    <s v="JC"/>
    <n v="0"/>
    <n v="1"/>
    <m/>
    <m/>
    <m/>
    <m/>
    <m/>
    <m/>
    <m/>
  </r>
  <r>
    <x v="0"/>
    <x v="0"/>
    <x v="1"/>
    <d v="2025-03-05T00:00:00"/>
    <n v="17"/>
    <x v="2"/>
    <s v="JC"/>
    <n v="3"/>
    <n v="0"/>
    <m/>
    <m/>
    <m/>
    <m/>
    <m/>
    <m/>
    <m/>
  </r>
  <r>
    <x v="0"/>
    <x v="0"/>
    <x v="1"/>
    <d v="2025-03-06T00:00:00"/>
    <n v="18"/>
    <x v="0"/>
    <s v="CJ"/>
    <n v="5"/>
    <n v="1"/>
    <m/>
    <m/>
    <m/>
    <m/>
    <m/>
    <m/>
    <m/>
  </r>
  <r>
    <x v="0"/>
    <x v="0"/>
    <x v="1"/>
    <d v="2025-03-06T00:00:00"/>
    <n v="18"/>
    <x v="1"/>
    <s v="CJ"/>
    <n v="4"/>
    <n v="0"/>
    <m/>
    <m/>
    <m/>
    <m/>
    <m/>
    <m/>
    <m/>
  </r>
  <r>
    <x v="0"/>
    <x v="0"/>
    <x v="1"/>
    <d v="2025-03-06T00:00:00"/>
    <n v="18"/>
    <x v="2"/>
    <s v="CJ"/>
    <n v="0"/>
    <n v="3"/>
    <m/>
    <m/>
    <m/>
    <m/>
    <m/>
    <m/>
    <m/>
  </r>
  <r>
    <x v="0"/>
    <x v="0"/>
    <x v="2"/>
    <d v="2025-03-06T00:00:00"/>
    <n v="19"/>
    <x v="0"/>
    <s v="JC"/>
    <n v="0"/>
    <n v="4"/>
    <m/>
    <m/>
    <m/>
    <m/>
    <m/>
    <m/>
    <m/>
  </r>
  <r>
    <x v="0"/>
    <x v="0"/>
    <x v="2"/>
    <d v="2025-03-06T00:00:00"/>
    <n v="19"/>
    <x v="1"/>
    <s v="JC"/>
    <n v="2"/>
    <n v="1"/>
    <m/>
    <m/>
    <m/>
    <m/>
    <m/>
    <m/>
    <m/>
  </r>
  <r>
    <x v="0"/>
    <x v="0"/>
    <x v="2"/>
    <d v="2025-03-06T00:00:00"/>
    <n v="19"/>
    <x v="2"/>
    <s v="JC"/>
    <n v="3"/>
    <n v="3"/>
    <m/>
    <m/>
    <m/>
    <m/>
    <m/>
    <m/>
    <m/>
  </r>
  <r>
    <x v="0"/>
    <x v="0"/>
    <x v="1"/>
    <d v="2025-03-07T00:00:00"/>
    <n v="20"/>
    <x v="0"/>
    <s v="JC"/>
    <n v="1"/>
    <n v="1"/>
    <m/>
    <m/>
    <m/>
    <m/>
    <m/>
    <m/>
    <m/>
  </r>
  <r>
    <x v="0"/>
    <x v="0"/>
    <x v="1"/>
    <d v="2025-03-07T00:00:00"/>
    <n v="20"/>
    <x v="1"/>
    <s v="JC"/>
    <n v="1"/>
    <n v="0"/>
    <m/>
    <m/>
    <m/>
    <m/>
    <m/>
    <m/>
    <m/>
  </r>
  <r>
    <x v="0"/>
    <x v="0"/>
    <x v="1"/>
    <d v="2025-03-07T00:00:00"/>
    <n v="20"/>
    <x v="2"/>
    <s v="JC"/>
    <n v="2"/>
    <n v="1"/>
    <m/>
    <m/>
    <m/>
    <m/>
    <m/>
    <m/>
    <m/>
  </r>
  <r>
    <x v="0"/>
    <x v="0"/>
    <x v="1"/>
    <d v="2025-03-10T00:00:00"/>
    <n v="21"/>
    <x v="0"/>
    <s v="CJ"/>
    <n v="0"/>
    <n v="2"/>
    <m/>
    <m/>
    <m/>
    <m/>
    <m/>
    <m/>
    <m/>
  </r>
  <r>
    <x v="0"/>
    <x v="0"/>
    <x v="1"/>
    <d v="2025-03-10T00:00:00"/>
    <n v="21"/>
    <x v="1"/>
    <s v="CJ"/>
    <n v="6"/>
    <n v="3"/>
    <m/>
    <m/>
    <m/>
    <m/>
    <m/>
    <m/>
    <m/>
  </r>
  <r>
    <x v="0"/>
    <x v="0"/>
    <x v="1"/>
    <d v="2025-03-10T00:00:00"/>
    <n v="21"/>
    <x v="2"/>
    <s v="CJ"/>
    <n v="4"/>
    <n v="2"/>
    <m/>
    <m/>
    <m/>
    <m/>
    <m/>
    <m/>
    <m/>
  </r>
  <r>
    <x v="0"/>
    <x v="0"/>
    <x v="1"/>
    <d v="2025-03-11T00:00:00"/>
    <n v="22"/>
    <x v="0"/>
    <s v="CJ"/>
    <n v="3"/>
    <n v="0"/>
    <m/>
    <m/>
    <m/>
    <m/>
    <m/>
    <m/>
    <m/>
  </r>
  <r>
    <x v="0"/>
    <x v="0"/>
    <x v="1"/>
    <d v="2025-03-11T00:00:00"/>
    <n v="22"/>
    <x v="1"/>
    <s v="CJ"/>
    <n v="1"/>
    <n v="0"/>
    <m/>
    <m/>
    <m/>
    <m/>
    <m/>
    <m/>
    <m/>
  </r>
  <r>
    <x v="0"/>
    <x v="0"/>
    <x v="1"/>
    <d v="2025-03-11T00:00:00"/>
    <n v="22"/>
    <x v="2"/>
    <s v="CJ"/>
    <n v="0"/>
    <n v="0"/>
    <m/>
    <m/>
    <m/>
    <m/>
    <m/>
    <m/>
    <m/>
  </r>
  <r>
    <x v="0"/>
    <x v="0"/>
    <x v="1"/>
    <d v="2025-03-12T00:00:00"/>
    <n v="23"/>
    <x v="0"/>
    <s v="JC"/>
    <n v="4"/>
    <n v="0"/>
    <m/>
    <m/>
    <m/>
    <m/>
    <m/>
    <m/>
    <m/>
  </r>
  <r>
    <x v="0"/>
    <x v="0"/>
    <x v="1"/>
    <d v="2025-03-12T00:00:00"/>
    <n v="23"/>
    <x v="1"/>
    <s v="JC"/>
    <n v="0"/>
    <n v="1"/>
    <m/>
    <m/>
    <m/>
    <m/>
    <m/>
    <m/>
    <m/>
  </r>
  <r>
    <x v="0"/>
    <x v="0"/>
    <x v="1"/>
    <d v="2025-03-12T00:00:00"/>
    <n v="23"/>
    <x v="2"/>
    <s v="JC"/>
    <n v="7"/>
    <n v="1"/>
    <m/>
    <m/>
    <m/>
    <m/>
    <m/>
    <m/>
    <m/>
  </r>
  <r>
    <x v="0"/>
    <x v="0"/>
    <x v="1"/>
    <d v="2025-03-13T00:00:00"/>
    <n v="24"/>
    <x v="0"/>
    <s v="JC"/>
    <n v="7"/>
    <n v="1"/>
    <m/>
    <m/>
    <m/>
    <m/>
    <m/>
    <m/>
    <m/>
  </r>
  <r>
    <x v="0"/>
    <x v="0"/>
    <x v="1"/>
    <d v="2025-03-13T00:00:00"/>
    <n v="24"/>
    <x v="1"/>
    <s v="JC"/>
    <n v="2"/>
    <n v="0"/>
    <m/>
    <m/>
    <m/>
    <m/>
    <m/>
    <m/>
    <m/>
  </r>
  <r>
    <x v="0"/>
    <x v="0"/>
    <x v="1"/>
    <d v="2025-03-13T00:00:00"/>
    <n v="24"/>
    <x v="2"/>
    <s v="JC"/>
    <n v="1"/>
    <n v="0"/>
    <m/>
    <m/>
    <m/>
    <m/>
    <m/>
    <m/>
    <m/>
  </r>
  <r>
    <x v="0"/>
    <x v="0"/>
    <x v="0"/>
    <d v="2025-03-24T00:00:00"/>
    <n v="25"/>
    <x v="0"/>
    <s v="CJD"/>
    <n v="0"/>
    <n v="2"/>
    <m/>
    <n v="1"/>
    <m/>
    <m/>
    <m/>
    <m/>
    <m/>
  </r>
  <r>
    <x v="0"/>
    <x v="0"/>
    <x v="0"/>
    <d v="2025-03-24T00:00:00"/>
    <n v="25"/>
    <x v="1"/>
    <s v="CJD"/>
    <n v="4"/>
    <n v="0"/>
    <m/>
    <n v="0"/>
    <m/>
    <m/>
    <m/>
    <m/>
    <m/>
  </r>
  <r>
    <x v="0"/>
    <x v="0"/>
    <x v="0"/>
    <d v="2025-03-24T00:00:00"/>
    <n v="25"/>
    <x v="2"/>
    <s v="CJD"/>
    <n v="2"/>
    <n v="1"/>
    <m/>
    <n v="0"/>
    <m/>
    <m/>
    <m/>
    <m/>
    <m/>
  </r>
  <r>
    <x v="0"/>
    <x v="0"/>
    <x v="1"/>
    <d v="2025-03-25T00:00:00"/>
    <n v="26"/>
    <x v="0"/>
    <s v="CJ"/>
    <n v="6"/>
    <n v="5"/>
    <m/>
    <m/>
    <m/>
    <m/>
    <m/>
    <m/>
    <m/>
  </r>
  <r>
    <x v="0"/>
    <x v="0"/>
    <x v="1"/>
    <d v="2025-03-25T00:00:00"/>
    <n v="26"/>
    <x v="1"/>
    <s v="CJ"/>
    <n v="3"/>
    <n v="3"/>
    <m/>
    <m/>
    <m/>
    <m/>
    <m/>
    <m/>
    <m/>
  </r>
  <r>
    <x v="0"/>
    <x v="0"/>
    <x v="1"/>
    <d v="2025-03-25T00:00:00"/>
    <n v="26"/>
    <x v="2"/>
    <s v="CJ"/>
    <n v="3"/>
    <n v="3"/>
    <m/>
    <m/>
    <m/>
    <m/>
    <m/>
    <m/>
    <m/>
  </r>
  <r>
    <x v="0"/>
    <x v="0"/>
    <x v="1"/>
    <d v="2025-03-26T00:00:00"/>
    <n v="27"/>
    <x v="0"/>
    <s v="JCQ"/>
    <n v="2"/>
    <n v="0"/>
    <n v="1"/>
    <m/>
    <m/>
    <m/>
    <m/>
    <m/>
    <m/>
  </r>
  <r>
    <x v="0"/>
    <x v="0"/>
    <x v="1"/>
    <d v="2025-03-26T00:00:00"/>
    <n v="27"/>
    <x v="1"/>
    <s v="JCQ"/>
    <n v="4"/>
    <n v="0"/>
    <n v="2"/>
    <m/>
    <m/>
    <m/>
    <m/>
    <m/>
    <m/>
  </r>
  <r>
    <x v="0"/>
    <x v="0"/>
    <x v="1"/>
    <d v="2025-03-26T00:00:00"/>
    <n v="27"/>
    <x v="2"/>
    <s v="JCQ"/>
    <n v="4"/>
    <n v="2"/>
    <n v="1"/>
    <m/>
    <m/>
    <m/>
    <m/>
    <m/>
    <m/>
  </r>
  <r>
    <x v="0"/>
    <x v="0"/>
    <x v="1"/>
    <d v="2025-03-27T00:00:00"/>
    <n v="28"/>
    <x v="0"/>
    <s v="CJ"/>
    <n v="2"/>
    <n v="2"/>
    <m/>
    <m/>
    <m/>
    <m/>
    <m/>
    <m/>
    <m/>
  </r>
  <r>
    <x v="0"/>
    <x v="0"/>
    <x v="1"/>
    <d v="2025-03-27T00:00:00"/>
    <n v="28"/>
    <x v="1"/>
    <s v="CJ"/>
    <n v="3"/>
    <n v="1"/>
    <m/>
    <m/>
    <m/>
    <m/>
    <m/>
    <m/>
    <m/>
  </r>
  <r>
    <x v="0"/>
    <x v="0"/>
    <x v="1"/>
    <d v="2025-03-27T00:00:00"/>
    <n v="28"/>
    <x v="2"/>
    <s v="CJ"/>
    <n v="2"/>
    <n v="1"/>
    <m/>
    <m/>
    <m/>
    <m/>
    <m/>
    <m/>
    <m/>
  </r>
  <r>
    <x v="0"/>
    <x v="0"/>
    <x v="1"/>
    <d v="2025-03-28T00:00:00"/>
    <n v="29"/>
    <x v="0"/>
    <s v="JC"/>
    <n v="1"/>
    <n v="4"/>
    <m/>
    <m/>
    <m/>
    <m/>
    <m/>
    <m/>
    <m/>
  </r>
  <r>
    <x v="0"/>
    <x v="0"/>
    <x v="1"/>
    <d v="2025-03-28T00:00:00"/>
    <n v="29"/>
    <x v="1"/>
    <s v="JC"/>
    <n v="1"/>
    <n v="3"/>
    <m/>
    <m/>
    <m/>
    <m/>
    <m/>
    <m/>
    <m/>
  </r>
  <r>
    <x v="0"/>
    <x v="0"/>
    <x v="1"/>
    <d v="2025-03-28T00:00:00"/>
    <n v="29"/>
    <x v="2"/>
    <s v="JC"/>
    <n v="3"/>
    <n v="3"/>
    <m/>
    <m/>
    <m/>
    <m/>
    <m/>
    <m/>
    <m/>
  </r>
  <r>
    <x v="0"/>
    <x v="0"/>
    <x v="1"/>
    <d v="2025-03-31T00:00:00"/>
    <n v="30"/>
    <x v="0"/>
    <s v="JC"/>
    <n v="1"/>
    <n v="0"/>
    <m/>
    <m/>
    <m/>
    <m/>
    <m/>
    <m/>
    <m/>
  </r>
  <r>
    <x v="0"/>
    <x v="0"/>
    <x v="1"/>
    <d v="2025-03-31T00:00:00"/>
    <n v="30"/>
    <x v="1"/>
    <s v="JC"/>
    <n v="2"/>
    <n v="1"/>
    <m/>
    <m/>
    <m/>
    <m/>
    <m/>
    <m/>
    <m/>
  </r>
  <r>
    <x v="0"/>
    <x v="0"/>
    <x v="1"/>
    <d v="2025-03-31T00:00:00"/>
    <n v="30"/>
    <x v="2"/>
    <s v="JC"/>
    <n v="4"/>
    <n v="1"/>
    <m/>
    <m/>
    <m/>
    <m/>
    <m/>
    <m/>
    <m/>
  </r>
  <r>
    <x v="0"/>
    <x v="0"/>
    <x v="1"/>
    <d v="2025-04-01T00:00:00"/>
    <n v="31"/>
    <x v="0"/>
    <s v="CJ"/>
    <n v="3"/>
    <n v="1"/>
    <m/>
    <m/>
    <m/>
    <m/>
    <m/>
    <m/>
    <m/>
  </r>
  <r>
    <x v="0"/>
    <x v="0"/>
    <x v="1"/>
    <d v="2025-04-01T00:00:00"/>
    <n v="31"/>
    <x v="1"/>
    <s v="CJ"/>
    <n v="2"/>
    <n v="1"/>
    <m/>
    <m/>
    <m/>
    <m/>
    <m/>
    <m/>
    <m/>
  </r>
  <r>
    <x v="0"/>
    <x v="0"/>
    <x v="1"/>
    <d v="2025-04-01T00:00:00"/>
    <n v="31"/>
    <x v="2"/>
    <s v="CJ"/>
    <n v="1"/>
    <n v="3"/>
    <m/>
    <m/>
    <m/>
    <m/>
    <m/>
    <m/>
    <m/>
  </r>
  <r>
    <x v="0"/>
    <x v="1"/>
    <x v="1"/>
    <d v="2025-04-02T00:00:00"/>
    <n v="32"/>
    <x v="0"/>
    <s v="JC"/>
    <n v="0"/>
    <n v="1"/>
    <m/>
    <m/>
    <m/>
    <m/>
    <m/>
    <m/>
    <m/>
  </r>
  <r>
    <x v="0"/>
    <x v="1"/>
    <x v="1"/>
    <d v="2025-04-02T00:00:00"/>
    <n v="32"/>
    <x v="1"/>
    <s v="JC"/>
    <n v="2"/>
    <n v="3"/>
    <m/>
    <m/>
    <m/>
    <m/>
    <m/>
    <m/>
    <m/>
  </r>
  <r>
    <x v="0"/>
    <x v="1"/>
    <x v="1"/>
    <d v="2025-04-02T00:00:00"/>
    <n v="32"/>
    <x v="2"/>
    <s v="JC"/>
    <n v="2"/>
    <n v="1"/>
    <m/>
    <m/>
    <m/>
    <m/>
    <m/>
    <m/>
    <m/>
  </r>
  <r>
    <x v="0"/>
    <x v="1"/>
    <x v="1"/>
    <d v="2025-04-02T00:00:00"/>
    <n v="33"/>
    <x v="0"/>
    <s v="JC"/>
    <n v="2"/>
    <n v="0"/>
    <n v="0"/>
    <m/>
    <m/>
    <m/>
    <m/>
    <m/>
    <m/>
  </r>
  <r>
    <x v="0"/>
    <x v="1"/>
    <x v="1"/>
    <d v="2025-04-02T00:00:00"/>
    <n v="33"/>
    <x v="1"/>
    <s v="JC"/>
    <n v="2"/>
    <n v="3"/>
    <n v="0"/>
    <m/>
    <m/>
    <m/>
    <m/>
    <m/>
    <m/>
  </r>
  <r>
    <x v="0"/>
    <x v="1"/>
    <x v="1"/>
    <d v="2025-04-02T00:00:00"/>
    <n v="33"/>
    <x v="2"/>
    <s v="JC"/>
    <n v="0"/>
    <n v="2"/>
    <n v="2"/>
    <m/>
    <m/>
    <m/>
    <m/>
    <m/>
    <m/>
  </r>
  <r>
    <x v="0"/>
    <x v="2"/>
    <x v="1"/>
    <d v="2025-04-03T00:00:00"/>
    <n v="34"/>
    <x v="0"/>
    <s v="JCQ"/>
    <n v="2"/>
    <n v="0"/>
    <n v="0"/>
    <m/>
    <m/>
    <m/>
    <m/>
    <m/>
    <m/>
  </r>
  <r>
    <x v="0"/>
    <x v="2"/>
    <x v="1"/>
    <d v="2025-04-03T00:00:00"/>
    <n v="34"/>
    <x v="1"/>
    <s v="JCQ"/>
    <n v="4"/>
    <n v="1"/>
    <n v="1"/>
    <m/>
    <m/>
    <m/>
    <m/>
    <m/>
    <m/>
  </r>
  <r>
    <x v="0"/>
    <x v="2"/>
    <x v="1"/>
    <d v="2025-04-03T00:00:00"/>
    <n v="34"/>
    <x v="2"/>
    <s v="JCQ"/>
    <n v="2"/>
    <n v="0"/>
    <n v="0"/>
    <m/>
    <m/>
    <m/>
    <m/>
    <m/>
    <m/>
  </r>
  <r>
    <x v="0"/>
    <x v="0"/>
    <x v="1"/>
    <d v="2025-04-04T00:00:00"/>
    <n v="35"/>
    <x v="0"/>
    <s v="CJ"/>
    <n v="2"/>
    <n v="1"/>
    <m/>
    <m/>
    <m/>
    <m/>
    <m/>
    <m/>
    <m/>
  </r>
  <r>
    <x v="0"/>
    <x v="0"/>
    <x v="1"/>
    <d v="2025-04-04T00:00:00"/>
    <n v="35"/>
    <x v="1"/>
    <s v="CJ"/>
    <n v="4"/>
    <n v="1"/>
    <m/>
    <m/>
    <m/>
    <m/>
    <m/>
    <m/>
    <m/>
  </r>
  <r>
    <x v="0"/>
    <x v="0"/>
    <x v="1"/>
    <d v="2025-04-04T00:00:00"/>
    <n v="35"/>
    <x v="2"/>
    <s v="CJ"/>
    <n v="2"/>
    <n v="0"/>
    <m/>
    <m/>
    <m/>
    <m/>
    <m/>
    <m/>
    <m/>
  </r>
  <r>
    <x v="0"/>
    <x v="1"/>
    <x v="1"/>
    <d v="2025-04-07T00:00:00"/>
    <n v="36"/>
    <x v="0"/>
    <s v="JCQ"/>
    <n v="1"/>
    <n v="0"/>
    <n v="0"/>
    <m/>
    <m/>
    <m/>
    <m/>
    <m/>
    <m/>
  </r>
  <r>
    <x v="0"/>
    <x v="1"/>
    <x v="1"/>
    <d v="2025-04-07T00:00:00"/>
    <n v="36"/>
    <x v="1"/>
    <s v="JCQ"/>
    <n v="0"/>
    <n v="1"/>
    <n v="0"/>
    <m/>
    <m/>
    <m/>
    <m/>
    <m/>
    <m/>
  </r>
  <r>
    <x v="0"/>
    <x v="1"/>
    <x v="1"/>
    <d v="2025-04-07T00:00:00"/>
    <n v="36"/>
    <x v="2"/>
    <s v="JCQ"/>
    <n v="0"/>
    <n v="1"/>
    <n v="0"/>
    <m/>
    <m/>
    <m/>
    <m/>
    <m/>
    <m/>
  </r>
  <r>
    <x v="0"/>
    <x v="0"/>
    <x v="1"/>
    <d v="2025-04-07T00:00:00"/>
    <n v="37"/>
    <x v="0"/>
    <s v="JC"/>
    <n v="0"/>
    <n v="2"/>
    <m/>
    <m/>
    <m/>
    <m/>
    <m/>
    <m/>
    <m/>
  </r>
  <r>
    <x v="0"/>
    <x v="0"/>
    <x v="1"/>
    <d v="2025-04-07T00:00:00"/>
    <n v="37"/>
    <x v="1"/>
    <s v="JC"/>
    <n v="3"/>
    <n v="1"/>
    <m/>
    <m/>
    <m/>
    <m/>
    <m/>
    <m/>
    <m/>
  </r>
  <r>
    <x v="0"/>
    <x v="0"/>
    <x v="1"/>
    <d v="2025-04-07T00:00:00"/>
    <n v="37"/>
    <x v="2"/>
    <s v="JC"/>
    <n v="5"/>
    <n v="3"/>
    <m/>
    <m/>
    <m/>
    <m/>
    <m/>
    <m/>
    <m/>
  </r>
  <r>
    <x v="0"/>
    <x v="2"/>
    <x v="1"/>
    <d v="2025-04-08T00:00:00"/>
    <n v="38"/>
    <x v="0"/>
    <s v="CJD"/>
    <n v="0"/>
    <n v="2"/>
    <m/>
    <n v="4"/>
    <m/>
    <m/>
    <m/>
    <m/>
    <m/>
  </r>
  <r>
    <x v="0"/>
    <x v="2"/>
    <x v="1"/>
    <d v="2025-04-08T00:00:00"/>
    <n v="38"/>
    <x v="1"/>
    <s v="CJD"/>
    <n v="0"/>
    <n v="1"/>
    <m/>
    <n v="4"/>
    <m/>
    <m/>
    <m/>
    <m/>
    <m/>
  </r>
  <r>
    <x v="0"/>
    <x v="2"/>
    <x v="1"/>
    <d v="2025-04-08T00:00:00"/>
    <n v="38"/>
    <x v="2"/>
    <s v="CJD"/>
    <n v="1"/>
    <n v="1"/>
    <m/>
    <n v="1"/>
    <m/>
    <m/>
    <m/>
    <m/>
    <m/>
  </r>
  <r>
    <x v="0"/>
    <x v="0"/>
    <x v="1"/>
    <d v="2025-04-09T00:00:00"/>
    <n v="39"/>
    <x v="0"/>
    <s v="CJ"/>
    <n v="5"/>
    <n v="3"/>
    <m/>
    <m/>
    <m/>
    <m/>
    <m/>
    <m/>
    <m/>
  </r>
  <r>
    <x v="0"/>
    <x v="0"/>
    <x v="1"/>
    <d v="2025-04-09T00:00:00"/>
    <n v="39"/>
    <x v="1"/>
    <s v="CJ"/>
    <n v="7"/>
    <n v="1"/>
    <m/>
    <m/>
    <m/>
    <m/>
    <m/>
    <m/>
    <m/>
  </r>
  <r>
    <x v="0"/>
    <x v="0"/>
    <x v="1"/>
    <d v="2025-04-09T00:00:00"/>
    <n v="39"/>
    <x v="2"/>
    <s v="CJ"/>
    <n v="3"/>
    <n v="2"/>
    <m/>
    <m/>
    <m/>
    <m/>
    <m/>
    <m/>
    <m/>
  </r>
  <r>
    <x v="0"/>
    <x v="1"/>
    <x v="1"/>
    <d v="2025-04-09T00:00:00"/>
    <n v="40"/>
    <x v="0"/>
    <s v="CJ"/>
    <n v="1"/>
    <n v="3"/>
    <m/>
    <m/>
    <m/>
    <m/>
    <m/>
    <m/>
    <m/>
  </r>
  <r>
    <x v="0"/>
    <x v="1"/>
    <x v="1"/>
    <d v="2025-04-09T00:00:00"/>
    <n v="40"/>
    <x v="1"/>
    <s v="CJ"/>
    <n v="2"/>
    <n v="3"/>
    <m/>
    <m/>
    <m/>
    <m/>
    <m/>
    <m/>
    <m/>
  </r>
  <r>
    <x v="0"/>
    <x v="1"/>
    <x v="1"/>
    <d v="2025-04-09T00:00:00"/>
    <n v="40"/>
    <x v="2"/>
    <s v="CJ"/>
    <n v="5"/>
    <n v="0"/>
    <m/>
    <m/>
    <m/>
    <m/>
    <m/>
    <m/>
    <m/>
  </r>
  <r>
    <x v="0"/>
    <x v="2"/>
    <x v="1"/>
    <d v="2025-04-09T00:00:00"/>
    <n v="41"/>
    <x v="0"/>
    <s v="CJ"/>
    <n v="0"/>
    <n v="2"/>
    <m/>
    <m/>
    <m/>
    <m/>
    <m/>
    <m/>
    <m/>
  </r>
  <r>
    <x v="0"/>
    <x v="2"/>
    <x v="1"/>
    <d v="2025-04-09T00:00:00"/>
    <n v="41"/>
    <x v="1"/>
    <s v="CJ"/>
    <n v="3"/>
    <n v="0"/>
    <m/>
    <m/>
    <m/>
    <m/>
    <m/>
    <m/>
    <m/>
  </r>
  <r>
    <x v="0"/>
    <x v="2"/>
    <x v="1"/>
    <d v="2025-04-09T00:00:00"/>
    <n v="41"/>
    <x v="2"/>
    <s v="CJ"/>
    <n v="1"/>
    <n v="0"/>
    <m/>
    <m/>
    <m/>
    <m/>
    <m/>
    <m/>
    <m/>
  </r>
  <r>
    <x v="0"/>
    <x v="1"/>
    <x v="1"/>
    <d v="2025-04-10T00:00:00"/>
    <n v="42"/>
    <x v="0"/>
    <s v="JC"/>
    <n v="3"/>
    <n v="1"/>
    <m/>
    <m/>
    <m/>
    <m/>
    <m/>
    <m/>
    <m/>
  </r>
  <r>
    <x v="0"/>
    <x v="1"/>
    <x v="1"/>
    <d v="2025-04-10T00:00:00"/>
    <n v="42"/>
    <x v="1"/>
    <s v="JC"/>
    <n v="1"/>
    <n v="2"/>
    <m/>
    <m/>
    <m/>
    <m/>
    <m/>
    <m/>
    <m/>
  </r>
  <r>
    <x v="0"/>
    <x v="1"/>
    <x v="1"/>
    <d v="2025-04-10T00:00:00"/>
    <n v="42"/>
    <x v="2"/>
    <s v="JC"/>
    <n v="1"/>
    <n v="3"/>
    <m/>
    <m/>
    <m/>
    <m/>
    <m/>
    <m/>
    <m/>
  </r>
  <r>
    <x v="0"/>
    <x v="0"/>
    <x v="1"/>
    <d v="2025-04-14T00:00:00"/>
    <n v="43"/>
    <x v="0"/>
    <s v="JCQ"/>
    <n v="7"/>
    <n v="1"/>
    <m/>
    <n v="2"/>
    <m/>
    <m/>
    <m/>
    <m/>
    <m/>
  </r>
  <r>
    <x v="0"/>
    <x v="0"/>
    <x v="1"/>
    <d v="2025-04-14T00:00:00"/>
    <n v="43"/>
    <x v="1"/>
    <s v="JCQ"/>
    <n v="0"/>
    <n v="2"/>
    <m/>
    <n v="2"/>
    <m/>
    <m/>
    <m/>
    <m/>
    <m/>
  </r>
  <r>
    <x v="0"/>
    <x v="0"/>
    <x v="1"/>
    <d v="2025-04-14T00:00:00"/>
    <n v="43"/>
    <x v="2"/>
    <s v="JCQ"/>
    <n v="1"/>
    <n v="4"/>
    <m/>
    <n v="0"/>
    <m/>
    <m/>
    <m/>
    <m/>
    <m/>
  </r>
  <r>
    <x v="0"/>
    <x v="0"/>
    <x v="1"/>
    <d v="2025-04-15T00:00:00"/>
    <n v="44"/>
    <x v="0"/>
    <s v="CJV"/>
    <n v="0"/>
    <n v="0"/>
    <m/>
    <m/>
    <m/>
    <m/>
    <n v="1"/>
    <m/>
    <m/>
  </r>
  <r>
    <x v="0"/>
    <x v="0"/>
    <x v="1"/>
    <d v="2025-04-15T00:00:00"/>
    <n v="44"/>
    <x v="1"/>
    <s v="CJV"/>
    <n v="1"/>
    <n v="2"/>
    <m/>
    <m/>
    <m/>
    <m/>
    <n v="1"/>
    <m/>
    <m/>
  </r>
  <r>
    <x v="0"/>
    <x v="0"/>
    <x v="1"/>
    <d v="2025-04-15T00:00:00"/>
    <n v="44"/>
    <x v="2"/>
    <s v="CJV"/>
    <n v="6"/>
    <n v="3"/>
    <m/>
    <m/>
    <m/>
    <m/>
    <n v="0"/>
    <m/>
    <m/>
  </r>
  <r>
    <x v="1"/>
    <x v="0"/>
    <x v="1"/>
    <d v="2025-04-15T00:00:00"/>
    <n v="45"/>
    <x v="0"/>
    <s v="JC"/>
    <n v="4"/>
    <n v="0"/>
    <m/>
    <n v="0"/>
    <m/>
    <m/>
    <m/>
    <m/>
    <m/>
  </r>
  <r>
    <x v="1"/>
    <x v="0"/>
    <x v="1"/>
    <d v="2025-04-15T00:00:00"/>
    <n v="45"/>
    <x v="1"/>
    <s v="JC"/>
    <n v="0"/>
    <n v="1"/>
    <m/>
    <n v="0"/>
    <m/>
    <m/>
    <m/>
    <m/>
    <m/>
  </r>
  <r>
    <x v="1"/>
    <x v="0"/>
    <x v="1"/>
    <d v="2025-04-15T00:00:00"/>
    <n v="45"/>
    <x v="2"/>
    <s v="JC"/>
    <n v="3"/>
    <n v="0"/>
    <m/>
    <n v="0"/>
    <m/>
    <m/>
    <m/>
    <m/>
    <m/>
  </r>
  <r>
    <x v="0"/>
    <x v="1"/>
    <x v="1"/>
    <d v="2025-04-15T00:00:00"/>
    <n v="46"/>
    <x v="0"/>
    <s v="CJ"/>
    <n v="3"/>
    <n v="0"/>
    <m/>
    <m/>
    <m/>
    <m/>
    <m/>
    <m/>
    <m/>
  </r>
  <r>
    <x v="0"/>
    <x v="1"/>
    <x v="1"/>
    <d v="2025-04-15T00:00:00"/>
    <n v="46"/>
    <x v="1"/>
    <s v="CJ"/>
    <n v="3"/>
    <n v="1"/>
    <m/>
    <m/>
    <m/>
    <m/>
    <m/>
    <m/>
    <m/>
  </r>
  <r>
    <x v="0"/>
    <x v="1"/>
    <x v="1"/>
    <d v="2025-04-15T00:00:00"/>
    <n v="46"/>
    <x v="2"/>
    <s v="CJ"/>
    <n v="4"/>
    <n v="1"/>
    <m/>
    <m/>
    <m/>
    <m/>
    <m/>
    <m/>
    <m/>
  </r>
  <r>
    <x v="0"/>
    <x v="0"/>
    <x v="1"/>
    <d v="2025-04-15T00:00:00"/>
    <n v="47"/>
    <x v="0"/>
    <s v="JD"/>
    <m/>
    <n v="0"/>
    <m/>
    <n v="1"/>
    <m/>
    <m/>
    <m/>
    <m/>
    <m/>
  </r>
  <r>
    <x v="0"/>
    <x v="0"/>
    <x v="1"/>
    <d v="2025-04-15T00:00:00"/>
    <n v="47"/>
    <x v="1"/>
    <s v="JD"/>
    <m/>
    <n v="3"/>
    <m/>
    <n v="0"/>
    <m/>
    <m/>
    <m/>
    <m/>
    <m/>
  </r>
  <r>
    <x v="0"/>
    <x v="0"/>
    <x v="1"/>
    <d v="2025-04-15T00:00:00"/>
    <n v="47"/>
    <x v="2"/>
    <s v="JD"/>
    <m/>
    <n v="0"/>
    <m/>
    <n v="0"/>
    <m/>
    <m/>
    <m/>
    <m/>
    <m/>
  </r>
  <r>
    <x v="0"/>
    <x v="2"/>
    <x v="1"/>
    <d v="2025-04-16T00:00:00"/>
    <n v="48"/>
    <x v="0"/>
    <s v="JC"/>
    <n v="1"/>
    <n v="0"/>
    <m/>
    <m/>
    <m/>
    <m/>
    <m/>
    <m/>
    <m/>
  </r>
  <r>
    <x v="0"/>
    <x v="2"/>
    <x v="1"/>
    <d v="2025-04-16T00:00:00"/>
    <n v="48"/>
    <x v="1"/>
    <s v="JC"/>
    <n v="1"/>
    <n v="4"/>
    <m/>
    <m/>
    <m/>
    <m/>
    <m/>
    <m/>
    <m/>
  </r>
  <r>
    <x v="0"/>
    <x v="2"/>
    <x v="1"/>
    <d v="2025-04-16T00:00:00"/>
    <n v="48"/>
    <x v="2"/>
    <s v="JC"/>
    <n v="1"/>
    <n v="0"/>
    <m/>
    <m/>
    <m/>
    <m/>
    <m/>
    <m/>
    <m/>
  </r>
  <r>
    <x v="0"/>
    <x v="1"/>
    <x v="1"/>
    <d v="2025-04-16T00:00:00"/>
    <n v="49"/>
    <x v="0"/>
    <s v="CJ"/>
    <n v="2"/>
    <n v="0"/>
    <m/>
    <m/>
    <m/>
    <m/>
    <m/>
    <m/>
    <m/>
  </r>
  <r>
    <x v="0"/>
    <x v="1"/>
    <x v="1"/>
    <d v="2025-04-16T00:00:00"/>
    <n v="49"/>
    <x v="1"/>
    <s v="CJ"/>
    <n v="2"/>
    <n v="1"/>
    <m/>
    <m/>
    <m/>
    <m/>
    <m/>
    <m/>
    <m/>
  </r>
  <r>
    <x v="0"/>
    <x v="1"/>
    <x v="1"/>
    <d v="2025-04-16T00:00:00"/>
    <n v="49"/>
    <x v="2"/>
    <s v="CJ"/>
    <n v="3"/>
    <n v="3"/>
    <m/>
    <m/>
    <m/>
    <m/>
    <m/>
    <m/>
    <m/>
  </r>
  <r>
    <x v="0"/>
    <x v="0"/>
    <x v="1"/>
    <d v="2025-04-16T00:00:00"/>
    <n v="50"/>
    <x v="0"/>
    <s v="CJ"/>
    <n v="0"/>
    <n v="0"/>
    <m/>
    <m/>
    <m/>
    <m/>
    <m/>
    <m/>
    <m/>
  </r>
  <r>
    <x v="0"/>
    <x v="0"/>
    <x v="1"/>
    <d v="2025-04-16T00:00:00"/>
    <n v="50"/>
    <x v="1"/>
    <s v="CJ"/>
    <n v="0"/>
    <n v="1"/>
    <m/>
    <m/>
    <m/>
    <m/>
    <m/>
    <m/>
    <m/>
  </r>
  <r>
    <x v="0"/>
    <x v="0"/>
    <x v="1"/>
    <d v="2025-04-16T00:00:00"/>
    <n v="50"/>
    <x v="2"/>
    <s v="CJ"/>
    <n v="3"/>
    <n v="4"/>
    <m/>
    <m/>
    <m/>
    <m/>
    <m/>
    <m/>
    <m/>
  </r>
  <r>
    <x v="0"/>
    <x v="0"/>
    <x v="1"/>
    <d v="2025-04-16T00:00:00"/>
    <n v="51"/>
    <x v="0"/>
    <s v="JC"/>
    <n v="0"/>
    <n v="0"/>
    <m/>
    <m/>
    <m/>
    <m/>
    <m/>
    <m/>
    <m/>
  </r>
  <r>
    <x v="0"/>
    <x v="0"/>
    <x v="1"/>
    <d v="2025-04-16T00:00:00"/>
    <n v="51"/>
    <x v="1"/>
    <s v="JC"/>
    <n v="3"/>
    <n v="2"/>
    <m/>
    <m/>
    <m/>
    <m/>
    <m/>
    <m/>
    <m/>
  </r>
  <r>
    <x v="0"/>
    <x v="0"/>
    <x v="1"/>
    <d v="2025-04-16T00:00:00"/>
    <n v="51"/>
    <x v="2"/>
    <s v="JC"/>
    <n v="3"/>
    <n v="5"/>
    <m/>
    <m/>
    <m/>
    <m/>
    <m/>
    <m/>
    <m/>
  </r>
  <r>
    <x v="0"/>
    <x v="0"/>
    <x v="1"/>
    <d v="2025-04-16T00:00:00"/>
    <n v="52"/>
    <x v="0"/>
    <s v="CJ"/>
    <n v="5"/>
    <n v="0"/>
    <m/>
    <m/>
    <m/>
    <m/>
    <m/>
    <m/>
    <m/>
  </r>
  <r>
    <x v="0"/>
    <x v="0"/>
    <x v="1"/>
    <d v="2025-04-16T00:00:00"/>
    <n v="52"/>
    <x v="1"/>
    <s v="CJ"/>
    <n v="4"/>
    <n v="3"/>
    <m/>
    <m/>
    <m/>
    <m/>
    <m/>
    <m/>
    <m/>
  </r>
  <r>
    <x v="0"/>
    <x v="0"/>
    <x v="1"/>
    <d v="2025-04-16T00:00:00"/>
    <n v="52"/>
    <x v="2"/>
    <s v="CJ"/>
    <n v="1"/>
    <n v="2"/>
    <m/>
    <m/>
    <m/>
    <m/>
    <m/>
    <m/>
    <m/>
  </r>
  <r>
    <x v="0"/>
    <x v="0"/>
    <x v="1"/>
    <d v="2025-04-17T00:00:00"/>
    <n v="53"/>
    <x v="0"/>
    <s v="CJ"/>
    <n v="3"/>
    <n v="0"/>
    <m/>
    <m/>
    <m/>
    <m/>
    <m/>
    <m/>
    <m/>
  </r>
  <r>
    <x v="0"/>
    <x v="0"/>
    <x v="1"/>
    <d v="2025-04-17T00:00:00"/>
    <n v="53"/>
    <x v="1"/>
    <s v="CJ"/>
    <n v="3"/>
    <n v="0"/>
    <m/>
    <m/>
    <m/>
    <m/>
    <m/>
    <m/>
    <m/>
  </r>
  <r>
    <x v="0"/>
    <x v="0"/>
    <x v="1"/>
    <d v="2025-04-17T00:00:00"/>
    <n v="53"/>
    <x v="2"/>
    <s v="CJ"/>
    <n v="4"/>
    <n v="0"/>
    <m/>
    <m/>
    <m/>
    <m/>
    <m/>
    <m/>
    <m/>
  </r>
  <r>
    <x v="0"/>
    <x v="2"/>
    <x v="1"/>
    <d v="2025-04-17T00:00:00"/>
    <n v="54"/>
    <x v="0"/>
    <s v="QJCDY"/>
    <n v="2"/>
    <n v="1"/>
    <n v="0"/>
    <n v="1"/>
    <n v="0"/>
    <m/>
    <m/>
    <m/>
    <m/>
  </r>
  <r>
    <x v="0"/>
    <x v="2"/>
    <x v="1"/>
    <d v="2025-04-17T00:00:00"/>
    <n v="54"/>
    <x v="1"/>
    <s v="QJCDY"/>
    <n v="1"/>
    <n v="1"/>
    <n v="0"/>
    <n v="2"/>
    <n v="0"/>
    <m/>
    <m/>
    <m/>
    <m/>
  </r>
  <r>
    <x v="0"/>
    <x v="2"/>
    <x v="1"/>
    <d v="2025-04-17T00:00:00"/>
    <n v="54"/>
    <x v="2"/>
    <s v="QJCDY"/>
    <n v="3"/>
    <n v="1"/>
    <n v="0"/>
    <n v="0"/>
    <n v="1"/>
    <m/>
    <m/>
    <m/>
    <m/>
  </r>
  <r>
    <x v="0"/>
    <x v="0"/>
    <x v="1"/>
    <d v="2025-04-18T00:00:00"/>
    <n v="55"/>
    <x v="0"/>
    <s v="CJ"/>
    <n v="0"/>
    <n v="1"/>
    <m/>
    <m/>
    <m/>
    <m/>
    <m/>
    <m/>
    <m/>
  </r>
  <r>
    <x v="0"/>
    <x v="0"/>
    <x v="1"/>
    <d v="2025-04-18T00:00:00"/>
    <n v="55"/>
    <x v="1"/>
    <s v="CJ"/>
    <n v="3"/>
    <n v="4"/>
    <m/>
    <m/>
    <m/>
    <m/>
    <m/>
    <m/>
    <m/>
  </r>
  <r>
    <x v="0"/>
    <x v="0"/>
    <x v="1"/>
    <d v="2025-04-18T00:00:00"/>
    <n v="55"/>
    <x v="2"/>
    <s v="CJ"/>
    <n v="6"/>
    <n v="2"/>
    <m/>
    <m/>
    <m/>
    <m/>
    <m/>
    <m/>
    <m/>
  </r>
  <r>
    <x v="0"/>
    <x v="1"/>
    <x v="1"/>
    <d v="2025-04-18T00:00:00"/>
    <n v="56"/>
    <x v="0"/>
    <s v="CJ"/>
    <n v="5"/>
    <n v="2"/>
    <m/>
    <m/>
    <m/>
    <m/>
    <m/>
    <m/>
    <m/>
  </r>
  <r>
    <x v="0"/>
    <x v="1"/>
    <x v="1"/>
    <d v="2025-04-18T00:00:00"/>
    <n v="56"/>
    <x v="1"/>
    <s v="CJ"/>
    <n v="5"/>
    <n v="1"/>
    <m/>
    <m/>
    <m/>
    <m/>
    <m/>
    <m/>
    <m/>
  </r>
  <r>
    <x v="0"/>
    <x v="1"/>
    <x v="1"/>
    <d v="2025-04-18T00:00:00"/>
    <n v="56"/>
    <x v="2"/>
    <s v="CJ"/>
    <n v="0"/>
    <n v="0"/>
    <m/>
    <m/>
    <m/>
    <m/>
    <m/>
    <m/>
    <m/>
  </r>
  <r>
    <x v="0"/>
    <x v="0"/>
    <x v="1"/>
    <d v="2025-04-21T00:00:00"/>
    <n v="57"/>
    <x v="0"/>
    <s v="JCK"/>
    <n v="1"/>
    <n v="3"/>
    <m/>
    <m/>
    <m/>
    <n v="0"/>
    <m/>
    <m/>
    <m/>
  </r>
  <r>
    <x v="0"/>
    <x v="0"/>
    <x v="1"/>
    <d v="2025-04-21T00:00:00"/>
    <n v="57"/>
    <x v="1"/>
    <s v="JCK"/>
    <n v="4"/>
    <n v="1"/>
    <m/>
    <m/>
    <m/>
    <n v="0"/>
    <m/>
    <m/>
    <m/>
  </r>
  <r>
    <x v="0"/>
    <x v="0"/>
    <x v="1"/>
    <d v="2025-04-21T00:00:00"/>
    <n v="57"/>
    <x v="2"/>
    <s v="JCK"/>
    <n v="0"/>
    <n v="3"/>
    <m/>
    <m/>
    <m/>
    <n v="0"/>
    <m/>
    <m/>
    <m/>
  </r>
  <r>
    <x v="0"/>
    <x v="1"/>
    <x v="1"/>
    <d v="2025-04-21T00:00:00"/>
    <n v="58"/>
    <x v="0"/>
    <s v="CJK"/>
    <n v="0"/>
    <n v="1"/>
    <m/>
    <m/>
    <m/>
    <n v="0"/>
    <m/>
    <m/>
    <m/>
  </r>
  <r>
    <x v="0"/>
    <x v="1"/>
    <x v="1"/>
    <d v="2025-04-21T00:00:00"/>
    <n v="58"/>
    <x v="1"/>
    <s v="CJK"/>
    <n v="2"/>
    <n v="0"/>
    <m/>
    <m/>
    <m/>
    <n v="3"/>
    <m/>
    <m/>
    <m/>
  </r>
  <r>
    <x v="0"/>
    <x v="1"/>
    <x v="1"/>
    <d v="2025-04-21T00:00:00"/>
    <n v="58"/>
    <x v="2"/>
    <s v="CJK"/>
    <n v="2"/>
    <n v="2"/>
    <m/>
    <m/>
    <m/>
    <n v="1"/>
    <m/>
    <m/>
    <m/>
  </r>
  <r>
    <x v="0"/>
    <x v="1"/>
    <x v="1"/>
    <d v="2025-04-21T00:00:00"/>
    <n v="58"/>
    <x v="3"/>
    <s v="CJK"/>
    <n v="0"/>
    <m/>
    <m/>
    <m/>
    <m/>
    <n v="0"/>
    <m/>
    <m/>
    <m/>
  </r>
  <r>
    <x v="0"/>
    <x v="1"/>
    <x v="1"/>
    <d v="2025-04-21T00:00:00"/>
    <n v="58"/>
    <x v="4"/>
    <s v="CJK"/>
    <n v="5"/>
    <m/>
    <m/>
    <m/>
    <m/>
    <n v="0"/>
    <m/>
    <m/>
    <m/>
  </r>
  <r>
    <x v="0"/>
    <x v="2"/>
    <x v="1"/>
    <d v="2025-04-21T00:00:00"/>
    <n v="59"/>
    <x v="0"/>
    <s v="CJ"/>
    <n v="4"/>
    <n v="1"/>
    <m/>
    <m/>
    <m/>
    <m/>
    <m/>
    <m/>
    <m/>
  </r>
  <r>
    <x v="0"/>
    <x v="2"/>
    <x v="1"/>
    <d v="2025-04-21T00:00:00"/>
    <n v="59"/>
    <x v="1"/>
    <s v="CJ"/>
    <n v="3"/>
    <n v="0"/>
    <m/>
    <m/>
    <m/>
    <m/>
    <m/>
    <m/>
    <m/>
  </r>
  <r>
    <x v="0"/>
    <x v="2"/>
    <x v="1"/>
    <d v="2025-04-21T00:00:00"/>
    <n v="59"/>
    <x v="2"/>
    <s v="CJ"/>
    <n v="5"/>
    <n v="0"/>
    <m/>
    <m/>
    <m/>
    <m/>
    <m/>
    <m/>
    <m/>
  </r>
  <r>
    <x v="0"/>
    <x v="0"/>
    <x v="1"/>
    <d v="2025-04-22T00:00:00"/>
    <n v="60"/>
    <x v="0"/>
    <s v="JC"/>
    <n v="2"/>
    <n v="4"/>
    <m/>
    <m/>
    <m/>
    <m/>
    <m/>
    <m/>
    <m/>
  </r>
  <r>
    <x v="0"/>
    <x v="0"/>
    <x v="1"/>
    <d v="2025-04-22T00:00:00"/>
    <n v="60"/>
    <x v="1"/>
    <s v="JC"/>
    <n v="3"/>
    <n v="5"/>
    <m/>
    <m/>
    <m/>
    <m/>
    <m/>
    <m/>
    <m/>
  </r>
  <r>
    <x v="0"/>
    <x v="0"/>
    <x v="1"/>
    <d v="2025-04-22T00:00:00"/>
    <n v="60"/>
    <x v="2"/>
    <s v="JC"/>
    <n v="0"/>
    <n v="3"/>
    <m/>
    <m/>
    <m/>
    <m/>
    <m/>
    <m/>
    <m/>
  </r>
  <r>
    <x v="0"/>
    <x v="1"/>
    <x v="1"/>
    <d v="2025-04-22T00:00:00"/>
    <n v="61"/>
    <x v="0"/>
    <s v="CJ"/>
    <n v="5"/>
    <n v="1"/>
    <m/>
    <m/>
    <m/>
    <m/>
    <m/>
    <m/>
    <m/>
  </r>
  <r>
    <x v="0"/>
    <x v="1"/>
    <x v="1"/>
    <d v="2025-04-22T00:00:00"/>
    <n v="61"/>
    <x v="1"/>
    <s v="CJ"/>
    <n v="7"/>
    <n v="1"/>
    <m/>
    <m/>
    <m/>
    <m/>
    <m/>
    <m/>
    <m/>
  </r>
  <r>
    <x v="0"/>
    <x v="1"/>
    <x v="1"/>
    <d v="2025-04-22T00:00:00"/>
    <n v="61"/>
    <x v="2"/>
    <s v="CJ"/>
    <n v="1"/>
    <n v="0"/>
    <m/>
    <m/>
    <m/>
    <m/>
    <m/>
    <m/>
    <m/>
  </r>
  <r>
    <x v="0"/>
    <x v="2"/>
    <x v="1"/>
    <d v="2025-04-22T00:00:00"/>
    <n v="62"/>
    <x v="0"/>
    <s v="JCD"/>
    <n v="0"/>
    <n v="1"/>
    <m/>
    <n v="0"/>
    <m/>
    <m/>
    <m/>
    <m/>
    <m/>
  </r>
  <r>
    <x v="0"/>
    <x v="2"/>
    <x v="1"/>
    <d v="2025-04-22T00:00:00"/>
    <n v="62"/>
    <x v="1"/>
    <s v="JCD"/>
    <n v="6"/>
    <n v="0"/>
    <m/>
    <n v="0"/>
    <m/>
    <m/>
    <m/>
    <m/>
    <m/>
  </r>
  <r>
    <x v="0"/>
    <x v="2"/>
    <x v="1"/>
    <d v="2025-04-22T00:00:00"/>
    <n v="62"/>
    <x v="2"/>
    <s v="JCD"/>
    <n v="2"/>
    <n v="1"/>
    <m/>
    <n v="1"/>
    <m/>
    <m/>
    <m/>
    <m/>
    <m/>
  </r>
  <r>
    <x v="0"/>
    <x v="0"/>
    <x v="1"/>
    <d v="2025-04-23T00:00:00"/>
    <n v="63"/>
    <x v="0"/>
    <s v="CJ"/>
    <n v="3"/>
    <n v="0"/>
    <m/>
    <m/>
    <m/>
    <m/>
    <m/>
    <m/>
    <m/>
  </r>
  <r>
    <x v="0"/>
    <x v="0"/>
    <x v="1"/>
    <d v="2025-04-23T00:00:00"/>
    <n v="63"/>
    <x v="1"/>
    <s v="CJ"/>
    <n v="3"/>
    <n v="4"/>
    <m/>
    <m/>
    <m/>
    <m/>
    <m/>
    <m/>
    <m/>
  </r>
  <r>
    <x v="0"/>
    <x v="0"/>
    <x v="1"/>
    <d v="2025-04-23T00:00:00"/>
    <n v="63"/>
    <x v="2"/>
    <s v="CJ"/>
    <n v="3"/>
    <n v="0"/>
    <m/>
    <m/>
    <m/>
    <m/>
    <m/>
    <m/>
    <m/>
  </r>
  <r>
    <x v="0"/>
    <x v="0"/>
    <x v="1"/>
    <d v="2025-04-23T00:00:00"/>
    <n v="64"/>
    <x v="0"/>
    <s v="QJ"/>
    <m/>
    <n v="0"/>
    <n v="1"/>
    <m/>
    <m/>
    <m/>
    <m/>
    <m/>
    <m/>
  </r>
  <r>
    <x v="0"/>
    <x v="0"/>
    <x v="1"/>
    <d v="2025-04-23T00:00:00"/>
    <n v="64"/>
    <x v="1"/>
    <s v="QJ"/>
    <m/>
    <n v="0"/>
    <n v="0"/>
    <m/>
    <m/>
    <m/>
    <m/>
    <m/>
    <m/>
  </r>
  <r>
    <x v="0"/>
    <x v="0"/>
    <x v="1"/>
    <d v="2025-04-23T00:00:00"/>
    <n v="64"/>
    <x v="2"/>
    <s v="QJ"/>
    <m/>
    <n v="3"/>
    <n v="2"/>
    <m/>
    <m/>
    <m/>
    <m/>
    <m/>
    <m/>
  </r>
  <r>
    <x v="0"/>
    <x v="0"/>
    <x v="1"/>
    <d v="2025-04-23T00:00:00"/>
    <n v="64"/>
    <x v="3"/>
    <s v="QJ"/>
    <m/>
    <n v="3"/>
    <n v="3"/>
    <m/>
    <m/>
    <m/>
    <m/>
    <m/>
    <m/>
  </r>
  <r>
    <x v="0"/>
    <x v="0"/>
    <x v="1"/>
    <d v="2025-04-23T00:00:00"/>
    <n v="64"/>
    <x v="4"/>
    <s v="QJ"/>
    <m/>
    <n v="3"/>
    <n v="1"/>
    <m/>
    <m/>
    <m/>
    <m/>
    <m/>
    <m/>
  </r>
  <r>
    <x v="0"/>
    <x v="0"/>
    <x v="1"/>
    <d v="2025-04-23T00:00:00"/>
    <n v="65"/>
    <x v="0"/>
    <s v="DCJ"/>
    <n v="2"/>
    <n v="1"/>
    <m/>
    <n v="2"/>
    <m/>
    <m/>
    <m/>
    <m/>
    <m/>
  </r>
  <r>
    <x v="0"/>
    <x v="0"/>
    <x v="1"/>
    <d v="2025-04-23T00:00:00"/>
    <n v="65"/>
    <x v="1"/>
    <s v="DCJ"/>
    <n v="3"/>
    <n v="2"/>
    <m/>
    <n v="1"/>
    <m/>
    <m/>
    <m/>
    <m/>
    <m/>
  </r>
  <r>
    <x v="0"/>
    <x v="0"/>
    <x v="1"/>
    <d v="2025-04-23T00:00:00"/>
    <n v="65"/>
    <x v="2"/>
    <s v="DCJ"/>
    <n v="2"/>
    <n v="0"/>
    <m/>
    <n v="1"/>
    <m/>
    <m/>
    <m/>
    <m/>
    <m/>
  </r>
  <r>
    <x v="0"/>
    <x v="2"/>
    <x v="1"/>
    <d v="2025-04-24T00:00:00"/>
    <n v="66"/>
    <x v="0"/>
    <s v="JC"/>
    <n v="5"/>
    <n v="1"/>
    <m/>
    <m/>
    <m/>
    <m/>
    <m/>
    <m/>
    <m/>
  </r>
  <r>
    <x v="0"/>
    <x v="2"/>
    <x v="1"/>
    <d v="2025-04-24T00:00:00"/>
    <n v="66"/>
    <x v="1"/>
    <s v="JC"/>
    <n v="0"/>
    <n v="2"/>
    <m/>
    <m/>
    <m/>
    <m/>
    <m/>
    <m/>
    <m/>
  </r>
  <r>
    <x v="0"/>
    <x v="2"/>
    <x v="1"/>
    <d v="2025-04-24T00:00:00"/>
    <n v="66"/>
    <x v="2"/>
    <s v="JC"/>
    <n v="1"/>
    <n v="0"/>
    <m/>
    <m/>
    <m/>
    <m/>
    <m/>
    <m/>
    <m/>
  </r>
  <r>
    <x v="0"/>
    <x v="1"/>
    <x v="1"/>
    <d v="2025-04-24T00:00:00"/>
    <n v="67"/>
    <x v="0"/>
    <s v="CJ"/>
    <n v="5"/>
    <n v="1"/>
    <m/>
    <m/>
    <m/>
    <m/>
    <m/>
    <m/>
    <m/>
  </r>
  <r>
    <x v="0"/>
    <x v="1"/>
    <x v="1"/>
    <d v="2025-04-24T00:00:00"/>
    <n v="67"/>
    <x v="1"/>
    <s v="CJ"/>
    <n v="0"/>
    <n v="1"/>
    <m/>
    <m/>
    <m/>
    <m/>
    <m/>
    <m/>
    <m/>
  </r>
  <r>
    <x v="0"/>
    <x v="1"/>
    <x v="1"/>
    <d v="2025-04-24T00:00:00"/>
    <n v="67"/>
    <x v="2"/>
    <s v="CJ"/>
    <n v="6"/>
    <n v="1"/>
    <m/>
    <m/>
    <m/>
    <m/>
    <m/>
    <m/>
    <m/>
  </r>
  <r>
    <x v="0"/>
    <x v="0"/>
    <x v="1"/>
    <d v="2025-04-24T00:00:00"/>
    <n v="68"/>
    <x v="0"/>
    <s v="JCQ"/>
    <n v="3"/>
    <n v="1"/>
    <n v="1"/>
    <m/>
    <m/>
    <m/>
    <m/>
    <m/>
    <m/>
  </r>
  <r>
    <x v="0"/>
    <x v="0"/>
    <x v="1"/>
    <d v="2025-04-24T00:00:00"/>
    <n v="68"/>
    <x v="1"/>
    <s v="JCQ"/>
    <n v="3"/>
    <n v="0"/>
    <n v="1"/>
    <m/>
    <m/>
    <m/>
    <m/>
    <m/>
    <m/>
  </r>
  <r>
    <x v="0"/>
    <x v="0"/>
    <x v="1"/>
    <d v="2025-04-24T00:00:00"/>
    <n v="68"/>
    <x v="2"/>
    <s v="JCQ"/>
    <n v="4"/>
    <n v="0"/>
    <n v="2"/>
    <m/>
    <m/>
    <m/>
    <m/>
    <m/>
    <m/>
  </r>
  <r>
    <x v="0"/>
    <x v="0"/>
    <x v="1"/>
    <d v="2025-04-24T00:00:00"/>
    <n v="69"/>
    <x v="0"/>
    <s v="CJQ"/>
    <n v="2"/>
    <n v="0"/>
    <n v="2"/>
    <m/>
    <m/>
    <m/>
    <m/>
    <m/>
    <m/>
  </r>
  <r>
    <x v="0"/>
    <x v="0"/>
    <x v="1"/>
    <d v="2025-04-24T00:00:00"/>
    <n v="69"/>
    <x v="1"/>
    <s v="CJQ"/>
    <n v="3"/>
    <n v="2"/>
    <n v="1"/>
    <m/>
    <m/>
    <m/>
    <m/>
    <m/>
    <m/>
  </r>
  <r>
    <x v="0"/>
    <x v="0"/>
    <x v="1"/>
    <d v="2025-04-24T00:00:00"/>
    <n v="69"/>
    <x v="2"/>
    <s v="CJQ"/>
    <n v="6"/>
    <n v="3"/>
    <n v="1"/>
    <m/>
    <m/>
    <m/>
    <m/>
    <m/>
    <m/>
  </r>
  <r>
    <x v="0"/>
    <x v="0"/>
    <x v="1"/>
    <d v="2025-04-25T00:00:00"/>
    <n v="70"/>
    <x v="0"/>
    <s v="JC"/>
    <n v="0"/>
    <n v="4"/>
    <m/>
    <m/>
    <m/>
    <m/>
    <m/>
    <m/>
    <m/>
  </r>
  <r>
    <x v="0"/>
    <x v="0"/>
    <x v="1"/>
    <d v="2025-04-25T00:00:00"/>
    <n v="70"/>
    <x v="1"/>
    <s v="JC"/>
    <n v="5"/>
    <n v="2"/>
    <m/>
    <m/>
    <m/>
    <m/>
    <m/>
    <m/>
    <m/>
  </r>
  <r>
    <x v="0"/>
    <x v="0"/>
    <x v="1"/>
    <d v="2025-04-25T00:00:00"/>
    <n v="70"/>
    <x v="2"/>
    <s v="JC"/>
    <n v="4"/>
    <n v="1"/>
    <m/>
    <m/>
    <m/>
    <m/>
    <m/>
    <m/>
    <m/>
  </r>
  <r>
    <x v="0"/>
    <x v="1"/>
    <x v="1"/>
    <d v="2025-04-25T00:00:00"/>
    <n v="71"/>
    <x v="0"/>
    <s v="CJ"/>
    <n v="8"/>
    <n v="3"/>
    <m/>
    <m/>
    <m/>
    <m/>
    <m/>
    <m/>
    <m/>
  </r>
  <r>
    <x v="0"/>
    <x v="1"/>
    <x v="1"/>
    <d v="2025-04-25T00:00:00"/>
    <n v="71"/>
    <x v="1"/>
    <s v="CJ"/>
    <n v="2"/>
    <n v="2"/>
    <m/>
    <m/>
    <m/>
    <m/>
    <m/>
    <m/>
    <m/>
  </r>
  <r>
    <x v="0"/>
    <x v="1"/>
    <x v="1"/>
    <d v="2025-04-25T00:00:00"/>
    <n v="71"/>
    <x v="2"/>
    <s v="CJ"/>
    <n v="3"/>
    <n v="3"/>
    <m/>
    <m/>
    <m/>
    <m/>
    <m/>
    <m/>
    <m/>
  </r>
  <r>
    <x v="0"/>
    <x v="0"/>
    <x v="1"/>
    <d v="2025-04-28T00:00:00"/>
    <n v="72"/>
    <x v="0"/>
    <s v="DCJ"/>
    <n v="3"/>
    <n v="0"/>
    <m/>
    <n v="0"/>
    <m/>
    <m/>
    <m/>
    <m/>
    <m/>
  </r>
  <r>
    <x v="0"/>
    <x v="0"/>
    <x v="1"/>
    <d v="2025-04-28T00:00:00"/>
    <n v="72"/>
    <x v="1"/>
    <s v="DCJ"/>
    <n v="0"/>
    <n v="1"/>
    <m/>
    <n v="0"/>
    <m/>
    <m/>
    <m/>
    <m/>
    <m/>
  </r>
  <r>
    <x v="0"/>
    <x v="0"/>
    <x v="1"/>
    <d v="2025-04-28T00:00:00"/>
    <n v="72"/>
    <x v="2"/>
    <s v="DCJ"/>
    <n v="1"/>
    <n v="0"/>
    <m/>
    <n v="0"/>
    <m/>
    <m/>
    <m/>
    <m/>
    <m/>
  </r>
  <r>
    <x v="0"/>
    <x v="1"/>
    <x v="1"/>
    <d v="2025-04-28T00:00:00"/>
    <n v="73"/>
    <x v="0"/>
    <s v="JC"/>
    <n v="1"/>
    <n v="6"/>
    <m/>
    <m/>
    <m/>
    <m/>
    <m/>
    <m/>
    <m/>
  </r>
  <r>
    <x v="0"/>
    <x v="1"/>
    <x v="1"/>
    <d v="2025-04-28T00:00:00"/>
    <n v="73"/>
    <x v="1"/>
    <s v="JC"/>
    <n v="0"/>
    <n v="4"/>
    <m/>
    <m/>
    <m/>
    <m/>
    <m/>
    <m/>
    <m/>
  </r>
  <r>
    <x v="0"/>
    <x v="1"/>
    <x v="1"/>
    <d v="2025-04-28T00:00:00"/>
    <n v="73"/>
    <x v="2"/>
    <s v="JC"/>
    <n v="1"/>
    <n v="0"/>
    <m/>
    <m/>
    <m/>
    <m/>
    <m/>
    <m/>
    <m/>
  </r>
  <r>
    <x v="0"/>
    <x v="2"/>
    <x v="1"/>
    <d v="2025-04-28T00:00:00"/>
    <n v="74"/>
    <x v="0"/>
    <s v="JCD"/>
    <n v="4"/>
    <n v="0"/>
    <m/>
    <n v="0"/>
    <m/>
    <m/>
    <m/>
    <m/>
    <m/>
  </r>
  <r>
    <x v="0"/>
    <x v="2"/>
    <x v="1"/>
    <d v="2025-04-28T00:00:00"/>
    <n v="74"/>
    <x v="1"/>
    <s v="JCD"/>
    <n v="1"/>
    <n v="1"/>
    <m/>
    <n v="2"/>
    <m/>
    <m/>
    <m/>
    <m/>
    <m/>
  </r>
  <r>
    <x v="0"/>
    <x v="2"/>
    <x v="1"/>
    <d v="2025-04-28T00:00:00"/>
    <n v="74"/>
    <x v="2"/>
    <s v="JCD"/>
    <n v="2"/>
    <n v="0"/>
    <m/>
    <n v="1"/>
    <m/>
    <m/>
    <m/>
    <m/>
    <m/>
  </r>
  <r>
    <x v="0"/>
    <x v="0"/>
    <x v="1"/>
    <d v="2025-04-28T00:00:00"/>
    <n v="75"/>
    <x v="0"/>
    <s v="CJ"/>
    <n v="5"/>
    <n v="4"/>
    <m/>
    <m/>
    <m/>
    <m/>
    <m/>
    <m/>
    <m/>
  </r>
  <r>
    <x v="0"/>
    <x v="0"/>
    <x v="1"/>
    <d v="2025-04-28T00:00:00"/>
    <n v="75"/>
    <x v="1"/>
    <s v="CJ"/>
    <n v="2"/>
    <n v="3"/>
    <m/>
    <m/>
    <m/>
    <m/>
    <m/>
    <m/>
    <m/>
  </r>
  <r>
    <x v="0"/>
    <x v="0"/>
    <x v="1"/>
    <d v="2025-04-28T00:00:00"/>
    <n v="75"/>
    <x v="2"/>
    <s v="CJ"/>
    <n v="0"/>
    <n v="0"/>
    <m/>
    <m/>
    <m/>
    <m/>
    <m/>
    <m/>
    <m/>
  </r>
  <r>
    <x v="0"/>
    <x v="0"/>
    <x v="1"/>
    <d v="2025-04-28T00:00:00"/>
    <n v="75"/>
    <x v="3"/>
    <s v="CJ"/>
    <n v="3"/>
    <n v="1"/>
    <m/>
    <m/>
    <m/>
    <m/>
    <m/>
    <m/>
    <m/>
  </r>
  <r>
    <x v="0"/>
    <x v="0"/>
    <x v="1"/>
    <d v="2025-04-29T00:00:00"/>
    <n v="76"/>
    <x v="0"/>
    <s v="JC"/>
    <n v="1"/>
    <n v="0"/>
    <m/>
    <m/>
    <m/>
    <m/>
    <m/>
    <m/>
    <m/>
  </r>
  <r>
    <x v="0"/>
    <x v="0"/>
    <x v="1"/>
    <d v="2025-04-29T00:00:00"/>
    <n v="76"/>
    <x v="1"/>
    <s v="JC"/>
    <n v="0"/>
    <n v="0"/>
    <m/>
    <m/>
    <m/>
    <m/>
    <m/>
    <m/>
    <m/>
  </r>
  <r>
    <x v="0"/>
    <x v="0"/>
    <x v="1"/>
    <d v="2025-04-29T00:00:00"/>
    <n v="76"/>
    <x v="2"/>
    <s v="JC"/>
    <n v="4"/>
    <n v="0"/>
    <m/>
    <m/>
    <m/>
    <m/>
    <m/>
    <m/>
    <m/>
  </r>
  <r>
    <x v="0"/>
    <x v="0"/>
    <x v="1"/>
    <d v="2025-04-29T00:00:00"/>
    <n v="77"/>
    <x v="0"/>
    <s v="QCJ"/>
    <n v="0"/>
    <n v="0"/>
    <n v="5"/>
    <m/>
    <m/>
    <m/>
    <m/>
    <m/>
    <m/>
  </r>
  <r>
    <x v="0"/>
    <x v="0"/>
    <x v="1"/>
    <d v="2025-04-29T00:00:00"/>
    <n v="77"/>
    <x v="1"/>
    <s v="QCJ"/>
    <n v="1"/>
    <n v="5"/>
    <n v="3"/>
    <m/>
    <m/>
    <m/>
    <m/>
    <m/>
    <m/>
  </r>
  <r>
    <x v="0"/>
    <x v="0"/>
    <x v="1"/>
    <d v="2025-04-29T00:00:00"/>
    <n v="77"/>
    <x v="2"/>
    <s v="QCJ"/>
    <n v="0"/>
    <n v="0"/>
    <n v="0"/>
    <m/>
    <m/>
    <m/>
    <m/>
    <m/>
    <m/>
  </r>
  <r>
    <x v="0"/>
    <x v="0"/>
    <x v="1"/>
    <d v="2025-04-29T00:00:00"/>
    <n v="78"/>
    <x v="0"/>
    <s v="CD"/>
    <n v="3"/>
    <m/>
    <m/>
    <n v="0"/>
    <m/>
    <m/>
    <m/>
    <m/>
    <m/>
  </r>
  <r>
    <x v="0"/>
    <x v="0"/>
    <x v="1"/>
    <d v="2025-04-29T00:00:00"/>
    <n v="78"/>
    <x v="1"/>
    <s v="CD"/>
    <n v="3"/>
    <m/>
    <m/>
    <n v="3"/>
    <m/>
    <m/>
    <m/>
    <m/>
    <m/>
  </r>
  <r>
    <x v="0"/>
    <x v="0"/>
    <x v="1"/>
    <d v="2025-04-29T00:00:00"/>
    <n v="78"/>
    <x v="2"/>
    <s v="CD"/>
    <n v="3"/>
    <m/>
    <m/>
    <n v="1"/>
    <m/>
    <m/>
    <m/>
    <m/>
    <m/>
  </r>
  <r>
    <x v="0"/>
    <x v="0"/>
    <x v="1"/>
    <d v="2025-04-29T00:00:00"/>
    <n v="79"/>
    <x v="0"/>
    <s v="CJQD"/>
    <n v="4"/>
    <n v="0"/>
    <n v="0"/>
    <n v="0"/>
    <m/>
    <m/>
    <m/>
    <m/>
    <m/>
  </r>
  <r>
    <x v="0"/>
    <x v="0"/>
    <x v="1"/>
    <d v="2025-04-29T00:00:00"/>
    <n v="79"/>
    <x v="1"/>
    <s v="CJQD"/>
    <n v="0"/>
    <n v="1"/>
    <n v="0"/>
    <n v="2"/>
    <m/>
    <m/>
    <m/>
    <m/>
    <m/>
  </r>
  <r>
    <x v="0"/>
    <x v="0"/>
    <x v="1"/>
    <d v="2025-04-29T00:00:00"/>
    <n v="79"/>
    <x v="2"/>
    <s v="CJQD"/>
    <n v="3"/>
    <n v="0"/>
    <n v="1"/>
    <n v="3"/>
    <m/>
    <m/>
    <m/>
    <m/>
    <m/>
  </r>
  <r>
    <x v="0"/>
    <x v="0"/>
    <x v="1"/>
    <d v="2025-04-30T00:00:00"/>
    <n v="80"/>
    <x v="0"/>
    <s v="CJQ"/>
    <n v="3"/>
    <n v="2"/>
    <n v="3"/>
    <m/>
    <m/>
    <m/>
    <m/>
    <m/>
    <m/>
  </r>
  <r>
    <x v="0"/>
    <x v="0"/>
    <x v="1"/>
    <d v="2025-04-30T00:00:00"/>
    <n v="80"/>
    <x v="1"/>
    <s v="CJQ"/>
    <n v="4"/>
    <n v="1"/>
    <n v="0"/>
    <m/>
    <m/>
    <m/>
    <m/>
    <m/>
    <m/>
  </r>
  <r>
    <x v="0"/>
    <x v="0"/>
    <x v="1"/>
    <d v="2025-04-30T00:00:00"/>
    <n v="80"/>
    <x v="2"/>
    <s v="CJQ"/>
    <n v="5"/>
    <n v="0"/>
    <n v="1"/>
    <m/>
    <m/>
    <m/>
    <m/>
    <m/>
    <m/>
  </r>
  <r>
    <x v="0"/>
    <x v="1"/>
    <x v="1"/>
    <d v="2025-04-30T00:00:00"/>
    <n v="81"/>
    <x v="0"/>
    <s v="CJ"/>
    <n v="3"/>
    <n v="0"/>
    <m/>
    <m/>
    <m/>
    <m/>
    <m/>
    <m/>
    <m/>
  </r>
  <r>
    <x v="0"/>
    <x v="1"/>
    <x v="1"/>
    <d v="2025-04-30T00:00:00"/>
    <n v="81"/>
    <x v="1"/>
    <s v="CJ"/>
    <n v="1"/>
    <n v="0"/>
    <m/>
    <m/>
    <m/>
    <m/>
    <m/>
    <m/>
    <m/>
  </r>
  <r>
    <x v="0"/>
    <x v="1"/>
    <x v="1"/>
    <d v="2025-04-30T00:00:00"/>
    <n v="81"/>
    <x v="2"/>
    <s v="CJ"/>
    <n v="2"/>
    <n v="0"/>
    <m/>
    <m/>
    <m/>
    <m/>
    <m/>
    <m/>
    <m/>
  </r>
  <r>
    <x v="0"/>
    <x v="2"/>
    <x v="1"/>
    <d v="2025-04-30T00:00:00"/>
    <n v="82"/>
    <x v="0"/>
    <s v="JDC"/>
    <n v="3"/>
    <n v="0"/>
    <m/>
    <n v="0"/>
    <m/>
    <m/>
    <m/>
    <m/>
    <m/>
  </r>
  <r>
    <x v="0"/>
    <x v="2"/>
    <x v="1"/>
    <d v="2025-04-30T00:00:00"/>
    <n v="82"/>
    <x v="1"/>
    <s v="JDC"/>
    <n v="6"/>
    <n v="2"/>
    <m/>
    <n v="1"/>
    <m/>
    <m/>
    <m/>
    <m/>
    <m/>
  </r>
  <r>
    <x v="0"/>
    <x v="2"/>
    <x v="1"/>
    <d v="2025-04-30T00:00:00"/>
    <n v="82"/>
    <x v="2"/>
    <s v="JDC"/>
    <n v="3"/>
    <n v="3"/>
    <m/>
    <n v="1"/>
    <m/>
    <m/>
    <m/>
    <m/>
    <m/>
  </r>
  <r>
    <x v="0"/>
    <x v="0"/>
    <x v="1"/>
    <d v="2025-04-30T00:00:00"/>
    <n v="83"/>
    <x v="0"/>
    <s v="CJ"/>
    <n v="6"/>
    <n v="4"/>
    <m/>
    <m/>
    <m/>
    <m/>
    <m/>
    <m/>
    <m/>
  </r>
  <r>
    <x v="0"/>
    <x v="0"/>
    <x v="1"/>
    <d v="2025-04-30T00:00:00"/>
    <n v="83"/>
    <x v="1"/>
    <s v="CJ"/>
    <n v="3"/>
    <n v="0"/>
    <m/>
    <m/>
    <m/>
    <m/>
    <m/>
    <m/>
    <m/>
  </r>
  <r>
    <x v="0"/>
    <x v="0"/>
    <x v="1"/>
    <d v="2025-04-30T00:00:00"/>
    <n v="83"/>
    <x v="2"/>
    <s v="CJ"/>
    <n v="3"/>
    <n v="1"/>
    <m/>
    <m/>
    <m/>
    <m/>
    <m/>
    <m/>
    <m/>
  </r>
  <r>
    <x v="0"/>
    <x v="0"/>
    <x v="1"/>
    <d v="2025-05-01T00:00:00"/>
    <n v="84"/>
    <x v="0"/>
    <s v="JC"/>
    <n v="2"/>
    <n v="3"/>
    <m/>
    <m/>
    <m/>
    <m/>
    <m/>
    <m/>
    <m/>
  </r>
  <r>
    <x v="0"/>
    <x v="0"/>
    <x v="1"/>
    <d v="2025-05-01T00:00:00"/>
    <n v="84"/>
    <x v="1"/>
    <s v="JC"/>
    <n v="1"/>
    <n v="0"/>
    <m/>
    <m/>
    <m/>
    <m/>
    <m/>
    <m/>
    <m/>
  </r>
  <r>
    <x v="0"/>
    <x v="0"/>
    <x v="1"/>
    <d v="2025-05-01T00:00:00"/>
    <n v="84"/>
    <x v="2"/>
    <s v="JC"/>
    <n v="7"/>
    <n v="2"/>
    <m/>
    <m/>
    <m/>
    <m/>
    <m/>
    <m/>
    <m/>
  </r>
  <r>
    <x v="0"/>
    <x v="1"/>
    <x v="1"/>
    <d v="2025-05-01T00:00:00"/>
    <n v="85"/>
    <x v="0"/>
    <s v="JC"/>
    <n v="1"/>
    <n v="0"/>
    <m/>
    <m/>
    <m/>
    <m/>
    <m/>
    <m/>
    <m/>
  </r>
  <r>
    <x v="0"/>
    <x v="1"/>
    <x v="1"/>
    <d v="2025-05-01T00:00:00"/>
    <n v="85"/>
    <x v="1"/>
    <s v="JC"/>
    <n v="0"/>
    <n v="2"/>
    <m/>
    <m/>
    <m/>
    <m/>
    <m/>
    <m/>
    <m/>
  </r>
  <r>
    <x v="0"/>
    <x v="1"/>
    <x v="1"/>
    <d v="2025-05-01T00:00:00"/>
    <n v="85"/>
    <x v="2"/>
    <s v="JC"/>
    <n v="4"/>
    <n v="3"/>
    <m/>
    <m/>
    <m/>
    <m/>
    <m/>
    <m/>
    <m/>
  </r>
  <r>
    <x v="0"/>
    <x v="1"/>
    <x v="1"/>
    <d v="2025-05-01T00:00:00"/>
    <n v="85"/>
    <x v="3"/>
    <s v="JC"/>
    <n v="5"/>
    <n v="1"/>
    <m/>
    <m/>
    <m/>
    <m/>
    <m/>
    <m/>
    <m/>
  </r>
  <r>
    <x v="0"/>
    <x v="2"/>
    <x v="1"/>
    <d v="2025-05-01T00:00:00"/>
    <n v="86"/>
    <x v="0"/>
    <s v="CJ"/>
    <n v="3"/>
    <n v="0"/>
    <m/>
    <m/>
    <m/>
    <m/>
    <m/>
    <m/>
    <m/>
  </r>
  <r>
    <x v="0"/>
    <x v="2"/>
    <x v="1"/>
    <d v="2025-05-01T00:00:00"/>
    <n v="86"/>
    <x v="1"/>
    <s v="CJ"/>
    <n v="3"/>
    <n v="0"/>
    <m/>
    <m/>
    <m/>
    <m/>
    <m/>
    <m/>
    <m/>
  </r>
  <r>
    <x v="0"/>
    <x v="2"/>
    <x v="1"/>
    <d v="2025-05-01T00:00:00"/>
    <n v="86"/>
    <x v="2"/>
    <s v="CJ"/>
    <n v="2"/>
    <n v="4"/>
    <m/>
    <m/>
    <m/>
    <m/>
    <m/>
    <m/>
    <m/>
  </r>
  <r>
    <x v="0"/>
    <x v="2"/>
    <x v="1"/>
    <d v="2025-05-01T00:00:00"/>
    <n v="87"/>
    <x v="0"/>
    <s v="JC"/>
    <n v="0"/>
    <n v="0"/>
    <m/>
    <m/>
    <m/>
    <m/>
    <m/>
    <m/>
    <m/>
  </r>
  <r>
    <x v="0"/>
    <x v="2"/>
    <x v="1"/>
    <d v="2025-05-01T00:00:00"/>
    <n v="87"/>
    <x v="1"/>
    <s v="JC"/>
    <n v="3"/>
    <n v="0"/>
    <m/>
    <m/>
    <m/>
    <m/>
    <m/>
    <m/>
    <m/>
  </r>
  <r>
    <x v="0"/>
    <x v="2"/>
    <x v="1"/>
    <d v="2025-05-01T00:00:00"/>
    <n v="87"/>
    <x v="2"/>
    <s v="JC"/>
    <n v="1"/>
    <n v="3"/>
    <m/>
    <m/>
    <m/>
    <m/>
    <m/>
    <m/>
    <m/>
  </r>
  <r>
    <x v="0"/>
    <x v="0"/>
    <x v="1"/>
    <d v="2025-05-02T00:00:00"/>
    <n v="88"/>
    <x v="0"/>
    <s v="CJ"/>
    <n v="1"/>
    <n v="1"/>
    <m/>
    <m/>
    <m/>
    <m/>
    <m/>
    <m/>
    <m/>
  </r>
  <r>
    <x v="0"/>
    <x v="0"/>
    <x v="1"/>
    <d v="2025-05-02T00:00:00"/>
    <n v="88"/>
    <x v="1"/>
    <s v="CJ"/>
    <n v="4"/>
    <n v="3"/>
    <m/>
    <m/>
    <m/>
    <m/>
    <m/>
    <m/>
    <m/>
  </r>
  <r>
    <x v="0"/>
    <x v="0"/>
    <x v="1"/>
    <d v="2025-05-02T00:00:00"/>
    <n v="88"/>
    <x v="2"/>
    <s v="CJ"/>
    <n v="4"/>
    <n v="4"/>
    <m/>
    <m/>
    <m/>
    <m/>
    <m/>
    <m/>
    <m/>
  </r>
  <r>
    <x v="0"/>
    <x v="1"/>
    <x v="1"/>
    <d v="2025-05-02T00:00:00"/>
    <n v="89"/>
    <x v="0"/>
    <s v="JVC"/>
    <n v="1"/>
    <n v="2"/>
    <m/>
    <m/>
    <m/>
    <m/>
    <n v="0"/>
    <m/>
    <m/>
  </r>
  <r>
    <x v="0"/>
    <x v="1"/>
    <x v="1"/>
    <d v="2025-05-02T00:00:00"/>
    <n v="89"/>
    <x v="1"/>
    <s v="JVC"/>
    <n v="0"/>
    <n v="1"/>
    <m/>
    <m/>
    <m/>
    <m/>
    <n v="1"/>
    <m/>
    <m/>
  </r>
  <r>
    <x v="0"/>
    <x v="1"/>
    <x v="1"/>
    <d v="2025-05-02T00:00:00"/>
    <n v="89"/>
    <x v="2"/>
    <s v="JVC"/>
    <n v="1"/>
    <n v="1"/>
    <m/>
    <m/>
    <m/>
    <m/>
    <n v="1"/>
    <m/>
    <m/>
  </r>
  <r>
    <x v="0"/>
    <x v="0"/>
    <x v="1"/>
    <d v="2025-05-05T00:00:00"/>
    <n v="90"/>
    <x v="0"/>
    <s v="JC"/>
    <n v="1"/>
    <n v="0"/>
    <m/>
    <m/>
    <m/>
    <m/>
    <m/>
    <m/>
    <m/>
  </r>
  <r>
    <x v="0"/>
    <x v="0"/>
    <x v="1"/>
    <d v="2025-05-05T00:00:00"/>
    <n v="90"/>
    <x v="1"/>
    <s v="JC"/>
    <n v="0"/>
    <n v="0"/>
    <m/>
    <m/>
    <m/>
    <m/>
    <m/>
    <m/>
    <m/>
  </r>
  <r>
    <x v="0"/>
    <x v="0"/>
    <x v="1"/>
    <d v="2025-05-05T00:00:00"/>
    <n v="90"/>
    <x v="2"/>
    <s v="JC"/>
    <n v="1"/>
    <n v="1"/>
    <m/>
    <m/>
    <m/>
    <m/>
    <m/>
    <m/>
    <m/>
  </r>
  <r>
    <x v="0"/>
    <x v="0"/>
    <x v="1"/>
    <d v="2025-05-05T00:00:00"/>
    <n v="91"/>
    <x v="0"/>
    <s v="JC"/>
    <n v="3"/>
    <n v="4"/>
    <m/>
    <m/>
    <m/>
    <m/>
    <m/>
    <m/>
    <m/>
  </r>
  <r>
    <x v="0"/>
    <x v="0"/>
    <x v="1"/>
    <d v="2025-05-05T00:00:00"/>
    <n v="91"/>
    <x v="1"/>
    <s v="JC"/>
    <n v="2"/>
    <n v="2"/>
    <m/>
    <m/>
    <m/>
    <m/>
    <m/>
    <m/>
    <m/>
  </r>
  <r>
    <x v="0"/>
    <x v="0"/>
    <x v="1"/>
    <d v="2025-05-05T00:00:00"/>
    <n v="91"/>
    <x v="2"/>
    <s v="JC"/>
    <n v="2"/>
    <n v="5"/>
    <m/>
    <m/>
    <m/>
    <m/>
    <m/>
    <m/>
    <m/>
  </r>
  <r>
    <x v="0"/>
    <x v="0"/>
    <x v="1"/>
    <d v="2025-05-06T00:00:00"/>
    <n v="92"/>
    <x v="0"/>
    <s v="CJ"/>
    <n v="4"/>
    <n v="3"/>
    <m/>
    <m/>
    <m/>
    <m/>
    <m/>
    <m/>
    <m/>
  </r>
  <r>
    <x v="0"/>
    <x v="0"/>
    <x v="1"/>
    <d v="2025-05-06T00:00:00"/>
    <n v="92"/>
    <x v="1"/>
    <s v="CJ"/>
    <n v="2"/>
    <n v="0"/>
    <m/>
    <m/>
    <m/>
    <m/>
    <m/>
    <m/>
    <m/>
  </r>
  <r>
    <x v="0"/>
    <x v="0"/>
    <x v="1"/>
    <d v="2025-05-06T00:00:00"/>
    <n v="92"/>
    <x v="2"/>
    <s v="CJ"/>
    <n v="1"/>
    <n v="0"/>
    <m/>
    <m/>
    <m/>
    <m/>
    <m/>
    <m/>
    <m/>
  </r>
  <r>
    <x v="0"/>
    <x v="0"/>
    <x v="1"/>
    <d v="2025-05-07T00:00:00"/>
    <n v="93"/>
    <x v="0"/>
    <s v="CJ"/>
    <n v="3"/>
    <n v="0"/>
    <m/>
    <m/>
    <m/>
    <m/>
    <m/>
    <m/>
    <m/>
  </r>
  <r>
    <x v="0"/>
    <x v="0"/>
    <x v="1"/>
    <d v="2025-05-07T00:00:00"/>
    <n v="93"/>
    <x v="1"/>
    <s v="CJ"/>
    <n v="3"/>
    <n v="0"/>
    <m/>
    <m/>
    <m/>
    <m/>
    <m/>
    <m/>
    <m/>
  </r>
  <r>
    <x v="0"/>
    <x v="0"/>
    <x v="1"/>
    <d v="2025-05-07T00:00:00"/>
    <n v="93"/>
    <x v="2"/>
    <s v="CJ"/>
    <n v="8"/>
    <n v="1"/>
    <m/>
    <m/>
    <m/>
    <m/>
    <m/>
    <m/>
    <m/>
  </r>
  <r>
    <x v="0"/>
    <x v="1"/>
    <x v="1"/>
    <d v="2025-05-07T00:00:00"/>
    <n v="94"/>
    <x v="0"/>
    <s v="JC"/>
    <n v="2"/>
    <n v="3"/>
    <m/>
    <m/>
    <m/>
    <m/>
    <m/>
    <m/>
    <m/>
  </r>
  <r>
    <x v="0"/>
    <x v="1"/>
    <x v="1"/>
    <d v="2025-05-07T00:00:00"/>
    <n v="94"/>
    <x v="1"/>
    <s v="JC"/>
    <n v="3"/>
    <n v="3"/>
    <m/>
    <m/>
    <m/>
    <m/>
    <m/>
    <m/>
    <m/>
  </r>
  <r>
    <x v="0"/>
    <x v="1"/>
    <x v="1"/>
    <d v="2025-05-07T00:00:00"/>
    <n v="94"/>
    <x v="2"/>
    <s v="JC"/>
    <n v="2"/>
    <n v="2"/>
    <m/>
    <m/>
    <m/>
    <m/>
    <m/>
    <m/>
    <m/>
  </r>
  <r>
    <x v="0"/>
    <x v="2"/>
    <x v="1"/>
    <d v="2025-05-07T00:00:00"/>
    <n v="95"/>
    <x v="0"/>
    <s v="JC"/>
    <n v="2"/>
    <n v="0"/>
    <m/>
    <m/>
    <m/>
    <m/>
    <m/>
    <m/>
    <m/>
  </r>
  <r>
    <x v="0"/>
    <x v="2"/>
    <x v="1"/>
    <d v="2025-05-07T00:00:00"/>
    <n v="95"/>
    <x v="1"/>
    <s v="JC"/>
    <n v="0"/>
    <n v="1"/>
    <m/>
    <m/>
    <m/>
    <m/>
    <m/>
    <m/>
    <m/>
  </r>
  <r>
    <x v="0"/>
    <x v="2"/>
    <x v="1"/>
    <d v="2025-05-07T00:00:00"/>
    <n v="95"/>
    <x v="2"/>
    <s v="JC"/>
    <n v="0"/>
    <n v="0"/>
    <m/>
    <m/>
    <m/>
    <m/>
    <m/>
    <m/>
    <m/>
  </r>
  <r>
    <x v="0"/>
    <x v="0"/>
    <x v="1"/>
    <d v="2025-05-13T00:00:00"/>
    <n v="96"/>
    <x v="0"/>
    <s v="JC"/>
    <n v="3"/>
    <n v="0"/>
    <m/>
    <m/>
    <m/>
    <m/>
    <m/>
    <m/>
    <m/>
  </r>
  <r>
    <x v="0"/>
    <x v="0"/>
    <x v="1"/>
    <d v="2025-05-13T00:00:00"/>
    <n v="96"/>
    <x v="1"/>
    <s v="JC"/>
    <n v="1"/>
    <n v="2"/>
    <m/>
    <m/>
    <m/>
    <m/>
    <m/>
    <m/>
    <m/>
  </r>
  <r>
    <x v="0"/>
    <x v="0"/>
    <x v="1"/>
    <d v="2025-05-13T00:00:00"/>
    <n v="96"/>
    <x v="2"/>
    <s v="JC"/>
    <n v="1"/>
    <n v="1"/>
    <m/>
    <m/>
    <m/>
    <m/>
    <m/>
    <m/>
    <m/>
  </r>
  <r>
    <x v="0"/>
    <x v="0"/>
    <x v="1"/>
    <d v="2025-05-13T00:00:00"/>
    <n v="97"/>
    <x v="0"/>
    <s v="CJ"/>
    <n v="0"/>
    <n v="1"/>
    <m/>
    <m/>
    <m/>
    <m/>
    <m/>
    <m/>
    <m/>
  </r>
  <r>
    <x v="0"/>
    <x v="0"/>
    <x v="1"/>
    <d v="2025-05-13T00:00:00"/>
    <n v="97"/>
    <x v="1"/>
    <s v="CJ"/>
    <n v="3"/>
    <n v="0"/>
    <m/>
    <m/>
    <m/>
    <m/>
    <m/>
    <m/>
    <m/>
  </r>
  <r>
    <x v="0"/>
    <x v="0"/>
    <x v="1"/>
    <d v="2025-05-13T00:00:00"/>
    <n v="97"/>
    <x v="2"/>
    <s v="CJ"/>
    <n v="0"/>
    <n v="2"/>
    <m/>
    <m/>
    <m/>
    <m/>
    <m/>
    <m/>
    <m/>
  </r>
  <r>
    <x v="0"/>
    <x v="0"/>
    <x v="1"/>
    <d v="2025-05-13T00:00:00"/>
    <n v="97"/>
    <x v="3"/>
    <s v="CJ"/>
    <n v="3"/>
    <n v="2"/>
    <m/>
    <m/>
    <m/>
    <m/>
    <m/>
    <m/>
    <m/>
  </r>
  <r>
    <x v="0"/>
    <x v="0"/>
    <x v="1"/>
    <d v="2025-05-14T00:00:00"/>
    <n v="98"/>
    <x v="0"/>
    <s v="CJQ"/>
    <n v="2"/>
    <n v="1"/>
    <n v="0"/>
    <m/>
    <m/>
    <m/>
    <m/>
    <m/>
    <m/>
  </r>
  <r>
    <x v="0"/>
    <x v="0"/>
    <x v="1"/>
    <d v="2025-05-14T00:00:00"/>
    <n v="98"/>
    <x v="1"/>
    <s v="CJQ"/>
    <n v="0"/>
    <n v="0"/>
    <n v="3"/>
    <m/>
    <m/>
    <m/>
    <m/>
    <m/>
    <m/>
  </r>
  <r>
    <x v="0"/>
    <x v="0"/>
    <x v="1"/>
    <d v="2025-05-14T00:00:00"/>
    <n v="98"/>
    <x v="2"/>
    <s v="CJQ"/>
    <n v="9"/>
    <n v="1"/>
    <n v="0"/>
    <m/>
    <m/>
    <m/>
    <m/>
    <m/>
    <m/>
  </r>
  <r>
    <x v="0"/>
    <x v="0"/>
    <x v="1"/>
    <d v="2025-05-14T00:00:00"/>
    <n v="99"/>
    <x v="0"/>
    <s v="JCDQ"/>
    <n v="0"/>
    <n v="4"/>
    <n v="3"/>
    <n v="0"/>
    <m/>
    <m/>
    <m/>
    <m/>
    <m/>
  </r>
  <r>
    <x v="0"/>
    <x v="0"/>
    <x v="1"/>
    <d v="2025-05-14T00:00:00"/>
    <n v="99"/>
    <x v="1"/>
    <s v="JCDQ"/>
    <n v="0"/>
    <n v="2"/>
    <n v="0"/>
    <n v="2"/>
    <m/>
    <m/>
    <m/>
    <m/>
    <m/>
  </r>
  <r>
    <x v="0"/>
    <x v="0"/>
    <x v="1"/>
    <d v="2025-05-14T00:00:00"/>
    <n v="99"/>
    <x v="2"/>
    <s v="JCDQ"/>
    <n v="3"/>
    <n v="1"/>
    <n v="6"/>
    <n v="3"/>
    <m/>
    <m/>
    <m/>
    <m/>
    <m/>
  </r>
  <r>
    <x v="0"/>
    <x v="1"/>
    <x v="1"/>
    <d v="2025-05-14T00:00:00"/>
    <n v="100"/>
    <x v="0"/>
    <s v="CJ"/>
    <n v="2"/>
    <n v="5"/>
    <m/>
    <m/>
    <m/>
    <m/>
    <m/>
    <m/>
    <m/>
  </r>
  <r>
    <x v="0"/>
    <x v="1"/>
    <x v="1"/>
    <d v="2025-05-14T00:00:00"/>
    <n v="100"/>
    <x v="1"/>
    <s v="CJ"/>
    <n v="4"/>
    <n v="2"/>
    <m/>
    <m/>
    <m/>
    <m/>
    <m/>
    <m/>
    <m/>
  </r>
  <r>
    <x v="0"/>
    <x v="1"/>
    <x v="1"/>
    <d v="2025-05-14T00:00:00"/>
    <n v="100"/>
    <x v="2"/>
    <s v="CJ"/>
    <n v="3"/>
    <n v="0"/>
    <m/>
    <m/>
    <m/>
    <m/>
    <m/>
    <m/>
    <m/>
  </r>
  <r>
    <x v="0"/>
    <x v="0"/>
    <x v="1"/>
    <d v="2025-05-20T00:00:00"/>
    <n v="101"/>
    <x v="0"/>
    <s v="JQ"/>
    <m/>
    <n v="3"/>
    <n v="3"/>
    <m/>
    <m/>
    <m/>
    <m/>
    <m/>
    <m/>
  </r>
  <r>
    <x v="0"/>
    <x v="0"/>
    <x v="1"/>
    <d v="2025-05-20T00:00:00"/>
    <n v="101"/>
    <x v="1"/>
    <s v="JQ"/>
    <m/>
    <n v="3"/>
    <n v="3"/>
    <m/>
    <m/>
    <m/>
    <m/>
    <m/>
    <m/>
  </r>
  <r>
    <x v="0"/>
    <x v="0"/>
    <x v="1"/>
    <d v="2025-05-20T00:00:00"/>
    <n v="101"/>
    <x v="2"/>
    <s v="JQ"/>
    <m/>
    <n v="3"/>
    <n v="0"/>
    <m/>
    <m/>
    <m/>
    <m/>
    <m/>
    <m/>
  </r>
  <r>
    <x v="0"/>
    <x v="0"/>
    <x v="1"/>
    <d v="2025-05-20T00:00:00"/>
    <n v="102"/>
    <x v="0"/>
    <s v="JD"/>
    <m/>
    <n v="5"/>
    <m/>
    <n v="0"/>
    <m/>
    <m/>
    <m/>
    <m/>
    <m/>
  </r>
  <r>
    <x v="0"/>
    <x v="0"/>
    <x v="1"/>
    <d v="2025-05-20T00:00:00"/>
    <n v="102"/>
    <x v="1"/>
    <s v="JD"/>
    <m/>
    <n v="1"/>
    <m/>
    <n v="0"/>
    <m/>
    <m/>
    <m/>
    <m/>
    <m/>
  </r>
  <r>
    <x v="0"/>
    <x v="0"/>
    <x v="1"/>
    <d v="2025-05-20T00:00:00"/>
    <n v="102"/>
    <x v="2"/>
    <s v="JD"/>
    <m/>
    <n v="2"/>
    <m/>
    <n v="1"/>
    <m/>
    <m/>
    <m/>
    <m/>
    <m/>
  </r>
  <r>
    <x v="0"/>
    <x v="0"/>
    <x v="1"/>
    <d v="2025-05-21T00:00:00"/>
    <n v="103"/>
    <x v="0"/>
    <s v="JQ"/>
    <m/>
    <n v="2"/>
    <n v="3"/>
    <m/>
    <m/>
    <m/>
    <m/>
    <m/>
    <m/>
  </r>
  <r>
    <x v="0"/>
    <x v="0"/>
    <x v="1"/>
    <d v="2025-05-21T00:00:00"/>
    <n v="103"/>
    <x v="1"/>
    <s v="JQ"/>
    <m/>
    <n v="6"/>
    <n v="0"/>
    <m/>
    <m/>
    <m/>
    <m/>
    <m/>
    <m/>
  </r>
  <r>
    <x v="0"/>
    <x v="0"/>
    <x v="1"/>
    <d v="2025-05-21T00:00:00"/>
    <n v="103"/>
    <x v="2"/>
    <s v="JQ"/>
    <m/>
    <n v="4"/>
    <n v="2"/>
    <m/>
    <m/>
    <m/>
    <m/>
    <m/>
    <m/>
  </r>
  <r>
    <x v="0"/>
    <x v="0"/>
    <x v="1"/>
    <d v="2025-05-22T00:00:00"/>
    <n v="104"/>
    <x v="0"/>
    <s v="JQ"/>
    <m/>
    <n v="0"/>
    <n v="0"/>
    <m/>
    <m/>
    <m/>
    <m/>
    <m/>
    <m/>
  </r>
  <r>
    <x v="0"/>
    <x v="0"/>
    <x v="1"/>
    <d v="2025-05-22T00:00:00"/>
    <n v="104"/>
    <x v="1"/>
    <s v="JQ"/>
    <m/>
    <n v="1"/>
    <n v="1"/>
    <m/>
    <m/>
    <m/>
    <m/>
    <m/>
    <m/>
  </r>
  <r>
    <x v="0"/>
    <x v="0"/>
    <x v="1"/>
    <d v="2025-05-22T00:00:00"/>
    <n v="104"/>
    <x v="2"/>
    <s v="JQ"/>
    <m/>
    <n v="3"/>
    <n v="0"/>
    <m/>
    <m/>
    <m/>
    <m/>
    <m/>
    <m/>
  </r>
  <r>
    <x v="0"/>
    <x v="0"/>
    <x v="1"/>
    <d v="2025-06-03T00:00:00"/>
    <n v="105"/>
    <x v="0"/>
    <s v="JQ"/>
    <m/>
    <n v="2"/>
    <n v="0"/>
    <m/>
    <m/>
    <m/>
    <m/>
    <m/>
    <m/>
  </r>
  <r>
    <x v="0"/>
    <x v="0"/>
    <x v="1"/>
    <d v="2025-06-03T00:00:00"/>
    <n v="105"/>
    <x v="1"/>
    <s v="JQ"/>
    <m/>
    <n v="0"/>
    <n v="0"/>
    <m/>
    <m/>
    <m/>
    <m/>
    <m/>
    <m/>
  </r>
  <r>
    <x v="0"/>
    <x v="0"/>
    <x v="1"/>
    <d v="2025-06-03T00:00:00"/>
    <n v="105"/>
    <x v="2"/>
    <s v="JQ"/>
    <m/>
    <n v="1"/>
    <n v="1"/>
    <m/>
    <m/>
    <m/>
    <m/>
    <m/>
    <m/>
  </r>
  <r>
    <x v="0"/>
    <x v="0"/>
    <x v="1"/>
    <d v="2025-06-03T00:00:00"/>
    <n v="106"/>
    <x v="0"/>
    <s v="QJ"/>
    <m/>
    <n v="1"/>
    <n v="1"/>
    <m/>
    <m/>
    <m/>
    <m/>
    <m/>
    <m/>
  </r>
  <r>
    <x v="0"/>
    <x v="0"/>
    <x v="1"/>
    <d v="2025-06-03T00:00:00"/>
    <n v="106"/>
    <x v="1"/>
    <s v="QJ"/>
    <m/>
    <n v="0"/>
    <n v="0"/>
    <m/>
    <m/>
    <m/>
    <m/>
    <m/>
    <m/>
  </r>
  <r>
    <x v="0"/>
    <x v="0"/>
    <x v="1"/>
    <d v="2025-06-03T00:00:00"/>
    <n v="106"/>
    <x v="2"/>
    <s v="QJ"/>
    <m/>
    <n v="2"/>
    <n v="1"/>
    <m/>
    <m/>
    <m/>
    <m/>
    <m/>
    <m/>
  </r>
  <r>
    <x v="0"/>
    <x v="0"/>
    <x v="1"/>
    <d v="2025-06-10T00:00:00"/>
    <n v="107"/>
    <x v="0"/>
    <s v="CJ"/>
    <n v="3"/>
    <n v="1"/>
    <m/>
    <m/>
    <m/>
    <m/>
    <m/>
    <m/>
    <m/>
  </r>
  <r>
    <x v="0"/>
    <x v="0"/>
    <x v="1"/>
    <d v="2025-06-10T00:00:00"/>
    <n v="107"/>
    <x v="1"/>
    <s v="CJ"/>
    <n v="0"/>
    <n v="3"/>
    <m/>
    <m/>
    <m/>
    <m/>
    <m/>
    <m/>
    <m/>
  </r>
  <r>
    <x v="0"/>
    <x v="0"/>
    <x v="1"/>
    <d v="2025-06-10T00:00:00"/>
    <n v="107"/>
    <x v="2"/>
    <s v="CJ"/>
    <n v="3"/>
    <n v="1"/>
    <m/>
    <m/>
    <m/>
    <m/>
    <m/>
    <m/>
    <m/>
  </r>
  <r>
    <x v="0"/>
    <x v="0"/>
    <x v="1"/>
    <d v="2025-06-11T00:00:00"/>
    <n v="108"/>
    <x v="0"/>
    <s v="JC"/>
    <n v="3"/>
    <n v="4"/>
    <m/>
    <m/>
    <m/>
    <m/>
    <m/>
    <m/>
    <m/>
  </r>
  <r>
    <x v="0"/>
    <x v="0"/>
    <x v="1"/>
    <d v="2025-06-11T00:00:00"/>
    <n v="108"/>
    <x v="1"/>
    <s v="JC"/>
    <n v="0"/>
    <n v="1"/>
    <m/>
    <m/>
    <m/>
    <m/>
    <m/>
    <m/>
    <m/>
  </r>
  <r>
    <x v="0"/>
    <x v="0"/>
    <x v="1"/>
    <d v="2025-06-11T00:00:00"/>
    <n v="108"/>
    <x v="2"/>
    <s v="JC"/>
    <n v="5"/>
    <n v="1"/>
    <m/>
    <m/>
    <m/>
    <m/>
    <m/>
    <m/>
    <m/>
  </r>
  <r>
    <x v="0"/>
    <x v="0"/>
    <x v="1"/>
    <d v="2025-06-12T00:00:00"/>
    <n v="109"/>
    <x v="0"/>
    <s v="CJ"/>
    <n v="3"/>
    <n v="3"/>
    <m/>
    <m/>
    <m/>
    <m/>
    <m/>
    <m/>
    <m/>
  </r>
  <r>
    <x v="0"/>
    <x v="0"/>
    <x v="1"/>
    <d v="2025-06-12T00:00:00"/>
    <n v="109"/>
    <x v="1"/>
    <s v="CJ"/>
    <n v="0"/>
    <n v="0"/>
    <m/>
    <m/>
    <m/>
    <m/>
    <m/>
    <m/>
    <m/>
  </r>
  <r>
    <x v="0"/>
    <x v="0"/>
    <x v="1"/>
    <d v="2025-06-12T00:00:00"/>
    <n v="109"/>
    <x v="2"/>
    <s v="CJ"/>
    <n v="2"/>
    <n v="5"/>
    <m/>
    <m/>
    <m/>
    <m/>
    <m/>
    <m/>
    <m/>
  </r>
  <r>
    <x v="0"/>
    <x v="0"/>
    <x v="1"/>
    <d v="2025-06-13T00:00:00"/>
    <n v="110"/>
    <x v="0"/>
    <s v="CJ"/>
    <n v="3"/>
    <n v="0"/>
    <m/>
    <m/>
    <m/>
    <m/>
    <m/>
    <m/>
    <m/>
  </r>
  <r>
    <x v="0"/>
    <x v="0"/>
    <x v="1"/>
    <d v="2025-06-13T00:00:00"/>
    <n v="110"/>
    <x v="1"/>
    <s v="CJ"/>
    <n v="1"/>
    <n v="3"/>
    <m/>
    <m/>
    <m/>
    <m/>
    <m/>
    <m/>
    <m/>
  </r>
  <r>
    <x v="0"/>
    <x v="0"/>
    <x v="1"/>
    <d v="2025-06-13T00:00:00"/>
    <n v="110"/>
    <x v="2"/>
    <s v="CJ"/>
    <n v="1"/>
    <n v="0"/>
    <m/>
    <m/>
    <m/>
    <m/>
    <m/>
    <m/>
    <m/>
  </r>
  <r>
    <x v="0"/>
    <x v="0"/>
    <x v="1"/>
    <d v="2025-06-16T00:00:00"/>
    <n v="111"/>
    <x v="0"/>
    <s v="JC"/>
    <n v="3"/>
    <n v="0"/>
    <m/>
    <m/>
    <m/>
    <m/>
    <m/>
    <m/>
    <m/>
  </r>
  <r>
    <x v="0"/>
    <x v="0"/>
    <x v="1"/>
    <d v="2025-06-16T00:00:00"/>
    <n v="111"/>
    <x v="1"/>
    <s v="JC"/>
    <n v="4"/>
    <n v="0"/>
    <m/>
    <m/>
    <m/>
    <m/>
    <m/>
    <m/>
    <m/>
  </r>
  <r>
    <x v="0"/>
    <x v="0"/>
    <x v="1"/>
    <d v="2025-06-16T00:00:00"/>
    <n v="111"/>
    <x v="2"/>
    <s v="JC"/>
    <n v="0"/>
    <n v="4"/>
    <m/>
    <m/>
    <m/>
    <m/>
    <m/>
    <m/>
    <m/>
  </r>
  <r>
    <x v="0"/>
    <x v="0"/>
    <x v="1"/>
    <d v="2025-06-16T00:00:00"/>
    <n v="112"/>
    <x v="0"/>
    <s v="CJQD"/>
    <n v="2"/>
    <n v="0"/>
    <n v="1"/>
    <n v="0"/>
    <m/>
    <m/>
    <m/>
    <m/>
    <m/>
  </r>
  <r>
    <x v="0"/>
    <x v="0"/>
    <x v="1"/>
    <d v="2025-06-16T00:00:00"/>
    <n v="112"/>
    <x v="1"/>
    <s v="CJQD"/>
    <n v="0"/>
    <n v="1"/>
    <n v="1"/>
    <n v="3"/>
    <m/>
    <m/>
    <m/>
    <m/>
    <m/>
  </r>
  <r>
    <x v="0"/>
    <x v="0"/>
    <x v="1"/>
    <d v="2025-06-16T00:00:00"/>
    <n v="112"/>
    <x v="2"/>
    <s v="CJQD"/>
    <n v="1"/>
    <n v="0"/>
    <n v="2"/>
    <n v="3"/>
    <m/>
    <m/>
    <m/>
    <m/>
    <m/>
  </r>
  <r>
    <x v="0"/>
    <x v="0"/>
    <x v="1"/>
    <d v="2025-06-17T00:00:00"/>
    <n v="113"/>
    <x v="0"/>
    <s v="CJ"/>
    <n v="6"/>
    <n v="2"/>
    <m/>
    <m/>
    <m/>
    <m/>
    <m/>
    <m/>
    <m/>
  </r>
  <r>
    <x v="0"/>
    <x v="0"/>
    <x v="1"/>
    <d v="2025-06-17T00:00:00"/>
    <n v="113"/>
    <x v="1"/>
    <s v="CJ"/>
    <n v="2"/>
    <n v="0"/>
    <m/>
    <m/>
    <m/>
    <m/>
    <m/>
    <m/>
    <m/>
  </r>
  <r>
    <x v="0"/>
    <x v="0"/>
    <x v="1"/>
    <d v="2025-06-17T00:00:00"/>
    <n v="113"/>
    <x v="2"/>
    <s v="CJ"/>
    <n v="4"/>
    <n v="5"/>
    <m/>
    <m/>
    <m/>
    <m/>
    <m/>
    <m/>
    <m/>
  </r>
  <r>
    <x v="0"/>
    <x v="0"/>
    <x v="1"/>
    <d v="2025-06-17T00:00:00"/>
    <n v="114"/>
    <x v="0"/>
    <s v="CJQ"/>
    <n v="0"/>
    <n v="2"/>
    <n v="1"/>
    <m/>
    <m/>
    <m/>
    <m/>
    <m/>
    <m/>
  </r>
  <r>
    <x v="0"/>
    <x v="0"/>
    <x v="1"/>
    <d v="2025-06-17T00:00:00"/>
    <n v="114"/>
    <x v="1"/>
    <s v="CJQ"/>
    <n v="0"/>
    <n v="6"/>
    <n v="0"/>
    <m/>
    <m/>
    <m/>
    <m/>
    <m/>
    <m/>
  </r>
  <r>
    <x v="0"/>
    <x v="0"/>
    <x v="1"/>
    <d v="2025-06-17T00:00:00"/>
    <n v="114"/>
    <x v="2"/>
    <s v="CJQ"/>
    <n v="0"/>
    <n v="3"/>
    <n v="0"/>
    <m/>
    <m/>
    <m/>
    <m/>
    <m/>
    <m/>
  </r>
  <r>
    <x v="0"/>
    <x v="1"/>
    <x v="1"/>
    <d v="2025-06-17T00:00:00"/>
    <n v="115"/>
    <x v="0"/>
    <s v="CJQ"/>
    <n v="9"/>
    <n v="4"/>
    <n v="1"/>
    <m/>
    <m/>
    <m/>
    <m/>
    <m/>
    <m/>
  </r>
  <r>
    <x v="0"/>
    <x v="1"/>
    <x v="1"/>
    <d v="2025-06-17T00:00:00"/>
    <n v="115"/>
    <x v="1"/>
    <s v="CJQ"/>
    <n v="0"/>
    <n v="3"/>
    <n v="1"/>
    <m/>
    <m/>
    <m/>
    <m/>
    <m/>
    <m/>
  </r>
  <r>
    <x v="0"/>
    <x v="1"/>
    <x v="1"/>
    <d v="2025-06-17T00:00:00"/>
    <n v="115"/>
    <x v="2"/>
    <s v="CJQ"/>
    <n v="5"/>
    <n v="3"/>
    <n v="0"/>
    <m/>
    <m/>
    <m/>
    <m/>
    <m/>
    <m/>
  </r>
  <r>
    <x v="0"/>
    <x v="0"/>
    <x v="1"/>
    <d v="2025-06-18T00:00:00"/>
    <n v="116"/>
    <x v="0"/>
    <s v="JC"/>
    <n v="3"/>
    <n v="3"/>
    <m/>
    <m/>
    <m/>
    <m/>
    <m/>
    <m/>
    <m/>
  </r>
  <r>
    <x v="0"/>
    <x v="0"/>
    <x v="1"/>
    <d v="2025-06-18T00:00:00"/>
    <n v="116"/>
    <x v="1"/>
    <s v="JC"/>
    <n v="1"/>
    <n v="2"/>
    <m/>
    <m/>
    <m/>
    <m/>
    <m/>
    <m/>
    <m/>
  </r>
  <r>
    <x v="0"/>
    <x v="0"/>
    <x v="1"/>
    <d v="2025-06-18T00:00:00"/>
    <n v="116"/>
    <x v="2"/>
    <s v="JC"/>
    <n v="1"/>
    <n v="0"/>
    <m/>
    <m/>
    <m/>
    <m/>
    <m/>
    <m/>
    <m/>
  </r>
  <r>
    <x v="0"/>
    <x v="0"/>
    <x v="1"/>
    <d v="2025-06-18T00:00:00"/>
    <n v="116"/>
    <x v="3"/>
    <s v="JC"/>
    <n v="2"/>
    <n v="5"/>
    <m/>
    <m/>
    <m/>
    <m/>
    <m/>
    <m/>
    <m/>
  </r>
  <r>
    <x v="0"/>
    <x v="2"/>
    <x v="1"/>
    <d v="2025-06-18T00:00:00"/>
    <n v="117"/>
    <x v="0"/>
    <s v="CJ"/>
    <n v="7"/>
    <n v="0"/>
    <m/>
    <m/>
    <m/>
    <m/>
    <m/>
    <m/>
    <m/>
  </r>
  <r>
    <x v="0"/>
    <x v="2"/>
    <x v="1"/>
    <d v="2025-06-18T00:00:00"/>
    <n v="117"/>
    <x v="1"/>
    <s v="CJ"/>
    <n v="7"/>
    <n v="0"/>
    <m/>
    <m/>
    <m/>
    <m/>
    <m/>
    <m/>
    <m/>
  </r>
  <r>
    <x v="0"/>
    <x v="2"/>
    <x v="1"/>
    <d v="2025-06-18T00:00:00"/>
    <n v="117"/>
    <x v="2"/>
    <s v="CJ"/>
    <n v="0"/>
    <n v="2"/>
    <m/>
    <m/>
    <m/>
    <m/>
    <m/>
    <m/>
    <m/>
  </r>
  <r>
    <x v="0"/>
    <x v="1"/>
    <x v="1"/>
    <d v="2025-06-18T00:00:00"/>
    <n v="118"/>
    <x v="0"/>
    <s v="JC"/>
    <n v="4"/>
    <n v="0"/>
    <m/>
    <m/>
    <m/>
    <m/>
    <m/>
    <m/>
    <m/>
  </r>
  <r>
    <x v="0"/>
    <x v="1"/>
    <x v="1"/>
    <d v="2025-06-18T00:00:00"/>
    <n v="118"/>
    <x v="1"/>
    <s v="JC"/>
    <n v="2"/>
    <n v="0"/>
    <m/>
    <m/>
    <m/>
    <m/>
    <m/>
    <m/>
    <m/>
  </r>
  <r>
    <x v="0"/>
    <x v="1"/>
    <x v="1"/>
    <d v="2025-06-18T00:00:00"/>
    <n v="118"/>
    <x v="2"/>
    <s v="JC"/>
    <n v="3"/>
    <n v="5"/>
    <m/>
    <m/>
    <m/>
    <m/>
    <m/>
    <m/>
    <m/>
  </r>
  <r>
    <x v="0"/>
    <x v="0"/>
    <x v="1"/>
    <d v="2025-06-19T00:00:00"/>
    <n v="119"/>
    <x v="0"/>
    <s v="JC"/>
    <n v="3"/>
    <n v="3"/>
    <m/>
    <m/>
    <m/>
    <m/>
    <m/>
    <m/>
    <m/>
  </r>
  <r>
    <x v="0"/>
    <x v="0"/>
    <x v="1"/>
    <d v="2025-06-19T00:00:00"/>
    <n v="119"/>
    <x v="1"/>
    <s v="JC"/>
    <n v="5"/>
    <n v="5"/>
    <m/>
    <m/>
    <m/>
    <m/>
    <m/>
    <m/>
    <m/>
  </r>
  <r>
    <x v="0"/>
    <x v="0"/>
    <x v="1"/>
    <d v="2025-06-19T00:00:00"/>
    <n v="119"/>
    <x v="2"/>
    <s v="JC"/>
    <n v="0"/>
    <n v="5"/>
    <m/>
    <m/>
    <m/>
    <m/>
    <m/>
    <m/>
    <m/>
  </r>
  <r>
    <x v="0"/>
    <x v="0"/>
    <x v="1"/>
    <d v="2025-06-19T00:00:00"/>
    <n v="120"/>
    <x v="0"/>
    <s v="CJ"/>
    <n v="1"/>
    <n v="3"/>
    <m/>
    <m/>
    <m/>
    <m/>
    <m/>
    <m/>
    <m/>
  </r>
  <r>
    <x v="0"/>
    <x v="0"/>
    <x v="1"/>
    <d v="2025-06-19T00:00:00"/>
    <n v="120"/>
    <x v="1"/>
    <s v="CJ"/>
    <n v="4"/>
    <n v="3"/>
    <m/>
    <m/>
    <m/>
    <m/>
    <m/>
    <m/>
    <m/>
  </r>
  <r>
    <x v="0"/>
    <x v="0"/>
    <x v="1"/>
    <d v="2025-06-19T00:00:00"/>
    <n v="120"/>
    <x v="2"/>
    <s v="CJ"/>
    <n v="2"/>
    <n v="1"/>
    <m/>
    <m/>
    <m/>
    <m/>
    <m/>
    <m/>
    <m/>
  </r>
  <r>
    <x v="0"/>
    <x v="0"/>
    <x v="1"/>
    <d v="2025-06-19T00:00:00"/>
    <n v="120"/>
    <x v="3"/>
    <s v="CJ"/>
    <n v="5"/>
    <n v="1"/>
    <m/>
    <m/>
    <m/>
    <m/>
    <m/>
    <m/>
    <m/>
  </r>
  <r>
    <x v="0"/>
    <x v="0"/>
    <x v="1"/>
    <d v="2025-06-20T00:00:00"/>
    <n v="121"/>
    <x v="0"/>
    <s v="JC"/>
    <n v="1"/>
    <n v="0"/>
    <m/>
    <m/>
    <m/>
    <m/>
    <m/>
    <m/>
    <m/>
  </r>
  <r>
    <x v="0"/>
    <x v="0"/>
    <x v="1"/>
    <d v="2025-06-20T00:00:00"/>
    <n v="121"/>
    <x v="1"/>
    <s v="JC"/>
    <n v="2"/>
    <n v="2"/>
    <m/>
    <m/>
    <m/>
    <m/>
    <m/>
    <m/>
    <m/>
  </r>
  <r>
    <x v="0"/>
    <x v="0"/>
    <x v="1"/>
    <d v="2025-06-20T00:00:00"/>
    <n v="121"/>
    <x v="2"/>
    <s v="JC"/>
    <n v="7"/>
    <n v="4"/>
    <m/>
    <m/>
    <m/>
    <m/>
    <m/>
    <m/>
    <m/>
  </r>
  <r>
    <x v="0"/>
    <x v="1"/>
    <x v="1"/>
    <d v="2025-06-20T00:00:00"/>
    <n v="122"/>
    <x v="0"/>
    <s v="CJ"/>
    <n v="0"/>
    <n v="1"/>
    <m/>
    <m/>
    <m/>
    <m/>
    <m/>
    <m/>
    <m/>
  </r>
  <r>
    <x v="0"/>
    <x v="1"/>
    <x v="1"/>
    <d v="2025-06-20T00:00:00"/>
    <n v="122"/>
    <x v="1"/>
    <s v="CJ"/>
    <n v="4"/>
    <n v="4"/>
    <m/>
    <m/>
    <m/>
    <m/>
    <m/>
    <m/>
    <m/>
  </r>
  <r>
    <x v="0"/>
    <x v="1"/>
    <x v="1"/>
    <d v="2025-06-20T00:00:00"/>
    <n v="122"/>
    <x v="2"/>
    <s v="CJ"/>
    <n v="3"/>
    <n v="6"/>
    <m/>
    <m/>
    <m/>
    <m/>
    <m/>
    <m/>
    <m/>
  </r>
  <r>
    <x v="0"/>
    <x v="2"/>
    <x v="1"/>
    <d v="2025-06-20T00:00:00"/>
    <n v="123"/>
    <x v="0"/>
    <s v="JC"/>
    <n v="5"/>
    <n v="3"/>
    <m/>
    <m/>
    <m/>
    <m/>
    <m/>
    <m/>
    <m/>
  </r>
  <r>
    <x v="0"/>
    <x v="2"/>
    <x v="1"/>
    <d v="2025-06-20T00:00:00"/>
    <n v="123"/>
    <x v="1"/>
    <s v="JC"/>
    <n v="3"/>
    <n v="0"/>
    <m/>
    <m/>
    <m/>
    <m/>
    <m/>
    <m/>
    <m/>
  </r>
  <r>
    <x v="0"/>
    <x v="2"/>
    <x v="1"/>
    <d v="2025-06-20T00:00:00"/>
    <n v="123"/>
    <x v="2"/>
    <s v="JC"/>
    <n v="3"/>
    <n v="0"/>
    <m/>
    <m/>
    <m/>
    <m/>
    <m/>
    <m/>
    <m/>
  </r>
  <r>
    <x v="0"/>
    <x v="0"/>
    <x v="1"/>
    <d v="2025-06-23T00:00:00"/>
    <n v="124"/>
    <x v="0"/>
    <s v="JB"/>
    <m/>
    <n v="4"/>
    <m/>
    <m/>
    <m/>
    <m/>
    <m/>
    <n v="2"/>
    <m/>
  </r>
  <r>
    <x v="0"/>
    <x v="0"/>
    <x v="1"/>
    <d v="2025-06-23T00:00:00"/>
    <n v="124"/>
    <x v="1"/>
    <s v="JB"/>
    <m/>
    <n v="3"/>
    <m/>
    <m/>
    <m/>
    <m/>
    <m/>
    <n v="0"/>
    <m/>
  </r>
  <r>
    <x v="0"/>
    <x v="0"/>
    <x v="1"/>
    <d v="2025-06-23T00:00:00"/>
    <n v="124"/>
    <x v="2"/>
    <s v="JB"/>
    <m/>
    <n v="5"/>
    <m/>
    <m/>
    <m/>
    <m/>
    <m/>
    <n v="0"/>
    <m/>
  </r>
  <r>
    <x v="0"/>
    <x v="0"/>
    <x v="1"/>
    <d v="2025-06-23T00:00:00"/>
    <n v="125"/>
    <x v="0"/>
    <s v="CJ"/>
    <n v="5"/>
    <n v="5"/>
    <m/>
    <m/>
    <m/>
    <m/>
    <m/>
    <m/>
    <m/>
  </r>
  <r>
    <x v="0"/>
    <x v="0"/>
    <x v="1"/>
    <d v="2025-06-23T00:00:00"/>
    <n v="125"/>
    <x v="1"/>
    <s v="CJ"/>
    <n v="1"/>
    <n v="2"/>
    <m/>
    <m/>
    <m/>
    <m/>
    <m/>
    <m/>
    <m/>
  </r>
  <r>
    <x v="0"/>
    <x v="0"/>
    <x v="1"/>
    <d v="2025-06-23T00:00:00"/>
    <n v="125"/>
    <x v="2"/>
    <s v="CJ"/>
    <n v="3"/>
    <n v="3"/>
    <m/>
    <m/>
    <m/>
    <m/>
    <m/>
    <m/>
    <m/>
  </r>
  <r>
    <x v="0"/>
    <x v="0"/>
    <x v="1"/>
    <d v="2025-06-24T00:00:00"/>
    <n v="126"/>
    <x v="0"/>
    <s v="JC"/>
    <n v="0"/>
    <n v="0"/>
    <m/>
    <m/>
    <m/>
    <m/>
    <m/>
    <m/>
    <m/>
  </r>
  <r>
    <x v="0"/>
    <x v="0"/>
    <x v="1"/>
    <d v="2025-06-24T00:00:00"/>
    <n v="126"/>
    <x v="1"/>
    <s v="JC"/>
    <n v="2"/>
    <n v="3"/>
    <m/>
    <m/>
    <m/>
    <m/>
    <m/>
    <m/>
    <m/>
  </r>
  <r>
    <x v="0"/>
    <x v="0"/>
    <x v="1"/>
    <d v="2025-06-24T00:00:00"/>
    <n v="126"/>
    <x v="2"/>
    <s v="JC"/>
    <n v="2"/>
    <n v="1"/>
    <m/>
    <m/>
    <m/>
    <m/>
    <m/>
    <m/>
    <m/>
  </r>
  <r>
    <x v="0"/>
    <x v="0"/>
    <x v="1"/>
    <d v="2025-06-24T00:00:00"/>
    <n v="126"/>
    <x v="3"/>
    <s v="JC"/>
    <n v="0"/>
    <n v="0"/>
    <m/>
    <m/>
    <m/>
    <m/>
    <m/>
    <m/>
    <m/>
  </r>
  <r>
    <x v="0"/>
    <x v="0"/>
    <x v="1"/>
    <d v="2025-06-24T00:00:00"/>
    <n v="126"/>
    <x v="4"/>
    <s v="JC"/>
    <n v="5"/>
    <n v="1"/>
    <m/>
    <m/>
    <m/>
    <m/>
    <m/>
    <m/>
    <m/>
  </r>
  <r>
    <x v="0"/>
    <x v="0"/>
    <x v="1"/>
    <d v="2025-06-24T00:00:00"/>
    <n v="127"/>
    <x v="0"/>
    <s v="CQJ"/>
    <n v="0"/>
    <n v="3"/>
    <n v="0"/>
    <m/>
    <m/>
    <m/>
    <m/>
    <m/>
    <m/>
  </r>
  <r>
    <x v="0"/>
    <x v="0"/>
    <x v="1"/>
    <d v="2025-06-24T00:00:00"/>
    <n v="127"/>
    <x v="1"/>
    <s v="CQJ"/>
    <n v="2"/>
    <n v="5"/>
    <n v="3"/>
    <m/>
    <m/>
    <m/>
    <m/>
    <m/>
    <m/>
  </r>
  <r>
    <x v="0"/>
    <x v="0"/>
    <x v="1"/>
    <d v="2025-06-24T00:00:00"/>
    <n v="127"/>
    <x v="2"/>
    <s v="CQJ"/>
    <n v="0"/>
    <n v="3"/>
    <n v="1"/>
    <m/>
    <m/>
    <m/>
    <m/>
    <m/>
    <m/>
  </r>
  <r>
    <x v="0"/>
    <x v="0"/>
    <x v="1"/>
    <d v="2025-06-24T00:00:00"/>
    <n v="128"/>
    <x v="0"/>
    <s v="JC"/>
    <n v="3"/>
    <n v="0"/>
    <m/>
    <m/>
    <m/>
    <m/>
    <m/>
    <m/>
    <m/>
  </r>
  <r>
    <x v="0"/>
    <x v="0"/>
    <x v="1"/>
    <d v="2025-06-24T00:00:00"/>
    <n v="128"/>
    <x v="1"/>
    <s v="JC"/>
    <n v="2"/>
    <n v="1"/>
    <m/>
    <m/>
    <m/>
    <m/>
    <m/>
    <m/>
    <m/>
  </r>
  <r>
    <x v="0"/>
    <x v="0"/>
    <x v="1"/>
    <d v="2025-06-24T00:00:00"/>
    <n v="128"/>
    <x v="2"/>
    <s v="JC"/>
    <n v="2"/>
    <n v="1"/>
    <m/>
    <m/>
    <m/>
    <m/>
    <m/>
    <m/>
    <m/>
  </r>
  <r>
    <x v="0"/>
    <x v="0"/>
    <x v="1"/>
    <d v="2025-06-25T00:00:00"/>
    <n v="129"/>
    <x v="0"/>
    <s v="CJ"/>
    <n v="0"/>
    <n v="1"/>
    <m/>
    <m/>
    <m/>
    <m/>
    <m/>
    <m/>
    <m/>
  </r>
  <r>
    <x v="0"/>
    <x v="0"/>
    <x v="1"/>
    <d v="2025-06-25T00:00:00"/>
    <n v="129"/>
    <x v="1"/>
    <s v="CJ"/>
    <n v="0"/>
    <n v="4"/>
    <m/>
    <m/>
    <m/>
    <m/>
    <m/>
    <m/>
    <m/>
  </r>
  <r>
    <x v="0"/>
    <x v="0"/>
    <x v="1"/>
    <d v="2025-06-25T00:00:00"/>
    <n v="129"/>
    <x v="2"/>
    <s v="CJ"/>
    <n v="0"/>
    <n v="2"/>
    <m/>
    <m/>
    <m/>
    <m/>
    <m/>
    <m/>
    <m/>
  </r>
  <r>
    <x v="0"/>
    <x v="0"/>
    <x v="1"/>
    <d v="2025-06-25T00:00:00"/>
    <n v="130"/>
    <x v="0"/>
    <s v="BJC"/>
    <n v="3"/>
    <n v="0"/>
    <m/>
    <m/>
    <m/>
    <m/>
    <m/>
    <n v="0"/>
    <m/>
  </r>
  <r>
    <x v="0"/>
    <x v="0"/>
    <x v="1"/>
    <d v="2025-06-25T00:00:00"/>
    <n v="130"/>
    <x v="1"/>
    <s v="BJC"/>
    <n v="7"/>
    <n v="0"/>
    <m/>
    <m/>
    <m/>
    <m/>
    <m/>
    <n v="1"/>
    <m/>
  </r>
  <r>
    <x v="0"/>
    <x v="0"/>
    <x v="1"/>
    <d v="2025-06-25T00:00:00"/>
    <n v="130"/>
    <x v="2"/>
    <s v="BJC"/>
    <n v="4"/>
    <n v="0"/>
    <m/>
    <m/>
    <m/>
    <m/>
    <m/>
    <n v="0"/>
    <m/>
  </r>
  <r>
    <x v="0"/>
    <x v="0"/>
    <x v="1"/>
    <d v="2025-06-25T00:00:00"/>
    <n v="131"/>
    <x v="0"/>
    <s v="JC"/>
    <n v="0"/>
    <n v="1"/>
    <m/>
    <m/>
    <m/>
    <m/>
    <m/>
    <m/>
    <m/>
  </r>
  <r>
    <x v="0"/>
    <x v="0"/>
    <x v="1"/>
    <d v="2025-06-25T00:00:00"/>
    <n v="131"/>
    <x v="1"/>
    <s v="JC"/>
    <n v="3"/>
    <n v="1"/>
    <m/>
    <m/>
    <m/>
    <m/>
    <m/>
    <m/>
    <m/>
  </r>
  <r>
    <x v="0"/>
    <x v="0"/>
    <x v="1"/>
    <d v="2025-06-25T00:00:00"/>
    <n v="131"/>
    <x v="2"/>
    <s v="JC"/>
    <n v="1"/>
    <n v="2"/>
    <m/>
    <m/>
    <m/>
    <m/>
    <m/>
    <m/>
    <m/>
  </r>
  <r>
    <x v="0"/>
    <x v="0"/>
    <x v="1"/>
    <d v="2025-06-25T00:00:00"/>
    <n v="131"/>
    <x v="3"/>
    <s v="JC"/>
    <n v="5"/>
    <n v="3"/>
    <m/>
    <m/>
    <m/>
    <m/>
    <m/>
    <m/>
    <m/>
  </r>
  <r>
    <x v="0"/>
    <x v="0"/>
    <x v="1"/>
    <d v="2025-06-26T00:00:00"/>
    <n v="132"/>
    <x v="0"/>
    <s v="JBC"/>
    <n v="5"/>
    <n v="0"/>
    <m/>
    <m/>
    <m/>
    <m/>
    <m/>
    <n v="0"/>
    <m/>
  </r>
  <r>
    <x v="0"/>
    <x v="0"/>
    <x v="1"/>
    <d v="2025-06-26T00:00:00"/>
    <n v="132"/>
    <x v="1"/>
    <s v="JBC"/>
    <n v="0"/>
    <n v="4"/>
    <m/>
    <m/>
    <m/>
    <m/>
    <m/>
    <n v="0"/>
    <m/>
  </r>
  <r>
    <x v="0"/>
    <x v="0"/>
    <x v="1"/>
    <d v="2025-06-26T00:00:00"/>
    <n v="132"/>
    <x v="2"/>
    <s v="JBC"/>
    <n v="5"/>
    <n v="0"/>
    <m/>
    <m/>
    <m/>
    <m/>
    <m/>
    <n v="4"/>
    <m/>
  </r>
  <r>
    <x v="0"/>
    <x v="0"/>
    <x v="1"/>
    <d v="2025-06-26T00:00:00"/>
    <n v="133"/>
    <x v="0"/>
    <s v="CJ"/>
    <n v="3"/>
    <n v="2"/>
    <m/>
    <m/>
    <m/>
    <m/>
    <m/>
    <m/>
    <m/>
  </r>
  <r>
    <x v="0"/>
    <x v="0"/>
    <x v="1"/>
    <d v="2025-06-26T00:00:00"/>
    <n v="133"/>
    <x v="1"/>
    <s v="CJ"/>
    <n v="2"/>
    <n v="1"/>
    <m/>
    <m/>
    <m/>
    <m/>
    <m/>
    <m/>
    <m/>
  </r>
  <r>
    <x v="0"/>
    <x v="0"/>
    <x v="1"/>
    <d v="2025-06-26T00:00:00"/>
    <n v="133"/>
    <x v="2"/>
    <s v="CJ"/>
    <n v="5"/>
    <n v="1"/>
    <m/>
    <m/>
    <m/>
    <m/>
    <m/>
    <m/>
    <m/>
  </r>
  <r>
    <x v="0"/>
    <x v="0"/>
    <x v="1"/>
    <d v="2025-06-27T00:00:00"/>
    <n v="134"/>
    <x v="0"/>
    <s v="BC"/>
    <n v="1"/>
    <m/>
    <m/>
    <m/>
    <m/>
    <m/>
    <m/>
    <n v="0"/>
    <m/>
  </r>
  <r>
    <x v="0"/>
    <x v="0"/>
    <x v="1"/>
    <d v="2025-06-27T00:00:00"/>
    <n v="134"/>
    <x v="1"/>
    <s v="BC"/>
    <n v="0"/>
    <m/>
    <m/>
    <m/>
    <m/>
    <m/>
    <m/>
    <n v="3"/>
    <m/>
  </r>
  <r>
    <x v="0"/>
    <x v="0"/>
    <x v="1"/>
    <d v="2025-06-27T00:00:00"/>
    <n v="134"/>
    <x v="2"/>
    <s v="BC"/>
    <n v="5"/>
    <m/>
    <m/>
    <m/>
    <m/>
    <m/>
    <m/>
    <n v="0"/>
    <m/>
  </r>
  <r>
    <x v="0"/>
    <x v="0"/>
    <x v="1"/>
    <d v="2025-06-27T00:00:00"/>
    <n v="135"/>
    <x v="0"/>
    <s v="CJ"/>
    <n v="3"/>
    <n v="0"/>
    <m/>
    <m/>
    <m/>
    <m/>
    <m/>
    <m/>
    <m/>
  </r>
  <r>
    <x v="0"/>
    <x v="0"/>
    <x v="1"/>
    <d v="2025-06-27T00:00:00"/>
    <n v="135"/>
    <x v="1"/>
    <s v="CJ"/>
    <n v="9"/>
    <n v="0"/>
    <m/>
    <m/>
    <m/>
    <m/>
    <m/>
    <m/>
    <m/>
  </r>
  <r>
    <x v="0"/>
    <x v="0"/>
    <x v="1"/>
    <d v="2025-06-27T00:00:00"/>
    <n v="135"/>
    <x v="2"/>
    <s v="CJ"/>
    <n v="4"/>
    <n v="0"/>
    <m/>
    <m/>
    <m/>
    <m/>
    <m/>
    <m/>
    <m/>
  </r>
  <r>
    <x v="0"/>
    <x v="1"/>
    <x v="1"/>
    <d v="2025-06-27T00:00:00"/>
    <n v="136"/>
    <x v="0"/>
    <s v="JC"/>
    <n v="0"/>
    <n v="0"/>
    <m/>
    <m/>
    <m/>
    <m/>
    <m/>
    <m/>
    <m/>
  </r>
  <r>
    <x v="0"/>
    <x v="1"/>
    <x v="1"/>
    <d v="2025-06-27T00:00:00"/>
    <n v="136"/>
    <x v="1"/>
    <s v="JC"/>
    <n v="3"/>
    <n v="2"/>
    <m/>
    <m/>
    <m/>
    <m/>
    <m/>
    <m/>
    <m/>
  </r>
  <r>
    <x v="0"/>
    <x v="1"/>
    <x v="1"/>
    <d v="2025-06-27T00:00:00"/>
    <n v="136"/>
    <x v="2"/>
    <s v="JC"/>
    <n v="1"/>
    <n v="7"/>
    <m/>
    <m/>
    <m/>
    <m/>
    <m/>
    <m/>
    <m/>
  </r>
  <r>
    <x v="0"/>
    <x v="0"/>
    <x v="1"/>
    <d v="2025-06-30T00:00:00"/>
    <n v="137"/>
    <x v="0"/>
    <s v="BCJ"/>
    <n v="0"/>
    <n v="0"/>
    <m/>
    <m/>
    <m/>
    <m/>
    <m/>
    <n v="0"/>
    <m/>
  </r>
  <r>
    <x v="0"/>
    <x v="0"/>
    <x v="1"/>
    <d v="2025-06-30T00:00:00"/>
    <n v="137"/>
    <x v="1"/>
    <s v="BCJ"/>
    <n v="0"/>
    <n v="6"/>
    <m/>
    <m/>
    <m/>
    <m/>
    <m/>
    <n v="1"/>
    <m/>
  </r>
  <r>
    <x v="0"/>
    <x v="0"/>
    <x v="1"/>
    <d v="2025-06-30T00:00:00"/>
    <n v="137"/>
    <x v="2"/>
    <s v="BCJ"/>
    <n v="5"/>
    <n v="3"/>
    <m/>
    <m/>
    <m/>
    <m/>
    <m/>
    <n v="0"/>
    <m/>
  </r>
  <r>
    <x v="0"/>
    <x v="1"/>
    <x v="1"/>
    <d v="2025-06-30T00:00:00"/>
    <n v="138"/>
    <x v="0"/>
    <s v="BJC"/>
    <n v="9"/>
    <n v="1"/>
    <m/>
    <m/>
    <m/>
    <m/>
    <m/>
    <n v="1"/>
    <m/>
  </r>
  <r>
    <x v="0"/>
    <x v="1"/>
    <x v="1"/>
    <d v="2025-06-30T00:00:00"/>
    <n v="138"/>
    <x v="1"/>
    <s v="BJC"/>
    <n v="0"/>
    <n v="2"/>
    <m/>
    <m/>
    <m/>
    <m/>
    <m/>
    <n v="0"/>
    <m/>
  </r>
  <r>
    <x v="0"/>
    <x v="1"/>
    <x v="1"/>
    <d v="2025-06-30T00:00:00"/>
    <n v="138"/>
    <x v="2"/>
    <s v="BJC"/>
    <n v="4"/>
    <n v="0"/>
    <m/>
    <m/>
    <m/>
    <m/>
    <m/>
    <n v="2"/>
    <m/>
  </r>
  <r>
    <x v="0"/>
    <x v="0"/>
    <x v="1"/>
    <d v="2025-06-30T00:00:00"/>
    <n v="139"/>
    <x v="0"/>
    <s v="CJQ"/>
    <n v="0"/>
    <n v="0"/>
    <n v="2"/>
    <m/>
    <m/>
    <m/>
    <m/>
    <m/>
    <m/>
  </r>
  <r>
    <x v="0"/>
    <x v="0"/>
    <x v="1"/>
    <d v="2025-06-30T00:00:00"/>
    <n v="139"/>
    <x v="1"/>
    <s v="CJQ"/>
    <n v="1"/>
    <n v="2"/>
    <n v="0"/>
    <m/>
    <m/>
    <m/>
    <m/>
    <m/>
    <m/>
  </r>
  <r>
    <x v="0"/>
    <x v="0"/>
    <x v="1"/>
    <d v="2025-06-30T00:00:00"/>
    <n v="139"/>
    <x v="2"/>
    <s v="CJQ"/>
    <n v="3"/>
    <n v="2"/>
    <n v="3"/>
    <m/>
    <m/>
    <m/>
    <m/>
    <m/>
    <m/>
  </r>
  <r>
    <x v="0"/>
    <x v="0"/>
    <x v="1"/>
    <d v="2025-07-01T00:00:00"/>
    <n v="140"/>
    <x v="0"/>
    <s v="JBC"/>
    <n v="3"/>
    <n v="4"/>
    <m/>
    <m/>
    <m/>
    <m/>
    <m/>
    <n v="1"/>
    <m/>
  </r>
  <r>
    <x v="0"/>
    <x v="0"/>
    <x v="1"/>
    <d v="2025-07-01T00:00:00"/>
    <n v="140"/>
    <x v="1"/>
    <s v="JBC"/>
    <n v="1"/>
    <n v="2"/>
    <m/>
    <m/>
    <m/>
    <m/>
    <m/>
    <n v="1"/>
    <m/>
  </r>
  <r>
    <x v="0"/>
    <x v="0"/>
    <x v="1"/>
    <d v="2025-07-01T00:00:00"/>
    <n v="140"/>
    <x v="2"/>
    <s v="JBC"/>
    <n v="3"/>
    <n v="1"/>
    <m/>
    <m/>
    <m/>
    <m/>
    <m/>
    <n v="0"/>
    <m/>
  </r>
  <r>
    <x v="0"/>
    <x v="0"/>
    <x v="1"/>
    <d v="2025-07-01T00:00:00"/>
    <n v="140"/>
    <x v="3"/>
    <s v="JBC"/>
    <n v="1"/>
    <n v="7"/>
    <m/>
    <m/>
    <m/>
    <m/>
    <m/>
    <m/>
    <m/>
  </r>
  <r>
    <x v="0"/>
    <x v="1"/>
    <x v="1"/>
    <d v="2025-07-01T00:00:00"/>
    <n v="141"/>
    <x v="0"/>
    <s v="CJQ"/>
    <n v="1"/>
    <n v="5"/>
    <n v="1"/>
    <m/>
    <m/>
    <m/>
    <m/>
    <m/>
    <m/>
  </r>
  <r>
    <x v="0"/>
    <x v="1"/>
    <x v="1"/>
    <d v="2025-07-01T00:00:00"/>
    <n v="141"/>
    <x v="1"/>
    <s v="CJQ"/>
    <n v="0"/>
    <n v="3"/>
    <n v="3"/>
    <m/>
    <m/>
    <m/>
    <m/>
    <m/>
    <m/>
  </r>
  <r>
    <x v="0"/>
    <x v="1"/>
    <x v="1"/>
    <d v="2025-07-01T00:00:00"/>
    <n v="141"/>
    <x v="2"/>
    <s v="CJQ"/>
    <n v="2"/>
    <n v="6"/>
    <n v="1"/>
    <m/>
    <m/>
    <m/>
    <m/>
    <m/>
    <m/>
  </r>
  <r>
    <x v="0"/>
    <x v="0"/>
    <x v="1"/>
    <d v="2025-07-01T00:00:00"/>
    <n v="142"/>
    <x v="0"/>
    <s v="JQC"/>
    <n v="0"/>
    <n v="1"/>
    <n v="2"/>
    <m/>
    <m/>
    <m/>
    <m/>
    <m/>
    <m/>
  </r>
  <r>
    <x v="0"/>
    <x v="0"/>
    <x v="1"/>
    <d v="2025-07-01T00:00:00"/>
    <n v="142"/>
    <x v="1"/>
    <s v="JQC"/>
    <n v="0"/>
    <n v="2"/>
    <n v="0"/>
    <m/>
    <m/>
    <m/>
    <m/>
    <m/>
    <m/>
  </r>
  <r>
    <x v="0"/>
    <x v="0"/>
    <x v="1"/>
    <d v="2025-07-01T00:00:00"/>
    <n v="142"/>
    <x v="2"/>
    <s v="JQC"/>
    <n v="6"/>
    <n v="5"/>
    <n v="2"/>
    <m/>
    <m/>
    <m/>
    <m/>
    <m/>
    <m/>
  </r>
  <r>
    <x v="0"/>
    <x v="0"/>
    <x v="1"/>
    <d v="2025-07-02T00:00:00"/>
    <n v="143"/>
    <x v="0"/>
    <s v="JCBQ"/>
    <n v="0"/>
    <n v="0"/>
    <n v="1"/>
    <m/>
    <m/>
    <m/>
    <m/>
    <n v="0"/>
    <m/>
  </r>
  <r>
    <x v="0"/>
    <x v="0"/>
    <x v="1"/>
    <d v="2025-07-02T00:00:00"/>
    <n v="143"/>
    <x v="1"/>
    <s v="JCBQ"/>
    <n v="1"/>
    <n v="5"/>
    <n v="0"/>
    <m/>
    <m/>
    <m/>
    <m/>
    <n v="1"/>
    <m/>
  </r>
  <r>
    <x v="0"/>
    <x v="0"/>
    <x v="1"/>
    <d v="2025-07-02T00:00:00"/>
    <n v="143"/>
    <x v="2"/>
    <s v="JCBQ"/>
    <n v="3"/>
    <n v="5"/>
    <n v="2"/>
    <m/>
    <m/>
    <m/>
    <m/>
    <n v="7"/>
    <m/>
  </r>
  <r>
    <x v="0"/>
    <x v="0"/>
    <x v="1"/>
    <d v="2025-07-02T00:00:00"/>
    <n v="144"/>
    <x v="0"/>
    <s v="CJQ"/>
    <n v="5"/>
    <n v="3"/>
    <n v="1"/>
    <m/>
    <m/>
    <m/>
    <m/>
    <m/>
    <m/>
  </r>
  <r>
    <x v="0"/>
    <x v="0"/>
    <x v="1"/>
    <d v="2025-07-02T00:00:00"/>
    <n v="144"/>
    <x v="1"/>
    <s v="CJQ"/>
    <n v="4"/>
    <n v="6"/>
    <n v="0"/>
    <m/>
    <m/>
    <m/>
    <m/>
    <m/>
    <m/>
  </r>
  <r>
    <x v="0"/>
    <x v="0"/>
    <x v="1"/>
    <d v="2025-07-02T00:00:00"/>
    <n v="144"/>
    <x v="2"/>
    <s v="CJQ"/>
    <n v="8"/>
    <n v="0"/>
    <n v="1"/>
    <m/>
    <m/>
    <m/>
    <m/>
    <m/>
    <m/>
  </r>
  <r>
    <x v="0"/>
    <x v="0"/>
    <x v="1"/>
    <d v="2025-07-03T00:00:00"/>
    <n v="145"/>
    <x v="0"/>
    <s v="CJB"/>
    <n v="3"/>
    <n v="0"/>
    <m/>
    <m/>
    <m/>
    <m/>
    <m/>
    <n v="1"/>
    <m/>
  </r>
  <r>
    <x v="0"/>
    <x v="0"/>
    <x v="1"/>
    <d v="2025-07-03T00:00:00"/>
    <n v="145"/>
    <x v="1"/>
    <s v="CJB"/>
    <n v="1"/>
    <n v="4"/>
    <m/>
    <m/>
    <m/>
    <m/>
    <m/>
    <n v="0"/>
    <m/>
  </r>
  <r>
    <x v="0"/>
    <x v="0"/>
    <x v="1"/>
    <d v="2025-07-03T00:00:00"/>
    <n v="145"/>
    <x v="2"/>
    <s v="CJB"/>
    <n v="1"/>
    <n v="0"/>
    <m/>
    <m/>
    <m/>
    <m/>
    <m/>
    <n v="0"/>
    <m/>
  </r>
  <r>
    <x v="0"/>
    <x v="1"/>
    <x v="1"/>
    <d v="2025-07-03T00:00:00"/>
    <n v="146"/>
    <x v="0"/>
    <s v="BCJ"/>
    <n v="4"/>
    <n v="2"/>
    <m/>
    <m/>
    <m/>
    <m/>
    <m/>
    <n v="0"/>
    <m/>
  </r>
  <r>
    <x v="0"/>
    <x v="1"/>
    <x v="1"/>
    <d v="2025-07-03T00:00:00"/>
    <n v="146"/>
    <x v="1"/>
    <s v="BCJ"/>
    <n v="3"/>
    <n v="8"/>
    <m/>
    <m/>
    <m/>
    <m/>
    <m/>
    <n v="0"/>
    <m/>
  </r>
  <r>
    <x v="0"/>
    <x v="1"/>
    <x v="1"/>
    <d v="2025-07-03T00:00:00"/>
    <n v="146"/>
    <x v="2"/>
    <s v="BCJ"/>
    <n v="2"/>
    <n v="3"/>
    <m/>
    <m/>
    <m/>
    <m/>
    <m/>
    <n v="3"/>
    <m/>
  </r>
  <r>
    <x v="0"/>
    <x v="2"/>
    <x v="1"/>
    <d v="2025-07-03T00:00:00"/>
    <n v="147"/>
    <x v="0"/>
    <s v="JBC"/>
    <n v="8"/>
    <n v="0"/>
    <m/>
    <m/>
    <m/>
    <m/>
    <m/>
    <n v="0"/>
    <m/>
  </r>
  <r>
    <x v="0"/>
    <x v="2"/>
    <x v="1"/>
    <d v="2025-07-03T00:00:00"/>
    <n v="147"/>
    <x v="1"/>
    <s v="JBC"/>
    <n v="1"/>
    <n v="2"/>
    <m/>
    <m/>
    <m/>
    <m/>
    <m/>
    <n v="2"/>
    <m/>
  </r>
  <r>
    <x v="0"/>
    <x v="2"/>
    <x v="1"/>
    <d v="2025-07-03T00:00:00"/>
    <n v="147"/>
    <x v="2"/>
    <s v="JBC"/>
    <n v="6"/>
    <n v="2"/>
    <m/>
    <m/>
    <m/>
    <m/>
    <m/>
    <n v="1"/>
    <m/>
  </r>
  <r>
    <x v="0"/>
    <x v="0"/>
    <x v="2"/>
    <d v="2025-07-07T00:00:00"/>
    <n v="148"/>
    <x v="0"/>
    <s v="CBQ"/>
    <n v="0"/>
    <m/>
    <n v="2"/>
    <m/>
    <m/>
    <m/>
    <m/>
    <n v="1"/>
    <m/>
  </r>
  <r>
    <x v="0"/>
    <x v="0"/>
    <x v="2"/>
    <d v="2025-07-07T00:00:00"/>
    <n v="148"/>
    <x v="1"/>
    <s v="CBQ"/>
    <n v="0"/>
    <m/>
    <n v="1"/>
    <m/>
    <m/>
    <m/>
    <m/>
    <n v="0"/>
    <m/>
  </r>
  <r>
    <x v="0"/>
    <x v="0"/>
    <x v="2"/>
    <d v="2025-07-07T00:00:00"/>
    <n v="148"/>
    <x v="2"/>
    <s v="CBQ"/>
    <n v="1"/>
    <m/>
    <n v="2"/>
    <m/>
    <m/>
    <m/>
    <m/>
    <n v="3"/>
    <m/>
  </r>
  <r>
    <x v="0"/>
    <x v="0"/>
    <x v="1"/>
    <d v="2025-07-07T00:00:00"/>
    <n v="149"/>
    <x v="0"/>
    <s v="BQC"/>
    <n v="2"/>
    <m/>
    <n v="5"/>
    <m/>
    <m/>
    <m/>
    <m/>
    <n v="1"/>
    <m/>
  </r>
  <r>
    <x v="0"/>
    <x v="0"/>
    <x v="1"/>
    <d v="2025-07-07T00:00:00"/>
    <n v="149"/>
    <x v="1"/>
    <s v="BQC"/>
    <n v="6"/>
    <m/>
    <n v="0"/>
    <m/>
    <m/>
    <m/>
    <m/>
    <n v="5"/>
    <m/>
  </r>
  <r>
    <x v="0"/>
    <x v="0"/>
    <x v="1"/>
    <d v="2025-07-07T00:00:00"/>
    <n v="149"/>
    <x v="2"/>
    <s v="BQC"/>
    <n v="1"/>
    <m/>
    <n v="0"/>
    <m/>
    <m/>
    <m/>
    <m/>
    <n v="0"/>
    <m/>
  </r>
  <r>
    <x v="0"/>
    <x v="0"/>
    <x v="1"/>
    <d v="2025-07-07T00:00:00"/>
    <n v="150"/>
    <x v="0"/>
    <s v="CB"/>
    <n v="0"/>
    <m/>
    <m/>
    <m/>
    <m/>
    <m/>
    <m/>
    <n v="8"/>
    <m/>
  </r>
  <r>
    <x v="0"/>
    <x v="0"/>
    <x v="1"/>
    <d v="2025-07-07T00:00:00"/>
    <n v="150"/>
    <x v="1"/>
    <s v="CB"/>
    <n v="4"/>
    <m/>
    <m/>
    <m/>
    <m/>
    <m/>
    <m/>
    <n v="0"/>
    <m/>
  </r>
  <r>
    <x v="0"/>
    <x v="0"/>
    <x v="1"/>
    <d v="2025-07-07T00:00:00"/>
    <n v="150"/>
    <x v="2"/>
    <s v="CB"/>
    <n v="5"/>
    <m/>
    <m/>
    <m/>
    <m/>
    <m/>
    <m/>
    <n v="3"/>
    <m/>
  </r>
  <r>
    <x v="0"/>
    <x v="0"/>
    <x v="1"/>
    <d v="2025-07-08T00:00:00"/>
    <n v="151"/>
    <x v="0"/>
    <s v="BC"/>
    <n v="8"/>
    <m/>
    <m/>
    <m/>
    <m/>
    <m/>
    <m/>
    <n v="0"/>
    <m/>
  </r>
  <r>
    <x v="0"/>
    <x v="0"/>
    <x v="1"/>
    <d v="2025-07-08T00:00:00"/>
    <n v="151"/>
    <x v="1"/>
    <s v="BC"/>
    <n v="3"/>
    <m/>
    <m/>
    <m/>
    <m/>
    <m/>
    <m/>
    <n v="0"/>
    <m/>
  </r>
  <r>
    <x v="0"/>
    <x v="0"/>
    <x v="1"/>
    <d v="2025-07-08T00:00:00"/>
    <n v="151"/>
    <x v="2"/>
    <s v="BC"/>
    <n v="6"/>
    <m/>
    <m/>
    <m/>
    <m/>
    <m/>
    <m/>
    <n v="6"/>
    <m/>
  </r>
  <r>
    <x v="0"/>
    <x v="1"/>
    <x v="1"/>
    <d v="2025-07-08T00:00:00"/>
    <n v="152"/>
    <x v="0"/>
    <s v="CB"/>
    <n v="2"/>
    <m/>
    <m/>
    <m/>
    <m/>
    <m/>
    <m/>
    <n v="0"/>
    <m/>
  </r>
  <r>
    <x v="0"/>
    <x v="1"/>
    <x v="1"/>
    <d v="2025-07-08T00:00:00"/>
    <n v="152"/>
    <x v="1"/>
    <s v="CB"/>
    <n v="2"/>
    <m/>
    <m/>
    <m/>
    <m/>
    <m/>
    <m/>
    <n v="3"/>
    <m/>
  </r>
  <r>
    <x v="0"/>
    <x v="1"/>
    <x v="1"/>
    <d v="2025-07-08T00:00:00"/>
    <n v="152"/>
    <x v="2"/>
    <s v="CB"/>
    <n v="1"/>
    <m/>
    <m/>
    <m/>
    <m/>
    <m/>
    <m/>
    <n v="2"/>
    <m/>
  </r>
  <r>
    <x v="0"/>
    <x v="1"/>
    <x v="1"/>
    <d v="2025-07-08T00:00:00"/>
    <n v="152"/>
    <x v="3"/>
    <s v="CB"/>
    <n v="6"/>
    <m/>
    <m/>
    <m/>
    <m/>
    <m/>
    <m/>
    <n v="0"/>
    <m/>
  </r>
  <r>
    <x v="0"/>
    <x v="0"/>
    <x v="1"/>
    <d v="2025-07-09T00:00:00"/>
    <n v="153"/>
    <x v="0"/>
    <s v="BC"/>
    <n v="3"/>
    <m/>
    <m/>
    <m/>
    <m/>
    <m/>
    <m/>
    <n v="5"/>
    <m/>
  </r>
  <r>
    <x v="0"/>
    <x v="0"/>
    <x v="1"/>
    <d v="2025-07-09T00:00:00"/>
    <n v="153"/>
    <x v="1"/>
    <s v="BC"/>
    <n v="0"/>
    <m/>
    <m/>
    <m/>
    <m/>
    <m/>
    <m/>
    <n v="3"/>
    <m/>
  </r>
  <r>
    <x v="0"/>
    <x v="0"/>
    <x v="1"/>
    <d v="2025-07-09T00:00:00"/>
    <n v="153"/>
    <x v="2"/>
    <s v="BC"/>
    <n v="1"/>
    <m/>
    <m/>
    <m/>
    <m/>
    <m/>
    <m/>
    <n v="2"/>
    <m/>
  </r>
  <r>
    <x v="0"/>
    <x v="1"/>
    <x v="1"/>
    <d v="2025-07-09T00:00:00"/>
    <n v="154"/>
    <x v="0"/>
    <s v="CB"/>
    <n v="4"/>
    <m/>
    <m/>
    <m/>
    <m/>
    <m/>
    <m/>
    <n v="0"/>
    <m/>
  </r>
  <r>
    <x v="0"/>
    <x v="1"/>
    <x v="1"/>
    <d v="2025-07-09T00:00:00"/>
    <n v="154"/>
    <x v="1"/>
    <s v="CB"/>
    <n v="1"/>
    <m/>
    <m/>
    <m/>
    <m/>
    <m/>
    <m/>
    <n v="1"/>
    <m/>
  </r>
  <r>
    <x v="0"/>
    <x v="1"/>
    <x v="1"/>
    <d v="2025-07-09T00:00:00"/>
    <n v="154"/>
    <x v="2"/>
    <s v="CB"/>
    <n v="0"/>
    <m/>
    <m/>
    <m/>
    <m/>
    <m/>
    <m/>
    <n v="1"/>
    <m/>
  </r>
  <r>
    <x v="0"/>
    <x v="0"/>
    <x v="1"/>
    <d v="2025-07-09T00:00:00"/>
    <n v="155"/>
    <x v="0"/>
    <s v="BC"/>
    <n v="1"/>
    <m/>
    <m/>
    <m/>
    <m/>
    <m/>
    <m/>
    <n v="0"/>
    <m/>
  </r>
  <r>
    <x v="0"/>
    <x v="0"/>
    <x v="1"/>
    <d v="2025-07-09T00:00:00"/>
    <n v="155"/>
    <x v="1"/>
    <s v="BC"/>
    <n v="6"/>
    <m/>
    <m/>
    <m/>
    <m/>
    <m/>
    <m/>
    <n v="1"/>
    <m/>
  </r>
  <r>
    <x v="0"/>
    <x v="0"/>
    <x v="1"/>
    <d v="2025-07-09T00:00:00"/>
    <n v="155"/>
    <x v="2"/>
    <s v="BC"/>
    <n v="2"/>
    <m/>
    <m/>
    <m/>
    <m/>
    <m/>
    <m/>
    <n v="0"/>
    <m/>
  </r>
  <r>
    <x v="0"/>
    <x v="0"/>
    <x v="1"/>
    <d v="2025-07-10T00:00:00"/>
    <n v="156"/>
    <x v="0"/>
    <s v="CB"/>
    <n v="6"/>
    <m/>
    <m/>
    <m/>
    <m/>
    <m/>
    <m/>
    <n v="0"/>
    <m/>
  </r>
  <r>
    <x v="0"/>
    <x v="0"/>
    <x v="1"/>
    <d v="2025-07-10T00:00:00"/>
    <n v="156"/>
    <x v="1"/>
    <s v="CB"/>
    <n v="0"/>
    <m/>
    <m/>
    <m/>
    <m/>
    <m/>
    <m/>
    <n v="1"/>
    <m/>
  </r>
  <r>
    <x v="0"/>
    <x v="0"/>
    <x v="1"/>
    <d v="2025-07-10T00:00:00"/>
    <n v="156"/>
    <x v="2"/>
    <s v="CB"/>
    <n v="7"/>
    <m/>
    <m/>
    <m/>
    <m/>
    <m/>
    <m/>
    <n v="0"/>
    <m/>
  </r>
  <r>
    <x v="0"/>
    <x v="2"/>
    <x v="1"/>
    <d v="2025-07-10T00:00:00"/>
    <n v="157"/>
    <x v="0"/>
    <s v="BC"/>
    <n v="1"/>
    <m/>
    <m/>
    <m/>
    <m/>
    <m/>
    <m/>
    <n v="1"/>
    <m/>
  </r>
  <r>
    <x v="0"/>
    <x v="2"/>
    <x v="1"/>
    <d v="2025-07-10T00:00:00"/>
    <n v="157"/>
    <x v="1"/>
    <s v="BC"/>
    <n v="1"/>
    <m/>
    <m/>
    <m/>
    <m/>
    <m/>
    <m/>
    <n v="0"/>
    <m/>
  </r>
  <r>
    <x v="0"/>
    <x v="2"/>
    <x v="1"/>
    <d v="2025-07-10T00:00:00"/>
    <n v="157"/>
    <x v="2"/>
    <s v="BC"/>
    <n v="1"/>
    <m/>
    <m/>
    <m/>
    <m/>
    <m/>
    <m/>
    <n v="2"/>
    <m/>
  </r>
  <r>
    <x v="0"/>
    <x v="2"/>
    <x v="1"/>
    <d v="2025-07-10T00:00:00"/>
    <n v="157"/>
    <x v="3"/>
    <s v="BC"/>
    <n v="0"/>
    <m/>
    <m/>
    <m/>
    <m/>
    <m/>
    <m/>
    <n v="0"/>
    <m/>
  </r>
  <r>
    <x v="0"/>
    <x v="2"/>
    <x v="1"/>
    <d v="2025-07-10T00:00:00"/>
    <n v="157"/>
    <x v="4"/>
    <s v="BC"/>
    <n v="1"/>
    <m/>
    <m/>
    <m/>
    <m/>
    <m/>
    <m/>
    <n v="0"/>
    <m/>
  </r>
  <r>
    <x v="0"/>
    <x v="1"/>
    <x v="1"/>
    <d v="2025-07-10T00:00:00"/>
    <n v="158"/>
    <x v="0"/>
    <s v="BC"/>
    <n v="1"/>
    <m/>
    <m/>
    <m/>
    <m/>
    <m/>
    <m/>
    <n v="0"/>
    <m/>
  </r>
  <r>
    <x v="0"/>
    <x v="1"/>
    <x v="1"/>
    <d v="2025-07-10T00:00:00"/>
    <n v="158"/>
    <x v="1"/>
    <s v="BC"/>
    <n v="4"/>
    <m/>
    <m/>
    <m/>
    <m/>
    <m/>
    <m/>
    <n v="0"/>
    <m/>
  </r>
  <r>
    <x v="0"/>
    <x v="1"/>
    <x v="1"/>
    <d v="2025-07-10T00:00:00"/>
    <n v="158"/>
    <x v="2"/>
    <s v="BC"/>
    <n v="1"/>
    <m/>
    <m/>
    <m/>
    <m/>
    <m/>
    <m/>
    <n v="0"/>
    <m/>
  </r>
  <r>
    <x v="0"/>
    <x v="0"/>
    <x v="1"/>
    <d v="2025-07-11T00:00:00"/>
    <n v="159"/>
    <x v="0"/>
    <s v="BC"/>
    <n v="6"/>
    <m/>
    <m/>
    <m/>
    <m/>
    <m/>
    <m/>
    <n v="3"/>
    <m/>
  </r>
  <r>
    <x v="0"/>
    <x v="0"/>
    <x v="1"/>
    <d v="2025-07-11T00:00:00"/>
    <n v="159"/>
    <x v="1"/>
    <s v="BC"/>
    <n v="3"/>
    <m/>
    <m/>
    <m/>
    <m/>
    <m/>
    <m/>
    <n v="1"/>
    <m/>
  </r>
  <r>
    <x v="0"/>
    <x v="0"/>
    <x v="1"/>
    <d v="2025-07-11T00:00:00"/>
    <n v="159"/>
    <x v="2"/>
    <s v="BC"/>
    <n v="3"/>
    <m/>
    <m/>
    <m/>
    <m/>
    <m/>
    <m/>
    <n v="2"/>
    <m/>
  </r>
  <r>
    <x v="0"/>
    <x v="0"/>
    <x v="1"/>
    <d v="2025-07-11T00:00:00"/>
    <n v="160"/>
    <x v="0"/>
    <s v="CB"/>
    <n v="3"/>
    <m/>
    <m/>
    <m/>
    <m/>
    <m/>
    <m/>
    <n v="0"/>
    <m/>
  </r>
  <r>
    <x v="0"/>
    <x v="0"/>
    <x v="1"/>
    <d v="2025-07-11T00:00:00"/>
    <n v="160"/>
    <x v="1"/>
    <s v="CB"/>
    <n v="0"/>
    <m/>
    <m/>
    <m/>
    <m/>
    <m/>
    <m/>
    <n v="1"/>
    <m/>
  </r>
  <r>
    <x v="0"/>
    <x v="0"/>
    <x v="1"/>
    <d v="2025-07-11T00:00:00"/>
    <n v="160"/>
    <x v="2"/>
    <s v="CB"/>
    <n v="0"/>
    <m/>
    <m/>
    <m/>
    <m/>
    <m/>
    <m/>
    <n v="0"/>
    <m/>
  </r>
  <r>
    <x v="0"/>
    <x v="0"/>
    <x v="1"/>
    <d v="2025-07-11T00:00:00"/>
    <n v="161"/>
    <x v="0"/>
    <s v="BC"/>
    <n v="3"/>
    <m/>
    <m/>
    <m/>
    <m/>
    <m/>
    <m/>
    <n v="1"/>
    <m/>
  </r>
  <r>
    <x v="0"/>
    <x v="0"/>
    <x v="1"/>
    <d v="2025-07-11T00:00:00"/>
    <n v="161"/>
    <x v="1"/>
    <s v="BC"/>
    <n v="4"/>
    <m/>
    <m/>
    <m/>
    <m/>
    <m/>
    <m/>
    <n v="0"/>
    <m/>
  </r>
  <r>
    <x v="0"/>
    <x v="0"/>
    <x v="1"/>
    <d v="2025-07-11T00:00:00"/>
    <n v="161"/>
    <x v="2"/>
    <s v="BC"/>
    <n v="8"/>
    <m/>
    <m/>
    <m/>
    <m/>
    <m/>
    <m/>
    <n v="0"/>
    <m/>
  </r>
  <r>
    <x v="0"/>
    <x v="0"/>
    <x v="1"/>
    <d v="2025-07-14T00:00:00"/>
    <n v="162"/>
    <x v="0"/>
    <s v="CB"/>
    <n v="4"/>
    <m/>
    <m/>
    <m/>
    <m/>
    <m/>
    <m/>
    <n v="2"/>
    <m/>
  </r>
  <r>
    <x v="0"/>
    <x v="0"/>
    <x v="1"/>
    <d v="2025-07-14T00:00:00"/>
    <n v="162"/>
    <x v="1"/>
    <s v="CB"/>
    <n v="3"/>
    <m/>
    <m/>
    <m/>
    <m/>
    <m/>
    <m/>
    <n v="2"/>
    <m/>
  </r>
  <r>
    <x v="0"/>
    <x v="0"/>
    <x v="1"/>
    <d v="2025-07-14T00:00:00"/>
    <n v="162"/>
    <x v="2"/>
    <s v="CB"/>
    <n v="2"/>
    <m/>
    <m/>
    <m/>
    <m/>
    <m/>
    <m/>
    <n v="2"/>
    <m/>
  </r>
  <r>
    <x v="0"/>
    <x v="0"/>
    <x v="1"/>
    <d v="2025-07-14T00:00:00"/>
    <n v="163"/>
    <x v="0"/>
    <s v="BC"/>
    <n v="3"/>
    <m/>
    <m/>
    <m/>
    <m/>
    <m/>
    <m/>
    <n v="2"/>
    <m/>
  </r>
  <r>
    <x v="0"/>
    <x v="0"/>
    <x v="1"/>
    <d v="2025-07-14T00:00:00"/>
    <n v="163"/>
    <x v="1"/>
    <s v="BC"/>
    <n v="3"/>
    <m/>
    <m/>
    <m/>
    <m/>
    <m/>
    <m/>
    <n v="4"/>
    <m/>
  </r>
  <r>
    <x v="0"/>
    <x v="0"/>
    <x v="1"/>
    <d v="2025-07-14T00:00:00"/>
    <n v="163"/>
    <x v="2"/>
    <s v="BC"/>
    <n v="0"/>
    <m/>
    <m/>
    <m/>
    <m/>
    <m/>
    <m/>
    <n v="1"/>
    <m/>
  </r>
  <r>
    <x v="0"/>
    <x v="0"/>
    <x v="1"/>
    <d v="2025-07-14T00:00:00"/>
    <n v="164"/>
    <x v="0"/>
    <s v="CB"/>
    <n v="2"/>
    <m/>
    <m/>
    <m/>
    <m/>
    <m/>
    <m/>
    <n v="1"/>
    <m/>
  </r>
  <r>
    <x v="0"/>
    <x v="0"/>
    <x v="1"/>
    <d v="2025-07-14T00:00:00"/>
    <n v="164"/>
    <x v="1"/>
    <s v="CB"/>
    <n v="0"/>
    <m/>
    <m/>
    <m/>
    <m/>
    <m/>
    <m/>
    <n v="1"/>
    <m/>
  </r>
  <r>
    <x v="0"/>
    <x v="0"/>
    <x v="1"/>
    <d v="2025-07-14T00:00:00"/>
    <n v="164"/>
    <x v="2"/>
    <s v="CB"/>
    <n v="0"/>
    <m/>
    <m/>
    <m/>
    <m/>
    <m/>
    <m/>
    <n v="2"/>
    <m/>
  </r>
  <r>
    <x v="0"/>
    <x v="0"/>
    <x v="1"/>
    <d v="2025-07-15T00:00:00"/>
    <n v="165"/>
    <x v="0"/>
    <s v="CJB"/>
    <n v="1"/>
    <n v="0"/>
    <m/>
    <m/>
    <m/>
    <m/>
    <m/>
    <n v="1"/>
    <m/>
  </r>
  <r>
    <x v="0"/>
    <x v="0"/>
    <x v="1"/>
    <d v="2025-07-15T00:00:00"/>
    <n v="165"/>
    <x v="1"/>
    <s v="CJB"/>
    <n v="1"/>
    <n v="0"/>
    <m/>
    <m/>
    <m/>
    <m/>
    <m/>
    <n v="6"/>
    <m/>
  </r>
  <r>
    <x v="0"/>
    <x v="0"/>
    <x v="1"/>
    <d v="2025-07-15T00:00:00"/>
    <n v="165"/>
    <x v="2"/>
    <s v="CJB"/>
    <n v="2"/>
    <n v="0"/>
    <m/>
    <m/>
    <m/>
    <m/>
    <m/>
    <n v="2"/>
    <m/>
  </r>
  <r>
    <x v="0"/>
    <x v="1"/>
    <x v="1"/>
    <d v="2025-07-15T00:00:00"/>
    <n v="166"/>
    <x v="0"/>
    <s v="BJC"/>
    <n v="4"/>
    <n v="0"/>
    <m/>
    <m/>
    <m/>
    <m/>
    <m/>
    <n v="3"/>
    <m/>
  </r>
  <r>
    <x v="0"/>
    <x v="1"/>
    <x v="1"/>
    <d v="2025-07-15T00:00:00"/>
    <n v="166"/>
    <x v="1"/>
    <s v="BJC"/>
    <n v="1"/>
    <n v="1"/>
    <m/>
    <m/>
    <m/>
    <m/>
    <m/>
    <n v="3"/>
    <m/>
  </r>
  <r>
    <x v="0"/>
    <x v="1"/>
    <x v="1"/>
    <d v="2025-07-15T00:00:00"/>
    <n v="166"/>
    <x v="2"/>
    <s v="BJC"/>
    <n v="0"/>
    <n v="2"/>
    <m/>
    <m/>
    <m/>
    <m/>
    <m/>
    <n v="2"/>
    <m/>
  </r>
  <r>
    <x v="0"/>
    <x v="2"/>
    <x v="1"/>
    <d v="2025-07-15T00:00:00"/>
    <n v="167"/>
    <x v="0"/>
    <s v="CB"/>
    <n v="4"/>
    <m/>
    <m/>
    <m/>
    <m/>
    <m/>
    <m/>
    <n v="0"/>
    <m/>
  </r>
  <r>
    <x v="0"/>
    <x v="2"/>
    <x v="1"/>
    <d v="2025-07-15T00:00:00"/>
    <n v="167"/>
    <x v="1"/>
    <s v="CB"/>
    <n v="1"/>
    <m/>
    <m/>
    <m/>
    <m/>
    <m/>
    <m/>
    <n v="1"/>
    <m/>
  </r>
  <r>
    <x v="0"/>
    <x v="2"/>
    <x v="1"/>
    <d v="2025-07-15T00:00:00"/>
    <n v="167"/>
    <x v="2"/>
    <s v="CB"/>
    <n v="3"/>
    <m/>
    <m/>
    <m/>
    <m/>
    <m/>
    <m/>
    <n v="1"/>
    <m/>
  </r>
  <r>
    <x v="0"/>
    <x v="0"/>
    <x v="1"/>
    <d v="2025-07-16T00:00:00"/>
    <n v="168"/>
    <x v="0"/>
    <s v="BCJ"/>
    <n v="4"/>
    <n v="0"/>
    <m/>
    <m/>
    <m/>
    <m/>
    <m/>
    <n v="0"/>
    <m/>
  </r>
  <r>
    <x v="0"/>
    <x v="0"/>
    <x v="1"/>
    <d v="2025-07-16T00:00:00"/>
    <n v="168"/>
    <x v="1"/>
    <s v="BCJ"/>
    <n v="3"/>
    <n v="3"/>
    <m/>
    <m/>
    <m/>
    <m/>
    <m/>
    <n v="0"/>
    <m/>
  </r>
  <r>
    <x v="0"/>
    <x v="0"/>
    <x v="1"/>
    <d v="2025-07-16T00:00:00"/>
    <n v="168"/>
    <x v="2"/>
    <s v="BCJ"/>
    <n v="4"/>
    <n v="0"/>
    <m/>
    <m/>
    <m/>
    <m/>
    <m/>
    <n v="0"/>
    <m/>
  </r>
  <r>
    <x v="0"/>
    <x v="0"/>
    <x v="1"/>
    <d v="2025-07-16T00:00:00"/>
    <n v="169"/>
    <x v="0"/>
    <s v="CJB"/>
    <n v="6"/>
    <n v="0"/>
    <m/>
    <m/>
    <m/>
    <m/>
    <m/>
    <n v="1"/>
    <m/>
  </r>
  <r>
    <x v="0"/>
    <x v="0"/>
    <x v="1"/>
    <d v="2025-07-16T00:00:00"/>
    <n v="169"/>
    <x v="1"/>
    <s v="CJB"/>
    <n v="1"/>
    <n v="0"/>
    <m/>
    <m/>
    <m/>
    <m/>
    <m/>
    <n v="1"/>
    <m/>
  </r>
  <r>
    <x v="0"/>
    <x v="0"/>
    <x v="1"/>
    <d v="2025-07-16T00:00:00"/>
    <n v="169"/>
    <x v="2"/>
    <s v="CJB"/>
    <n v="1"/>
    <n v="1"/>
    <m/>
    <m/>
    <m/>
    <m/>
    <m/>
    <n v="0"/>
    <m/>
  </r>
  <r>
    <x v="0"/>
    <x v="0"/>
    <x v="1"/>
    <d v="2025-07-17T00:00:00"/>
    <n v="170"/>
    <x v="0"/>
    <s v="CJB"/>
    <n v="1"/>
    <n v="2"/>
    <m/>
    <m/>
    <m/>
    <m/>
    <m/>
    <n v="0"/>
    <m/>
  </r>
  <r>
    <x v="0"/>
    <x v="0"/>
    <x v="1"/>
    <d v="2025-07-17T00:00:00"/>
    <n v="170"/>
    <x v="1"/>
    <s v="CJB"/>
    <n v="2"/>
    <n v="4"/>
    <m/>
    <m/>
    <m/>
    <m/>
    <m/>
    <n v="1"/>
    <m/>
  </r>
  <r>
    <x v="0"/>
    <x v="0"/>
    <x v="1"/>
    <d v="2025-07-17T00:00:00"/>
    <n v="170"/>
    <x v="2"/>
    <s v="CJB"/>
    <n v="1"/>
    <n v="3"/>
    <m/>
    <m/>
    <m/>
    <m/>
    <m/>
    <n v="2"/>
    <m/>
  </r>
  <r>
    <x v="0"/>
    <x v="0"/>
    <x v="1"/>
    <d v="2025-07-17T00:00:00"/>
    <n v="171"/>
    <x v="0"/>
    <s v="BCJ"/>
    <n v="0"/>
    <n v="2"/>
    <m/>
    <m/>
    <m/>
    <m/>
    <m/>
    <n v="0"/>
    <m/>
  </r>
  <r>
    <x v="0"/>
    <x v="0"/>
    <x v="1"/>
    <d v="2025-07-17T00:00:00"/>
    <n v="171"/>
    <x v="1"/>
    <s v="BCJ"/>
    <n v="5"/>
    <n v="3"/>
    <m/>
    <m/>
    <m/>
    <m/>
    <m/>
    <n v="1"/>
    <m/>
  </r>
  <r>
    <x v="0"/>
    <x v="0"/>
    <x v="1"/>
    <d v="2025-07-17T00:00:00"/>
    <n v="171"/>
    <x v="2"/>
    <s v="BCJ"/>
    <n v="0"/>
    <n v="1"/>
    <m/>
    <m/>
    <m/>
    <m/>
    <m/>
    <n v="0"/>
    <m/>
  </r>
  <r>
    <x v="0"/>
    <x v="0"/>
    <x v="1"/>
    <d v="2025-07-17T00:00:00"/>
    <n v="172"/>
    <x v="0"/>
    <s v="BC"/>
    <n v="5"/>
    <m/>
    <m/>
    <m/>
    <m/>
    <m/>
    <m/>
    <n v="0"/>
    <m/>
  </r>
  <r>
    <x v="0"/>
    <x v="0"/>
    <x v="1"/>
    <d v="2025-07-17T00:00:00"/>
    <n v="172"/>
    <x v="1"/>
    <s v="BC"/>
    <n v="4"/>
    <m/>
    <m/>
    <m/>
    <m/>
    <m/>
    <m/>
    <n v="0"/>
    <m/>
  </r>
  <r>
    <x v="0"/>
    <x v="0"/>
    <x v="1"/>
    <d v="2025-07-17T00:00:00"/>
    <n v="172"/>
    <x v="2"/>
    <s v="BC"/>
    <n v="3"/>
    <m/>
    <m/>
    <m/>
    <m/>
    <m/>
    <m/>
    <n v="0"/>
    <m/>
  </r>
  <r>
    <x v="0"/>
    <x v="0"/>
    <x v="1"/>
    <d v="2025-07-21T00:00:00"/>
    <n v="173"/>
    <x v="0"/>
    <s v="JB"/>
    <m/>
    <n v="0"/>
    <m/>
    <m/>
    <m/>
    <m/>
    <m/>
    <n v="0"/>
    <m/>
  </r>
  <r>
    <x v="0"/>
    <x v="0"/>
    <x v="1"/>
    <d v="2025-07-21T00:00:00"/>
    <n v="173"/>
    <x v="1"/>
    <s v="JB"/>
    <m/>
    <n v="0"/>
    <m/>
    <m/>
    <m/>
    <m/>
    <m/>
    <n v="0"/>
    <m/>
  </r>
  <r>
    <x v="0"/>
    <x v="0"/>
    <x v="1"/>
    <d v="2025-07-21T00:00:00"/>
    <n v="173"/>
    <x v="2"/>
    <s v="JB"/>
    <m/>
    <n v="0"/>
    <m/>
    <m/>
    <m/>
    <m/>
    <m/>
    <n v="0"/>
    <m/>
  </r>
  <r>
    <x v="0"/>
    <x v="0"/>
    <x v="1"/>
    <d v="2025-07-21T00:00:00"/>
    <n v="173"/>
    <x v="3"/>
    <s v="JB"/>
    <m/>
    <n v="1"/>
    <m/>
    <m/>
    <m/>
    <m/>
    <m/>
    <n v="0"/>
    <m/>
  </r>
  <r>
    <x v="0"/>
    <x v="0"/>
    <x v="1"/>
    <d v="2025-07-21T00:00:00"/>
    <n v="174"/>
    <x v="0"/>
    <s v="BJ"/>
    <m/>
    <n v="0"/>
    <m/>
    <m/>
    <m/>
    <m/>
    <m/>
    <n v="0"/>
    <m/>
  </r>
  <r>
    <x v="0"/>
    <x v="0"/>
    <x v="1"/>
    <d v="2025-07-21T00:00:00"/>
    <n v="174"/>
    <x v="1"/>
    <s v="BJ"/>
    <m/>
    <n v="5"/>
    <m/>
    <m/>
    <m/>
    <m/>
    <m/>
    <n v="1"/>
    <m/>
  </r>
  <r>
    <x v="0"/>
    <x v="0"/>
    <x v="1"/>
    <d v="2025-07-21T00:00:00"/>
    <n v="174"/>
    <x v="2"/>
    <s v="BJ"/>
    <m/>
    <n v="0"/>
    <m/>
    <m/>
    <m/>
    <m/>
    <m/>
    <n v="2"/>
    <m/>
  </r>
  <r>
    <x v="0"/>
    <x v="1"/>
    <x v="1"/>
    <d v="2025-07-21T00:00:00"/>
    <n v="175"/>
    <x v="0"/>
    <s v="BJ"/>
    <m/>
    <n v="1"/>
    <m/>
    <m/>
    <m/>
    <m/>
    <m/>
    <n v="1"/>
    <m/>
  </r>
  <r>
    <x v="0"/>
    <x v="1"/>
    <x v="1"/>
    <d v="2025-07-21T00:00:00"/>
    <n v="175"/>
    <x v="1"/>
    <s v="BJ"/>
    <m/>
    <n v="0"/>
    <m/>
    <m/>
    <m/>
    <m/>
    <m/>
    <n v="0"/>
    <m/>
  </r>
  <r>
    <x v="0"/>
    <x v="1"/>
    <x v="1"/>
    <d v="2025-07-21T00:00:00"/>
    <n v="175"/>
    <x v="2"/>
    <s v="BJ"/>
    <m/>
    <n v="3"/>
    <m/>
    <m/>
    <m/>
    <m/>
    <m/>
    <n v="0"/>
    <m/>
  </r>
  <r>
    <x v="0"/>
    <x v="0"/>
    <x v="1"/>
    <d v="2025-07-22T00:00:00"/>
    <n v="176"/>
    <x v="0"/>
    <s v="CJ"/>
    <n v="2"/>
    <n v="2"/>
    <m/>
    <m/>
    <m/>
    <m/>
    <m/>
    <m/>
    <m/>
  </r>
  <r>
    <x v="0"/>
    <x v="0"/>
    <x v="1"/>
    <d v="2025-07-22T00:00:00"/>
    <n v="176"/>
    <x v="1"/>
    <s v="CJ"/>
    <n v="4"/>
    <n v="0"/>
    <m/>
    <m/>
    <m/>
    <m/>
    <m/>
    <m/>
    <m/>
  </r>
  <r>
    <x v="0"/>
    <x v="0"/>
    <x v="1"/>
    <d v="2025-07-22T00:00:00"/>
    <n v="176"/>
    <x v="2"/>
    <s v="CJ"/>
    <n v="2"/>
    <n v="4"/>
    <m/>
    <m/>
    <m/>
    <m/>
    <m/>
    <m/>
    <m/>
  </r>
  <r>
    <x v="0"/>
    <x v="1"/>
    <x v="1"/>
    <d v="2025-07-22T00:00:00"/>
    <n v="177"/>
    <x v="0"/>
    <s v="JC"/>
    <n v="2"/>
    <n v="0"/>
    <m/>
    <m/>
    <m/>
    <m/>
    <m/>
    <m/>
    <m/>
  </r>
  <r>
    <x v="0"/>
    <x v="1"/>
    <x v="1"/>
    <d v="2025-07-22T00:00:00"/>
    <n v="177"/>
    <x v="1"/>
    <s v="JC"/>
    <n v="0"/>
    <n v="4"/>
    <m/>
    <m/>
    <m/>
    <m/>
    <m/>
    <m/>
    <m/>
  </r>
  <r>
    <x v="0"/>
    <x v="1"/>
    <x v="1"/>
    <d v="2025-07-22T00:00:00"/>
    <n v="177"/>
    <x v="2"/>
    <s v="JC"/>
    <n v="1"/>
    <n v="3"/>
    <m/>
    <m/>
    <m/>
    <m/>
    <m/>
    <m/>
    <m/>
  </r>
  <r>
    <x v="0"/>
    <x v="0"/>
    <x v="1"/>
    <d v="2025-07-23T00:00:00"/>
    <n v="178"/>
    <x v="0"/>
    <s v="CJQ"/>
    <n v="4"/>
    <n v="5"/>
    <n v="0"/>
    <m/>
    <m/>
    <m/>
    <m/>
    <m/>
    <m/>
  </r>
  <r>
    <x v="0"/>
    <x v="0"/>
    <x v="1"/>
    <d v="2025-07-23T00:00:00"/>
    <n v="178"/>
    <x v="1"/>
    <s v="CJQ"/>
    <n v="2"/>
    <n v="0"/>
    <n v="1"/>
    <m/>
    <m/>
    <m/>
    <m/>
    <m/>
    <m/>
  </r>
  <r>
    <x v="0"/>
    <x v="0"/>
    <x v="1"/>
    <d v="2025-07-23T00:00:00"/>
    <n v="178"/>
    <x v="2"/>
    <s v="CJQ"/>
    <n v="3"/>
    <n v="0"/>
    <n v="1"/>
    <m/>
    <m/>
    <m/>
    <m/>
    <m/>
    <m/>
  </r>
  <r>
    <x v="0"/>
    <x v="0"/>
    <x v="1"/>
    <d v="2025-07-23T00:00:00"/>
    <n v="179"/>
    <x v="0"/>
    <s v="JC"/>
    <n v="1"/>
    <n v="3"/>
    <m/>
    <m/>
    <m/>
    <m/>
    <m/>
    <m/>
    <m/>
  </r>
  <r>
    <x v="0"/>
    <x v="0"/>
    <x v="1"/>
    <d v="2025-07-23T00:00:00"/>
    <n v="179"/>
    <x v="1"/>
    <s v="JC"/>
    <n v="3"/>
    <n v="0"/>
    <m/>
    <m/>
    <m/>
    <m/>
    <m/>
    <m/>
    <m/>
  </r>
  <r>
    <x v="0"/>
    <x v="0"/>
    <x v="1"/>
    <d v="2025-07-23T00:00:00"/>
    <n v="179"/>
    <x v="2"/>
    <s v="JC"/>
    <n v="2"/>
    <n v="0"/>
    <m/>
    <m/>
    <m/>
    <m/>
    <m/>
    <m/>
    <m/>
  </r>
  <r>
    <x v="0"/>
    <x v="0"/>
    <x v="1"/>
    <d v="2025-07-24T00:00:00"/>
    <n v="180"/>
    <x v="0"/>
    <s v="QJ"/>
    <m/>
    <n v="0"/>
    <n v="4"/>
    <m/>
    <m/>
    <m/>
    <m/>
    <m/>
    <m/>
  </r>
  <r>
    <x v="0"/>
    <x v="0"/>
    <x v="1"/>
    <d v="2025-07-24T00:00:00"/>
    <n v="180"/>
    <x v="1"/>
    <s v="QJ"/>
    <m/>
    <n v="4"/>
    <n v="1"/>
    <m/>
    <m/>
    <m/>
    <m/>
    <m/>
    <m/>
  </r>
  <r>
    <x v="0"/>
    <x v="0"/>
    <x v="1"/>
    <d v="2025-07-24T00:00:00"/>
    <n v="180"/>
    <x v="2"/>
    <s v="QJ"/>
    <m/>
    <n v="1"/>
    <n v="3"/>
    <m/>
    <m/>
    <m/>
    <m/>
    <m/>
    <m/>
  </r>
  <r>
    <x v="0"/>
    <x v="0"/>
    <x v="1"/>
    <d v="2025-07-25T00:00:00"/>
    <n v="181"/>
    <x v="0"/>
    <s v="JQ"/>
    <m/>
    <n v="1"/>
    <n v="0"/>
    <m/>
    <m/>
    <m/>
    <m/>
    <m/>
    <m/>
  </r>
  <r>
    <x v="0"/>
    <x v="0"/>
    <x v="1"/>
    <d v="2025-07-25T00:00:00"/>
    <n v="181"/>
    <x v="1"/>
    <s v="JQ"/>
    <m/>
    <n v="3"/>
    <n v="0"/>
    <m/>
    <m/>
    <m/>
    <m/>
    <m/>
    <m/>
  </r>
  <r>
    <x v="0"/>
    <x v="0"/>
    <x v="1"/>
    <d v="2025-07-25T00:00:00"/>
    <n v="181"/>
    <x v="2"/>
    <s v="JQ"/>
    <m/>
    <n v="0"/>
    <n v="0"/>
    <m/>
    <m/>
    <m/>
    <m/>
    <m/>
    <m/>
  </r>
  <r>
    <x v="0"/>
    <x v="0"/>
    <x v="1"/>
    <d v="2025-07-25T00:00:00"/>
    <n v="182"/>
    <x v="0"/>
    <s v="BJ"/>
    <m/>
    <n v="0"/>
    <m/>
    <m/>
    <m/>
    <m/>
    <m/>
    <n v="0"/>
    <m/>
  </r>
  <r>
    <x v="0"/>
    <x v="0"/>
    <x v="1"/>
    <d v="2025-07-25T00:00:00"/>
    <n v="182"/>
    <x v="1"/>
    <s v="BJ"/>
    <m/>
    <n v="0"/>
    <m/>
    <m/>
    <m/>
    <m/>
    <m/>
    <n v="1"/>
    <m/>
  </r>
  <r>
    <x v="0"/>
    <x v="0"/>
    <x v="1"/>
    <d v="2025-07-25T00:00:00"/>
    <n v="182"/>
    <x v="2"/>
    <s v="BJ"/>
    <m/>
    <n v="2"/>
    <m/>
    <m/>
    <m/>
    <m/>
    <m/>
    <n v="1"/>
    <m/>
  </r>
  <r>
    <x v="0"/>
    <x v="0"/>
    <x v="1"/>
    <d v="2025-07-25T00:00:00"/>
    <n v="182"/>
    <x v="3"/>
    <s v="BJ"/>
    <m/>
    <n v="2"/>
    <m/>
    <m/>
    <m/>
    <m/>
    <m/>
    <n v="1"/>
    <m/>
  </r>
  <r>
    <x v="0"/>
    <x v="0"/>
    <x v="1"/>
    <d v="2025-07-25T00:00:00"/>
    <n v="183"/>
    <x v="0"/>
    <s v="JB"/>
    <m/>
    <n v="0"/>
    <m/>
    <m/>
    <m/>
    <m/>
    <m/>
    <n v="3"/>
    <m/>
  </r>
  <r>
    <x v="0"/>
    <x v="0"/>
    <x v="1"/>
    <d v="2025-07-25T00:00:00"/>
    <n v="183"/>
    <x v="1"/>
    <s v="JB"/>
    <m/>
    <n v="2"/>
    <m/>
    <m/>
    <m/>
    <m/>
    <m/>
    <n v="0"/>
    <m/>
  </r>
  <r>
    <x v="0"/>
    <x v="0"/>
    <x v="1"/>
    <d v="2025-07-25T00:00:00"/>
    <n v="183"/>
    <x v="2"/>
    <s v="JB"/>
    <m/>
    <n v="3"/>
    <m/>
    <m/>
    <m/>
    <m/>
    <m/>
    <n v="0"/>
    <m/>
  </r>
  <r>
    <x v="0"/>
    <x v="0"/>
    <x v="1"/>
    <d v="2025-07-28T00:00:00"/>
    <n v="184"/>
    <x v="0"/>
    <s v="JQ"/>
    <m/>
    <n v="3"/>
    <n v="0"/>
    <m/>
    <m/>
    <m/>
    <m/>
    <m/>
    <m/>
  </r>
  <r>
    <x v="0"/>
    <x v="0"/>
    <x v="1"/>
    <d v="2025-07-28T00:00:00"/>
    <n v="184"/>
    <x v="1"/>
    <s v="JQ"/>
    <m/>
    <n v="2"/>
    <n v="2"/>
    <m/>
    <m/>
    <m/>
    <m/>
    <m/>
    <m/>
  </r>
  <r>
    <x v="0"/>
    <x v="0"/>
    <x v="1"/>
    <d v="2025-07-28T00:00:00"/>
    <n v="184"/>
    <x v="2"/>
    <s v="JQ"/>
    <m/>
    <n v="3"/>
    <n v="0"/>
    <m/>
    <m/>
    <m/>
    <m/>
    <m/>
    <m/>
  </r>
  <r>
    <x v="0"/>
    <x v="0"/>
    <x v="1"/>
    <d v="2025-07-30T00:00:00"/>
    <n v="185"/>
    <x v="0"/>
    <s v="CJ"/>
    <n v="6"/>
    <n v="3"/>
    <m/>
    <m/>
    <m/>
    <m/>
    <m/>
    <m/>
    <m/>
  </r>
  <r>
    <x v="0"/>
    <x v="0"/>
    <x v="1"/>
    <d v="2025-07-30T00:00:00"/>
    <n v="185"/>
    <x v="1"/>
    <s v="CJ"/>
    <n v="1"/>
    <n v="1"/>
    <m/>
    <m/>
    <m/>
    <m/>
    <m/>
    <m/>
    <m/>
  </r>
  <r>
    <x v="0"/>
    <x v="0"/>
    <x v="1"/>
    <d v="2025-07-30T00:00:00"/>
    <n v="185"/>
    <x v="2"/>
    <s v="CJ"/>
    <n v="4"/>
    <n v="2"/>
    <m/>
    <m/>
    <m/>
    <m/>
    <m/>
    <m/>
    <m/>
  </r>
  <r>
    <x v="0"/>
    <x v="0"/>
    <x v="3"/>
    <d v="2025-07-30T00:00:00"/>
    <n v="186"/>
    <x v="0"/>
    <s v="JC"/>
    <n v="2"/>
    <n v="5"/>
    <m/>
    <m/>
    <m/>
    <m/>
    <m/>
    <m/>
    <m/>
  </r>
  <r>
    <x v="0"/>
    <x v="0"/>
    <x v="3"/>
    <d v="2025-07-30T00:00:00"/>
    <n v="186"/>
    <x v="1"/>
    <s v="JC"/>
    <n v="7"/>
    <n v="0"/>
    <m/>
    <m/>
    <m/>
    <m/>
    <m/>
    <m/>
    <m/>
  </r>
  <r>
    <x v="0"/>
    <x v="0"/>
    <x v="3"/>
    <d v="2025-07-30T00:00:00"/>
    <n v="186"/>
    <x v="2"/>
    <s v="JC"/>
    <n v="1"/>
    <n v="2"/>
    <m/>
    <m/>
    <m/>
    <m/>
    <m/>
    <m/>
    <m/>
  </r>
  <r>
    <x v="0"/>
    <x v="0"/>
    <x v="3"/>
    <d v="2025-07-30T00:00:00"/>
    <n v="187"/>
    <x v="0"/>
    <s v="JC"/>
    <n v="4"/>
    <n v="1"/>
    <m/>
    <m/>
    <m/>
    <m/>
    <m/>
    <m/>
    <m/>
  </r>
  <r>
    <x v="0"/>
    <x v="0"/>
    <x v="3"/>
    <d v="2025-07-30T00:00:00"/>
    <n v="187"/>
    <x v="1"/>
    <s v="JC"/>
    <n v="5"/>
    <n v="1"/>
    <m/>
    <m/>
    <m/>
    <m/>
    <m/>
    <m/>
    <m/>
  </r>
  <r>
    <x v="0"/>
    <x v="0"/>
    <x v="3"/>
    <d v="2025-07-30T00:00:00"/>
    <n v="187"/>
    <x v="2"/>
    <s v="JC"/>
    <n v="4"/>
    <n v="2"/>
    <m/>
    <m/>
    <m/>
    <m/>
    <m/>
    <m/>
    <m/>
  </r>
  <r>
    <x v="0"/>
    <x v="0"/>
    <x v="3"/>
    <d v="2025-07-30T00:00:00"/>
    <n v="188"/>
    <x v="0"/>
    <s v="CJ"/>
    <n v="3"/>
    <n v="2"/>
    <m/>
    <m/>
    <m/>
    <m/>
    <m/>
    <m/>
    <m/>
  </r>
  <r>
    <x v="0"/>
    <x v="0"/>
    <x v="3"/>
    <d v="2025-07-30T00:00:00"/>
    <n v="188"/>
    <x v="1"/>
    <s v="CJ"/>
    <n v="3"/>
    <n v="1"/>
    <m/>
    <m/>
    <m/>
    <m/>
    <m/>
    <m/>
    <m/>
  </r>
  <r>
    <x v="0"/>
    <x v="0"/>
    <x v="3"/>
    <d v="2025-07-30T00:00:00"/>
    <n v="188"/>
    <x v="2"/>
    <s v="CJ"/>
    <n v="2"/>
    <n v="3"/>
    <m/>
    <m/>
    <m/>
    <m/>
    <m/>
    <m/>
    <m/>
  </r>
  <r>
    <x v="0"/>
    <x v="0"/>
    <x v="3"/>
    <d v="2025-07-31T00:00:00"/>
    <n v="189"/>
    <x v="0"/>
    <s v="JC"/>
    <n v="6"/>
    <n v="3"/>
    <m/>
    <m/>
    <m/>
    <m/>
    <m/>
    <m/>
    <m/>
  </r>
  <r>
    <x v="0"/>
    <x v="0"/>
    <x v="3"/>
    <d v="2025-07-31T00:00:00"/>
    <n v="189"/>
    <x v="1"/>
    <s v="JC"/>
    <n v="6"/>
    <n v="3"/>
    <m/>
    <m/>
    <m/>
    <m/>
    <m/>
    <m/>
    <m/>
  </r>
  <r>
    <x v="0"/>
    <x v="0"/>
    <x v="3"/>
    <d v="2025-07-31T00:00:00"/>
    <n v="189"/>
    <x v="2"/>
    <s v="JC"/>
    <n v="4"/>
    <n v="0"/>
    <m/>
    <m/>
    <m/>
    <m/>
    <m/>
    <m/>
    <m/>
  </r>
  <r>
    <x v="0"/>
    <x v="0"/>
    <x v="3"/>
    <d v="2025-07-31T00:00:00"/>
    <n v="190"/>
    <x v="0"/>
    <s v="CJ"/>
    <n v="3"/>
    <n v="1"/>
    <m/>
    <m/>
    <m/>
    <m/>
    <m/>
    <m/>
    <m/>
  </r>
  <r>
    <x v="0"/>
    <x v="0"/>
    <x v="3"/>
    <d v="2025-07-31T00:00:00"/>
    <n v="190"/>
    <x v="1"/>
    <s v="CJ"/>
    <n v="2"/>
    <n v="4"/>
    <m/>
    <m/>
    <m/>
    <m/>
    <m/>
    <m/>
    <m/>
  </r>
  <r>
    <x v="0"/>
    <x v="0"/>
    <x v="3"/>
    <d v="2025-07-31T00:00:00"/>
    <n v="190"/>
    <x v="2"/>
    <s v="CJ"/>
    <n v="0"/>
    <n v="0"/>
    <m/>
    <m/>
    <m/>
    <m/>
    <m/>
    <m/>
    <m/>
  </r>
  <r>
    <x v="0"/>
    <x v="0"/>
    <x v="3"/>
    <d v="2025-07-31T00:00:00"/>
    <n v="190"/>
    <x v="3"/>
    <s v="CJ"/>
    <n v="4"/>
    <n v="0"/>
    <m/>
    <m/>
    <m/>
    <m/>
    <m/>
    <m/>
    <m/>
  </r>
  <r>
    <x v="0"/>
    <x v="0"/>
    <x v="3"/>
    <d v="2025-07-31T00:00:00"/>
    <n v="191"/>
    <x v="0"/>
    <s v="JC"/>
    <n v="3"/>
    <n v="4"/>
    <m/>
    <m/>
    <m/>
    <m/>
    <m/>
    <m/>
    <m/>
  </r>
  <r>
    <x v="0"/>
    <x v="0"/>
    <x v="3"/>
    <d v="2025-07-31T00:00:00"/>
    <n v="191"/>
    <x v="1"/>
    <s v="JC"/>
    <n v="1"/>
    <n v="1"/>
    <m/>
    <m/>
    <m/>
    <m/>
    <m/>
    <m/>
    <m/>
  </r>
  <r>
    <x v="0"/>
    <x v="0"/>
    <x v="3"/>
    <d v="2025-07-31T00:00:00"/>
    <n v="191"/>
    <x v="2"/>
    <s v="JC"/>
    <n v="1"/>
    <n v="2"/>
    <m/>
    <m/>
    <m/>
    <m/>
    <m/>
    <m/>
    <m/>
  </r>
  <r>
    <x v="0"/>
    <x v="1"/>
    <x v="3"/>
    <d v="2025-08-01T00:00:00"/>
    <n v="192"/>
    <x v="0"/>
    <s v="CJ"/>
    <n v="1"/>
    <n v="1"/>
    <m/>
    <m/>
    <m/>
    <m/>
    <m/>
    <m/>
    <m/>
  </r>
  <r>
    <x v="0"/>
    <x v="1"/>
    <x v="3"/>
    <d v="2025-08-01T00:00:00"/>
    <n v="192"/>
    <x v="1"/>
    <s v="CJ"/>
    <n v="3"/>
    <n v="3"/>
    <m/>
    <m/>
    <m/>
    <m/>
    <m/>
    <m/>
    <m/>
  </r>
  <r>
    <x v="0"/>
    <x v="1"/>
    <x v="3"/>
    <d v="2025-08-01T00:00:00"/>
    <n v="192"/>
    <x v="2"/>
    <s v="CJ"/>
    <n v="4"/>
    <n v="5"/>
    <m/>
    <m/>
    <m/>
    <m/>
    <m/>
    <m/>
    <m/>
  </r>
  <r>
    <x v="0"/>
    <x v="0"/>
    <x v="3"/>
    <d v="2025-08-01T00:00:00"/>
    <n v="193"/>
    <x v="0"/>
    <s v="CJ"/>
    <n v="1"/>
    <n v="4"/>
    <m/>
    <m/>
    <m/>
    <m/>
    <m/>
    <m/>
    <m/>
  </r>
  <r>
    <x v="0"/>
    <x v="0"/>
    <x v="3"/>
    <d v="2025-08-01T00:00:00"/>
    <n v="193"/>
    <x v="1"/>
    <s v="CJ"/>
    <n v="3"/>
    <n v="3"/>
    <m/>
    <m/>
    <m/>
    <m/>
    <m/>
    <m/>
    <m/>
  </r>
  <r>
    <x v="0"/>
    <x v="0"/>
    <x v="3"/>
    <d v="2025-08-01T00:00:00"/>
    <n v="193"/>
    <x v="2"/>
    <s v="CJ"/>
    <n v="4"/>
    <n v="3"/>
    <m/>
    <m/>
    <m/>
    <m/>
    <m/>
    <m/>
    <m/>
  </r>
  <r>
    <x v="0"/>
    <x v="0"/>
    <x v="3"/>
    <d v="2025-08-01T00:00:00"/>
    <n v="194"/>
    <x v="0"/>
    <s v="JC"/>
    <n v="4"/>
    <n v="3"/>
    <m/>
    <m/>
    <m/>
    <m/>
    <m/>
    <m/>
    <m/>
  </r>
  <r>
    <x v="0"/>
    <x v="0"/>
    <x v="3"/>
    <d v="2025-08-01T00:00:00"/>
    <n v="194"/>
    <x v="1"/>
    <s v="JC"/>
    <n v="5"/>
    <n v="1"/>
    <m/>
    <m/>
    <m/>
    <m/>
    <m/>
    <m/>
    <m/>
  </r>
  <r>
    <x v="0"/>
    <x v="0"/>
    <x v="3"/>
    <d v="2025-08-01T00:00:00"/>
    <n v="194"/>
    <x v="2"/>
    <s v="JC"/>
    <n v="0"/>
    <n v="3"/>
    <m/>
    <m/>
    <m/>
    <m/>
    <m/>
    <m/>
    <m/>
  </r>
  <r>
    <x v="0"/>
    <x v="0"/>
    <x v="3"/>
    <d v="2025-08-04T00:00:00"/>
    <n v="195"/>
    <x v="0"/>
    <s v="JC"/>
    <n v="0"/>
    <n v="4"/>
    <m/>
    <m/>
    <m/>
    <m/>
    <m/>
    <m/>
    <m/>
  </r>
  <r>
    <x v="0"/>
    <x v="0"/>
    <x v="3"/>
    <d v="2025-08-04T00:00:00"/>
    <n v="195"/>
    <x v="1"/>
    <s v="JC"/>
    <n v="4"/>
    <n v="1"/>
    <m/>
    <m/>
    <m/>
    <m/>
    <m/>
    <m/>
    <m/>
  </r>
  <r>
    <x v="0"/>
    <x v="0"/>
    <x v="3"/>
    <d v="2025-08-04T00:00:00"/>
    <n v="195"/>
    <x v="2"/>
    <s v="JC"/>
    <n v="2"/>
    <n v="0"/>
    <m/>
    <m/>
    <m/>
    <m/>
    <m/>
    <m/>
    <m/>
  </r>
  <r>
    <x v="0"/>
    <x v="0"/>
    <x v="3"/>
    <d v="2025-08-04T00:00:00"/>
    <n v="196"/>
    <x v="0"/>
    <s v="CJ"/>
    <n v="3"/>
    <n v="2"/>
    <m/>
    <m/>
    <m/>
    <m/>
    <m/>
    <m/>
    <m/>
  </r>
  <r>
    <x v="0"/>
    <x v="0"/>
    <x v="3"/>
    <d v="2025-08-04T00:00:00"/>
    <n v="196"/>
    <x v="1"/>
    <s v="CJ"/>
    <n v="4"/>
    <n v="0"/>
    <m/>
    <m/>
    <m/>
    <m/>
    <m/>
    <m/>
    <m/>
  </r>
  <r>
    <x v="0"/>
    <x v="0"/>
    <x v="3"/>
    <d v="2025-08-04T00:00:00"/>
    <n v="196"/>
    <x v="2"/>
    <s v="CJ"/>
    <n v="6"/>
    <n v="1"/>
    <m/>
    <m/>
    <m/>
    <m/>
    <m/>
    <m/>
    <m/>
  </r>
  <r>
    <x v="0"/>
    <x v="0"/>
    <x v="3"/>
    <d v="2025-08-06T00:00:00"/>
    <n v="197"/>
    <x v="0"/>
    <s v="CJ"/>
    <n v="6"/>
    <n v="5"/>
    <m/>
    <m/>
    <m/>
    <m/>
    <m/>
    <m/>
    <m/>
  </r>
  <r>
    <x v="0"/>
    <x v="0"/>
    <x v="3"/>
    <d v="2025-08-06T00:00:00"/>
    <n v="197"/>
    <x v="1"/>
    <s v="CJ"/>
    <n v="8"/>
    <n v="5"/>
    <m/>
    <m/>
    <m/>
    <m/>
    <m/>
    <m/>
    <m/>
  </r>
  <r>
    <x v="0"/>
    <x v="0"/>
    <x v="3"/>
    <d v="2025-08-06T00:00:00"/>
    <n v="197"/>
    <x v="2"/>
    <s v="CJ"/>
    <n v="4"/>
    <n v="1"/>
    <m/>
    <m/>
    <m/>
    <m/>
    <m/>
    <m/>
    <m/>
  </r>
  <r>
    <x v="0"/>
    <x v="0"/>
    <x v="3"/>
    <d v="2025-08-06T00:00:00"/>
    <n v="198"/>
    <x v="0"/>
    <s v="JC"/>
    <n v="3"/>
    <n v="6"/>
    <m/>
    <m/>
    <m/>
    <m/>
    <m/>
    <m/>
    <m/>
  </r>
  <r>
    <x v="0"/>
    <x v="0"/>
    <x v="3"/>
    <d v="2025-08-06T00:00:00"/>
    <n v="198"/>
    <x v="1"/>
    <s v="JC"/>
    <n v="3"/>
    <n v="6"/>
    <m/>
    <m/>
    <m/>
    <m/>
    <m/>
    <m/>
    <m/>
  </r>
  <r>
    <x v="0"/>
    <x v="0"/>
    <x v="3"/>
    <d v="2025-08-06T00:00:00"/>
    <n v="198"/>
    <x v="2"/>
    <s v="JC"/>
    <n v="3"/>
    <n v="4"/>
    <m/>
    <m/>
    <m/>
    <m/>
    <m/>
    <m/>
    <m/>
  </r>
  <r>
    <x v="0"/>
    <x v="0"/>
    <x v="3"/>
    <d v="2025-08-06T00:00:00"/>
    <n v="199"/>
    <x v="0"/>
    <s v="CJ"/>
    <n v="6"/>
    <n v="2"/>
    <m/>
    <m/>
    <m/>
    <m/>
    <m/>
    <m/>
    <m/>
  </r>
  <r>
    <x v="0"/>
    <x v="0"/>
    <x v="3"/>
    <d v="2025-08-06T00:00:00"/>
    <n v="199"/>
    <x v="1"/>
    <s v="CJ"/>
    <n v="0"/>
    <n v="0"/>
    <m/>
    <m/>
    <m/>
    <m/>
    <m/>
    <m/>
    <m/>
  </r>
  <r>
    <x v="0"/>
    <x v="0"/>
    <x v="3"/>
    <d v="2025-08-06T00:00:00"/>
    <n v="199"/>
    <x v="2"/>
    <s v="CJ"/>
    <n v="3"/>
    <n v="5"/>
    <m/>
    <m/>
    <m/>
    <m/>
    <m/>
    <m/>
    <m/>
  </r>
  <r>
    <x v="0"/>
    <x v="0"/>
    <x v="3"/>
    <d v="2025-08-07T00:00:00"/>
    <n v="200"/>
    <x v="0"/>
    <s v="JC"/>
    <n v="4"/>
    <n v="3"/>
    <m/>
    <m/>
    <m/>
    <m/>
    <m/>
    <m/>
    <m/>
  </r>
  <r>
    <x v="0"/>
    <x v="0"/>
    <x v="3"/>
    <d v="2025-08-07T00:00:00"/>
    <n v="200"/>
    <x v="1"/>
    <s v="JC"/>
    <n v="2"/>
    <n v="2"/>
    <m/>
    <m/>
    <m/>
    <m/>
    <m/>
    <m/>
    <m/>
  </r>
  <r>
    <x v="0"/>
    <x v="0"/>
    <x v="3"/>
    <d v="2025-08-07T00:00:00"/>
    <n v="200"/>
    <x v="2"/>
    <s v="JC"/>
    <n v="8"/>
    <n v="2"/>
    <m/>
    <m/>
    <m/>
    <m/>
    <m/>
    <m/>
    <m/>
  </r>
  <r>
    <x v="0"/>
    <x v="3"/>
    <x v="3"/>
    <d v="2025-08-11T00:00:00"/>
    <n v="201"/>
    <x v="0"/>
    <s v="JC"/>
    <n v="3"/>
    <n v="2"/>
    <m/>
    <m/>
    <m/>
    <m/>
    <m/>
    <m/>
    <m/>
  </r>
  <r>
    <x v="0"/>
    <x v="3"/>
    <x v="3"/>
    <d v="2025-08-11T00:00:00"/>
    <n v="201"/>
    <x v="1"/>
    <s v="JC"/>
    <n v="3"/>
    <n v="3"/>
    <m/>
    <m/>
    <m/>
    <m/>
    <m/>
    <m/>
    <m/>
  </r>
  <r>
    <x v="0"/>
    <x v="3"/>
    <x v="3"/>
    <d v="2025-08-11T00:00:00"/>
    <n v="201"/>
    <x v="2"/>
    <s v="JC"/>
    <n v="3"/>
    <n v="1"/>
    <m/>
    <m/>
    <m/>
    <m/>
    <m/>
    <m/>
    <m/>
  </r>
  <r>
    <x v="0"/>
    <x v="3"/>
    <x v="3"/>
    <d v="2025-08-12T00:00:00"/>
    <n v="202"/>
    <x v="0"/>
    <s v="CJD"/>
    <n v="3"/>
    <n v="5"/>
    <m/>
    <n v="1"/>
    <m/>
    <m/>
    <m/>
    <m/>
    <m/>
  </r>
  <r>
    <x v="0"/>
    <x v="3"/>
    <x v="3"/>
    <d v="2025-08-12T00:00:00"/>
    <n v="202"/>
    <x v="1"/>
    <s v="CJD"/>
    <n v="10"/>
    <n v="4"/>
    <m/>
    <n v="2"/>
    <m/>
    <m/>
    <m/>
    <m/>
    <m/>
  </r>
  <r>
    <x v="0"/>
    <x v="3"/>
    <x v="3"/>
    <d v="2025-08-12T00:00:00"/>
    <n v="202"/>
    <x v="2"/>
    <s v="CJD"/>
    <n v="6"/>
    <n v="3"/>
    <m/>
    <n v="1"/>
    <m/>
    <m/>
    <m/>
    <m/>
    <m/>
  </r>
  <r>
    <x v="0"/>
    <x v="3"/>
    <x v="3"/>
    <d v="2025-08-12T00:00:00"/>
    <n v="203"/>
    <x v="0"/>
    <s v="JCV"/>
    <n v="8"/>
    <n v="2"/>
    <m/>
    <m/>
    <m/>
    <m/>
    <n v="0"/>
    <m/>
    <m/>
  </r>
  <r>
    <x v="0"/>
    <x v="3"/>
    <x v="3"/>
    <d v="2025-08-12T00:00:00"/>
    <n v="203"/>
    <x v="1"/>
    <s v="JCV"/>
    <n v="4"/>
    <n v="6"/>
    <m/>
    <m/>
    <m/>
    <m/>
    <n v="0"/>
    <m/>
    <m/>
  </r>
  <r>
    <x v="0"/>
    <x v="3"/>
    <x v="3"/>
    <d v="2025-08-12T00:00:00"/>
    <n v="203"/>
    <x v="2"/>
    <s v="JCV"/>
    <n v="6"/>
    <n v="5"/>
    <m/>
    <m/>
    <m/>
    <m/>
    <n v="1"/>
    <m/>
    <m/>
  </r>
  <r>
    <x v="0"/>
    <x v="3"/>
    <x v="3"/>
    <d v="2025-08-13T00:00:00"/>
    <n v="204"/>
    <x v="0"/>
    <s v="CJ"/>
    <n v="2"/>
    <n v="6"/>
    <m/>
    <m/>
    <m/>
    <m/>
    <m/>
    <m/>
    <m/>
  </r>
  <r>
    <x v="0"/>
    <x v="3"/>
    <x v="3"/>
    <d v="2025-08-13T00:00:00"/>
    <n v="204"/>
    <x v="1"/>
    <s v="CJ"/>
    <n v="4"/>
    <n v="3"/>
    <m/>
    <m/>
    <m/>
    <m/>
    <m/>
    <m/>
    <m/>
  </r>
  <r>
    <x v="0"/>
    <x v="3"/>
    <x v="3"/>
    <d v="2025-08-13T00:00:00"/>
    <n v="204"/>
    <x v="2"/>
    <s v="CJ"/>
    <n v="5"/>
    <n v="2"/>
    <m/>
    <m/>
    <m/>
    <m/>
    <m/>
    <m/>
    <m/>
  </r>
  <r>
    <x v="0"/>
    <x v="3"/>
    <x v="3"/>
    <d v="2025-08-13T00:00:00"/>
    <n v="204"/>
    <x v="3"/>
    <s v="CJ"/>
    <n v="7"/>
    <n v="3"/>
    <m/>
    <m/>
    <m/>
    <m/>
    <m/>
    <m/>
    <m/>
  </r>
  <r>
    <x v="0"/>
    <x v="3"/>
    <x v="3"/>
    <d v="2025-08-14T00:00:00"/>
    <n v="205"/>
    <x v="0"/>
    <s v="CJ"/>
    <n v="3"/>
    <n v="3"/>
    <m/>
    <m/>
    <m/>
    <m/>
    <m/>
    <m/>
    <m/>
  </r>
  <r>
    <x v="0"/>
    <x v="3"/>
    <x v="3"/>
    <d v="2025-08-14T00:00:00"/>
    <n v="205"/>
    <x v="1"/>
    <s v="CJ"/>
    <n v="1"/>
    <n v="4"/>
    <m/>
    <m/>
    <m/>
    <m/>
    <m/>
    <m/>
    <m/>
  </r>
  <r>
    <x v="0"/>
    <x v="3"/>
    <x v="3"/>
    <d v="2025-08-14T00:00:00"/>
    <n v="205"/>
    <x v="2"/>
    <s v="CJ"/>
    <n v="4"/>
    <n v="2"/>
    <m/>
    <m/>
    <m/>
    <m/>
    <m/>
    <m/>
    <m/>
  </r>
  <r>
    <x v="0"/>
    <x v="3"/>
    <x v="3"/>
    <d v="2025-08-18T00:00:00"/>
    <n v="206"/>
    <x v="0"/>
    <s v="JC"/>
    <n v="3"/>
    <n v="2"/>
    <m/>
    <m/>
    <m/>
    <m/>
    <m/>
    <m/>
    <m/>
  </r>
  <r>
    <x v="0"/>
    <x v="3"/>
    <x v="3"/>
    <d v="2025-08-18T00:00:00"/>
    <n v="206"/>
    <x v="1"/>
    <s v="JC"/>
    <n v="3"/>
    <n v="1"/>
    <m/>
    <m/>
    <m/>
    <m/>
    <m/>
    <m/>
    <m/>
  </r>
  <r>
    <x v="0"/>
    <x v="3"/>
    <x v="3"/>
    <d v="2025-08-18T00:00:00"/>
    <n v="206"/>
    <x v="2"/>
    <s v="JC"/>
    <n v="2"/>
    <n v="0"/>
    <m/>
    <m/>
    <m/>
    <m/>
    <m/>
    <m/>
    <m/>
  </r>
  <r>
    <x v="0"/>
    <x v="3"/>
    <x v="3"/>
    <d v="2025-08-19T00:00:00"/>
    <n v="207"/>
    <x v="0"/>
    <s v="CJ"/>
    <n v="6"/>
    <n v="6"/>
    <m/>
    <m/>
    <m/>
    <m/>
    <m/>
    <m/>
    <m/>
  </r>
  <r>
    <x v="0"/>
    <x v="3"/>
    <x v="3"/>
    <d v="2025-08-19T00:00:00"/>
    <n v="207"/>
    <x v="1"/>
    <s v="CJ"/>
    <n v="1"/>
    <n v="2"/>
    <m/>
    <m/>
    <m/>
    <m/>
    <m/>
    <m/>
    <m/>
  </r>
  <r>
    <x v="0"/>
    <x v="3"/>
    <x v="3"/>
    <d v="2025-08-19T00:00:00"/>
    <n v="207"/>
    <x v="2"/>
    <s v="CJ"/>
    <n v="5"/>
    <n v="1"/>
    <m/>
    <m/>
    <m/>
    <m/>
    <m/>
    <m/>
    <m/>
  </r>
  <r>
    <x v="0"/>
    <x v="3"/>
    <x v="3"/>
    <d v="2025-08-20T00:00:00"/>
    <n v="208"/>
    <x v="0"/>
    <s v="CJ"/>
    <n v="6"/>
    <n v="3"/>
    <m/>
    <m/>
    <m/>
    <m/>
    <m/>
    <m/>
    <m/>
  </r>
  <r>
    <x v="0"/>
    <x v="3"/>
    <x v="3"/>
    <d v="2025-08-20T00:00:00"/>
    <n v="208"/>
    <x v="1"/>
    <s v="CJ"/>
    <n v="2"/>
    <n v="3"/>
    <m/>
    <m/>
    <m/>
    <m/>
    <m/>
    <m/>
    <m/>
  </r>
  <r>
    <x v="0"/>
    <x v="3"/>
    <x v="3"/>
    <d v="2025-08-20T00:00:00"/>
    <n v="208"/>
    <x v="2"/>
    <s v="CJ"/>
    <n v="1"/>
    <n v="3"/>
    <m/>
    <m/>
    <m/>
    <m/>
    <m/>
    <m/>
    <m/>
  </r>
  <r>
    <x v="0"/>
    <x v="3"/>
    <x v="3"/>
    <d v="2025-08-20T00:00:00"/>
    <n v="208"/>
    <x v="3"/>
    <s v="CJ"/>
    <n v="1"/>
    <n v="3"/>
    <m/>
    <m/>
    <m/>
    <m/>
    <m/>
    <m/>
    <m/>
  </r>
  <r>
    <x v="0"/>
    <x v="3"/>
    <x v="3"/>
    <d v="2025-08-21T00:00:00"/>
    <n v="209"/>
    <x v="0"/>
    <s v="CJ"/>
    <n v="5"/>
    <n v="5"/>
    <m/>
    <m/>
    <m/>
    <m/>
    <m/>
    <m/>
    <m/>
  </r>
  <r>
    <x v="0"/>
    <x v="3"/>
    <x v="3"/>
    <d v="2025-08-21T00:00:00"/>
    <n v="209"/>
    <x v="1"/>
    <s v="CJ"/>
    <n v="3"/>
    <n v="0"/>
    <m/>
    <m/>
    <m/>
    <m/>
    <m/>
    <m/>
    <m/>
  </r>
  <r>
    <x v="0"/>
    <x v="3"/>
    <x v="3"/>
    <d v="2025-08-21T00:00:00"/>
    <n v="209"/>
    <x v="2"/>
    <s v="CJ"/>
    <n v="2"/>
    <n v="4"/>
    <m/>
    <m/>
    <m/>
    <m/>
    <m/>
    <m/>
    <m/>
  </r>
  <r>
    <x v="0"/>
    <x v="3"/>
    <x v="3"/>
    <d v="2025-08-25T00:00:00"/>
    <n v="210"/>
    <x v="0"/>
    <s v="CJ"/>
    <n v="5"/>
    <n v="4"/>
    <m/>
    <m/>
    <m/>
    <m/>
    <m/>
    <m/>
    <m/>
  </r>
  <r>
    <x v="0"/>
    <x v="3"/>
    <x v="3"/>
    <d v="2025-08-25T00:00:00"/>
    <n v="210"/>
    <x v="1"/>
    <s v="CJ"/>
    <n v="7"/>
    <n v="4"/>
    <m/>
    <m/>
    <m/>
    <m/>
    <m/>
    <m/>
    <m/>
  </r>
  <r>
    <x v="0"/>
    <x v="3"/>
    <x v="3"/>
    <d v="2025-08-25T00:00:00"/>
    <n v="210"/>
    <x v="2"/>
    <s v="CJ"/>
    <n v="3"/>
    <n v="3"/>
    <m/>
    <m/>
    <m/>
    <m/>
    <m/>
    <m/>
    <m/>
  </r>
  <r>
    <x v="0"/>
    <x v="3"/>
    <x v="3"/>
    <d v="2025-08-27T00:00:00"/>
    <n v="211"/>
    <x v="0"/>
    <s v="CJV"/>
    <n v="6"/>
    <n v="2"/>
    <m/>
    <m/>
    <m/>
    <m/>
    <n v="1"/>
    <m/>
    <m/>
  </r>
  <r>
    <x v="0"/>
    <x v="3"/>
    <x v="3"/>
    <d v="2025-08-27T00:00:00"/>
    <n v="211"/>
    <x v="1"/>
    <s v="CJV"/>
    <n v="6"/>
    <n v="5"/>
    <m/>
    <m/>
    <m/>
    <m/>
    <n v="5"/>
    <m/>
    <m/>
  </r>
  <r>
    <x v="0"/>
    <x v="3"/>
    <x v="3"/>
    <d v="2025-08-27T00:00:00"/>
    <n v="211"/>
    <x v="2"/>
    <s v="CJV"/>
    <n v="5"/>
    <n v="4"/>
    <m/>
    <m/>
    <m/>
    <m/>
    <n v="4"/>
    <m/>
    <m/>
  </r>
  <r>
    <x v="0"/>
    <x v="3"/>
    <x v="3"/>
    <d v="2025-08-28T00:00:00"/>
    <n v="212"/>
    <x v="0"/>
    <s v="CJ"/>
    <n v="7"/>
    <n v="5"/>
    <m/>
    <m/>
    <m/>
    <m/>
    <m/>
    <m/>
    <m/>
  </r>
  <r>
    <x v="0"/>
    <x v="3"/>
    <x v="3"/>
    <d v="2025-08-28T00:00:00"/>
    <n v="212"/>
    <x v="1"/>
    <s v="CJ"/>
    <n v="6"/>
    <n v="2"/>
    <m/>
    <m/>
    <m/>
    <m/>
    <m/>
    <m/>
    <m/>
  </r>
  <r>
    <x v="0"/>
    <x v="3"/>
    <x v="3"/>
    <d v="2025-08-28T00:00:00"/>
    <n v="212"/>
    <x v="2"/>
    <s v="CJ"/>
    <n v="2"/>
    <n v="2"/>
    <m/>
    <m/>
    <m/>
    <m/>
    <m/>
    <m/>
    <m/>
  </r>
  <r>
    <x v="0"/>
    <x v="3"/>
    <x v="3"/>
    <d v="2025-08-29T00:00:00"/>
    <n v="213"/>
    <x v="0"/>
    <s v="JCQ"/>
    <n v="7"/>
    <n v="4"/>
    <n v="1"/>
    <m/>
    <m/>
    <m/>
    <m/>
    <m/>
    <m/>
  </r>
  <r>
    <x v="0"/>
    <x v="3"/>
    <x v="3"/>
    <d v="2025-08-29T00:00:00"/>
    <n v="213"/>
    <x v="1"/>
    <s v="JCQ"/>
    <n v="0"/>
    <n v="3"/>
    <n v="3"/>
    <m/>
    <m/>
    <m/>
    <m/>
    <m/>
    <m/>
  </r>
  <r>
    <x v="0"/>
    <x v="3"/>
    <x v="3"/>
    <d v="2025-08-29T00:00:00"/>
    <n v="213"/>
    <x v="2"/>
    <s v="JCQ"/>
    <n v="7"/>
    <n v="2"/>
    <n v="4"/>
    <m/>
    <m/>
    <m/>
    <m/>
    <m/>
    <m/>
  </r>
  <r>
    <x v="0"/>
    <x v="3"/>
    <x v="3"/>
    <d v="2025-09-02T00:00:00"/>
    <n v="214"/>
    <x v="0"/>
    <s v="CJ"/>
    <n v="2"/>
    <n v="6"/>
    <m/>
    <m/>
    <m/>
    <m/>
    <m/>
    <m/>
    <m/>
  </r>
  <r>
    <x v="0"/>
    <x v="3"/>
    <x v="3"/>
    <d v="2025-09-02T00:00:00"/>
    <n v="214"/>
    <x v="1"/>
    <s v="CJ"/>
    <n v="3"/>
    <n v="2"/>
    <m/>
    <m/>
    <m/>
    <m/>
    <m/>
    <m/>
    <m/>
  </r>
  <r>
    <x v="0"/>
    <x v="3"/>
    <x v="3"/>
    <d v="2025-09-02T00:00:00"/>
    <n v="214"/>
    <x v="2"/>
    <s v="CJ"/>
    <n v="3"/>
    <n v="1"/>
    <m/>
    <m/>
    <m/>
    <m/>
    <m/>
    <m/>
    <m/>
  </r>
  <r>
    <x v="0"/>
    <x v="3"/>
    <x v="3"/>
    <d v="2025-09-03T00:00:00"/>
    <n v="215"/>
    <x v="0"/>
    <s v="CJ"/>
    <n v="6"/>
    <n v="3"/>
    <m/>
    <m/>
    <m/>
    <m/>
    <m/>
    <m/>
    <m/>
  </r>
  <r>
    <x v="0"/>
    <x v="3"/>
    <x v="3"/>
    <d v="2025-09-03T00:00:00"/>
    <n v="215"/>
    <x v="1"/>
    <s v="CJ"/>
    <n v="1"/>
    <n v="4"/>
    <m/>
    <m/>
    <m/>
    <m/>
    <m/>
    <m/>
    <m/>
  </r>
  <r>
    <x v="0"/>
    <x v="3"/>
    <x v="3"/>
    <d v="2025-09-03T00:00:00"/>
    <n v="215"/>
    <x v="2"/>
    <s v="CJ"/>
    <n v="7"/>
    <n v="1"/>
    <m/>
    <m/>
    <m/>
    <m/>
    <m/>
    <m/>
    <m/>
  </r>
  <r>
    <x v="0"/>
    <x v="3"/>
    <x v="3"/>
    <d v="2025-09-04T00:00:00"/>
    <n v="216"/>
    <x v="0"/>
    <s v="CJ"/>
    <n v="6"/>
    <n v="2"/>
    <m/>
    <m/>
    <m/>
    <m/>
    <m/>
    <m/>
    <m/>
  </r>
  <r>
    <x v="0"/>
    <x v="3"/>
    <x v="3"/>
    <d v="2025-09-04T00:00:00"/>
    <n v="216"/>
    <x v="1"/>
    <s v="CJ"/>
    <n v="7"/>
    <n v="5"/>
    <m/>
    <m/>
    <m/>
    <m/>
    <m/>
    <m/>
    <m/>
  </r>
  <r>
    <x v="0"/>
    <x v="3"/>
    <x v="3"/>
    <d v="2025-09-04T00:00:00"/>
    <n v="216"/>
    <x v="2"/>
    <s v="CJ"/>
    <n v="4"/>
    <n v="3"/>
    <m/>
    <m/>
    <m/>
    <m/>
    <m/>
    <m/>
    <m/>
  </r>
  <r>
    <x v="0"/>
    <x v="3"/>
    <x v="3"/>
    <d v="2025-09-10T00:00:00"/>
    <n v="217"/>
    <x v="0"/>
    <s v="JC"/>
    <n v="4"/>
    <n v="1"/>
    <m/>
    <m/>
    <m/>
    <m/>
    <m/>
    <m/>
    <m/>
  </r>
  <r>
    <x v="0"/>
    <x v="3"/>
    <x v="3"/>
    <d v="2025-09-10T00:00:00"/>
    <n v="217"/>
    <x v="1"/>
    <s v="JC"/>
    <n v="4"/>
    <n v="4"/>
    <m/>
    <m/>
    <m/>
    <m/>
    <m/>
    <m/>
    <m/>
  </r>
  <r>
    <x v="0"/>
    <x v="3"/>
    <x v="3"/>
    <d v="2025-09-10T00:00:00"/>
    <n v="217"/>
    <x v="2"/>
    <s v="JC"/>
    <n v="4"/>
    <n v="1"/>
    <m/>
    <m/>
    <m/>
    <m/>
    <m/>
    <m/>
    <m/>
  </r>
  <r>
    <x v="0"/>
    <x v="3"/>
    <x v="3"/>
    <d v="2025-09-11T00:00:00"/>
    <n v="218"/>
    <x v="0"/>
    <s v="CJ"/>
    <n v="2"/>
    <n v="2"/>
    <m/>
    <m/>
    <m/>
    <m/>
    <m/>
    <m/>
    <m/>
  </r>
  <r>
    <x v="0"/>
    <x v="3"/>
    <x v="3"/>
    <d v="2025-09-11T00:00:00"/>
    <n v="218"/>
    <x v="1"/>
    <s v="CJ"/>
    <n v="6"/>
    <n v="1"/>
    <m/>
    <m/>
    <m/>
    <m/>
    <m/>
    <m/>
    <m/>
  </r>
  <r>
    <x v="0"/>
    <x v="3"/>
    <x v="3"/>
    <d v="2025-09-11T00:00:00"/>
    <n v="218"/>
    <x v="2"/>
    <s v="CJ"/>
    <n v="0"/>
    <n v="7"/>
    <m/>
    <m/>
    <m/>
    <m/>
    <m/>
    <m/>
    <m/>
  </r>
  <r>
    <x v="0"/>
    <x v="3"/>
    <x v="3"/>
    <d v="2025-09-15T00:00:00"/>
    <n v="219"/>
    <x v="0"/>
    <s v="JC"/>
    <n v="5"/>
    <n v="3"/>
    <m/>
    <m/>
    <m/>
    <m/>
    <m/>
    <m/>
    <m/>
  </r>
  <r>
    <x v="0"/>
    <x v="3"/>
    <x v="3"/>
    <d v="2025-09-15T00:00:00"/>
    <n v="219"/>
    <x v="1"/>
    <s v="JC"/>
    <n v="6"/>
    <n v="3"/>
    <m/>
    <m/>
    <m/>
    <m/>
    <m/>
    <m/>
    <m/>
  </r>
  <r>
    <x v="0"/>
    <x v="3"/>
    <x v="3"/>
    <d v="2025-09-15T00:00:00"/>
    <n v="219"/>
    <x v="2"/>
    <s v="JC"/>
    <n v="5"/>
    <n v="4"/>
    <m/>
    <m/>
    <m/>
    <m/>
    <m/>
    <m/>
    <m/>
  </r>
  <r>
    <x v="0"/>
    <x v="3"/>
    <x v="3"/>
    <d v="2025-09-16T00:00:00"/>
    <n v="220"/>
    <x v="0"/>
    <s v="JC"/>
    <n v="1"/>
    <n v="4"/>
    <m/>
    <m/>
    <m/>
    <m/>
    <m/>
    <m/>
    <m/>
  </r>
  <r>
    <x v="0"/>
    <x v="3"/>
    <x v="3"/>
    <d v="2025-09-16T00:00:00"/>
    <n v="220"/>
    <x v="1"/>
    <s v="JC"/>
    <n v="6"/>
    <n v="3"/>
    <m/>
    <m/>
    <m/>
    <m/>
    <m/>
    <m/>
    <m/>
  </r>
  <r>
    <x v="0"/>
    <x v="3"/>
    <x v="3"/>
    <d v="2025-09-16T00:00:00"/>
    <n v="220"/>
    <x v="2"/>
    <s v="JC"/>
    <n v="1"/>
    <n v="3"/>
    <m/>
    <m/>
    <m/>
    <m/>
    <m/>
    <m/>
    <m/>
  </r>
  <r>
    <x v="0"/>
    <x v="3"/>
    <x v="3"/>
    <d v="2025-09-17T00:00:00"/>
    <n v="221"/>
    <x v="0"/>
    <s v="CJ"/>
    <n v="3"/>
    <n v="1"/>
    <m/>
    <m/>
    <m/>
    <m/>
    <m/>
    <m/>
    <m/>
  </r>
  <r>
    <x v="0"/>
    <x v="3"/>
    <x v="3"/>
    <d v="2025-09-17T00:00:00"/>
    <n v="221"/>
    <x v="1"/>
    <s v="CJ"/>
    <n v="2"/>
    <n v="4"/>
    <m/>
    <m/>
    <m/>
    <m/>
    <m/>
    <m/>
    <m/>
  </r>
  <r>
    <x v="0"/>
    <x v="3"/>
    <x v="3"/>
    <d v="2025-09-17T00:00:00"/>
    <n v="221"/>
    <x v="2"/>
    <s v="CJ"/>
    <n v="3"/>
    <n v="1"/>
    <m/>
    <m/>
    <m/>
    <m/>
    <m/>
    <m/>
    <m/>
  </r>
  <r>
    <x v="0"/>
    <x v="3"/>
    <x v="3"/>
    <d v="2025-09-18T00:00:00"/>
    <n v="222"/>
    <x v="0"/>
    <s v="JC"/>
    <n v="3"/>
    <n v="2"/>
    <m/>
    <m/>
    <m/>
    <m/>
    <m/>
    <m/>
    <m/>
  </r>
  <r>
    <x v="0"/>
    <x v="3"/>
    <x v="3"/>
    <d v="2025-09-18T00:00:00"/>
    <n v="222"/>
    <x v="1"/>
    <s v="JC"/>
    <n v="7"/>
    <n v="7"/>
    <m/>
    <m/>
    <m/>
    <m/>
    <m/>
    <m/>
    <m/>
  </r>
  <r>
    <x v="0"/>
    <x v="3"/>
    <x v="3"/>
    <d v="2025-09-18T00:00:00"/>
    <n v="222"/>
    <x v="2"/>
    <s v="JC"/>
    <n v="4"/>
    <n v="3"/>
    <m/>
    <m/>
    <m/>
    <m/>
    <m/>
    <m/>
    <m/>
  </r>
  <r>
    <x v="0"/>
    <x v="3"/>
    <x v="3"/>
    <d v="2025-09-19T00:00:00"/>
    <n v="223"/>
    <x v="0"/>
    <s v="JC"/>
    <n v="7"/>
    <n v="0"/>
    <m/>
    <m/>
    <m/>
    <m/>
    <m/>
    <m/>
    <m/>
  </r>
  <r>
    <x v="0"/>
    <x v="3"/>
    <x v="3"/>
    <d v="2025-09-19T00:00:00"/>
    <n v="223"/>
    <x v="1"/>
    <s v="JC"/>
    <n v="3"/>
    <n v="7"/>
    <m/>
    <m/>
    <m/>
    <m/>
    <m/>
    <m/>
    <m/>
  </r>
  <r>
    <x v="0"/>
    <x v="3"/>
    <x v="3"/>
    <d v="2025-09-19T00:00:00"/>
    <n v="223"/>
    <x v="2"/>
    <s v="JC"/>
    <n v="2"/>
    <n v="4"/>
    <m/>
    <m/>
    <m/>
    <m/>
    <m/>
    <m/>
    <m/>
  </r>
  <r>
    <x v="0"/>
    <x v="3"/>
    <x v="3"/>
    <d v="2025-09-23T00:00:00"/>
    <n v="224"/>
    <x v="0"/>
    <s v="JC"/>
    <n v="6"/>
    <n v="3"/>
    <m/>
    <m/>
    <m/>
    <m/>
    <m/>
    <m/>
    <m/>
  </r>
  <r>
    <x v="0"/>
    <x v="3"/>
    <x v="3"/>
    <d v="2025-09-23T00:00:00"/>
    <n v="224"/>
    <x v="1"/>
    <s v="JC"/>
    <n v="2"/>
    <n v="1"/>
    <m/>
    <m/>
    <m/>
    <m/>
    <m/>
    <m/>
    <m/>
  </r>
  <r>
    <x v="0"/>
    <x v="3"/>
    <x v="3"/>
    <d v="2025-09-23T00:00:00"/>
    <n v="224"/>
    <x v="2"/>
    <s v="JC"/>
    <n v="6"/>
    <n v="4"/>
    <m/>
    <m/>
    <m/>
    <m/>
    <m/>
    <m/>
    <m/>
  </r>
  <r>
    <x v="0"/>
    <x v="3"/>
    <x v="3"/>
    <d v="2025-09-24T00:00:00"/>
    <n v="225"/>
    <x v="0"/>
    <s v="JC"/>
    <n v="1"/>
    <n v="1"/>
    <m/>
    <m/>
    <m/>
    <m/>
    <m/>
    <m/>
    <m/>
  </r>
  <r>
    <x v="0"/>
    <x v="3"/>
    <x v="3"/>
    <d v="2025-09-24T00:00:00"/>
    <n v="225"/>
    <x v="1"/>
    <s v="JC"/>
    <n v="1"/>
    <n v="2"/>
    <m/>
    <m/>
    <m/>
    <m/>
    <m/>
    <m/>
    <m/>
  </r>
  <r>
    <x v="0"/>
    <x v="3"/>
    <x v="3"/>
    <d v="2025-09-24T00:00:00"/>
    <n v="225"/>
    <x v="2"/>
    <s v="JC"/>
    <n v="4"/>
    <n v="3"/>
    <m/>
    <m/>
    <m/>
    <m/>
    <m/>
    <m/>
    <m/>
  </r>
  <r>
    <x v="0"/>
    <x v="3"/>
    <x v="3"/>
    <d v="2025-09-24T00:00:00"/>
    <n v="225"/>
    <x v="3"/>
    <s v="JC"/>
    <n v="1"/>
    <n v="4"/>
    <m/>
    <m/>
    <m/>
    <m/>
    <m/>
    <m/>
    <m/>
  </r>
  <r>
    <x v="0"/>
    <x v="3"/>
    <x v="3"/>
    <d v="2025-09-26T00:00:00"/>
    <n v="226"/>
    <x v="0"/>
    <s v="BJC"/>
    <n v="2"/>
    <n v="4"/>
    <m/>
    <m/>
    <m/>
    <m/>
    <m/>
    <n v="1"/>
    <m/>
  </r>
  <r>
    <x v="0"/>
    <x v="3"/>
    <x v="3"/>
    <d v="2025-09-26T00:00:00"/>
    <n v="226"/>
    <x v="1"/>
    <s v="BJC"/>
    <n v="0"/>
    <n v="6"/>
    <m/>
    <m/>
    <m/>
    <m/>
    <m/>
    <n v="1"/>
    <m/>
  </r>
  <r>
    <x v="0"/>
    <x v="3"/>
    <x v="3"/>
    <d v="2025-09-26T00:00:00"/>
    <n v="226"/>
    <x v="2"/>
    <s v="BJC"/>
    <n v="3"/>
    <n v="2"/>
    <m/>
    <m/>
    <m/>
    <m/>
    <m/>
    <n v="1"/>
    <m/>
  </r>
  <r>
    <x v="0"/>
    <x v="3"/>
    <x v="3"/>
    <d v="2025-09-29T00:00:00"/>
    <n v="227"/>
    <x v="0"/>
    <s v="CJ"/>
    <n v="6"/>
    <n v="3"/>
    <m/>
    <m/>
    <m/>
    <m/>
    <m/>
    <m/>
    <m/>
  </r>
  <r>
    <x v="0"/>
    <x v="3"/>
    <x v="3"/>
    <d v="2025-09-29T00:00:00"/>
    <n v="227"/>
    <x v="1"/>
    <s v="CJ"/>
    <n v="5"/>
    <n v="3"/>
    <m/>
    <m/>
    <m/>
    <m/>
    <m/>
    <m/>
    <m/>
  </r>
  <r>
    <x v="0"/>
    <x v="3"/>
    <x v="3"/>
    <d v="2025-09-29T00:00:00"/>
    <n v="227"/>
    <x v="2"/>
    <s v="CJ"/>
    <n v="0"/>
    <n v="6"/>
    <m/>
    <m/>
    <m/>
    <m/>
    <m/>
    <m/>
    <m/>
  </r>
  <r>
    <x v="0"/>
    <x v="3"/>
    <x v="3"/>
    <d v="2025-09-30T00:00:00"/>
    <n v="228"/>
    <x v="0"/>
    <s v="CJ"/>
    <n v="3"/>
    <n v="3"/>
    <m/>
    <m/>
    <m/>
    <m/>
    <m/>
    <m/>
    <m/>
  </r>
  <r>
    <x v="0"/>
    <x v="3"/>
    <x v="3"/>
    <d v="2025-09-30T00:00:00"/>
    <n v="228"/>
    <x v="1"/>
    <s v="CJ"/>
    <n v="8"/>
    <n v="6"/>
    <m/>
    <m/>
    <m/>
    <m/>
    <m/>
    <m/>
    <m/>
  </r>
  <r>
    <x v="0"/>
    <x v="3"/>
    <x v="3"/>
    <d v="2025-09-30T00:00:00"/>
    <n v="228"/>
    <x v="2"/>
    <s v="CJ"/>
    <n v="4"/>
    <n v="2"/>
    <m/>
    <m/>
    <m/>
    <m/>
    <m/>
    <m/>
    <m/>
  </r>
  <r>
    <x v="0"/>
    <x v="3"/>
    <x v="3"/>
    <d v="2025-10-01T00:00:00"/>
    <n v="229"/>
    <x v="0"/>
    <s v="CJ"/>
    <n v="6"/>
    <n v="6"/>
    <m/>
    <m/>
    <m/>
    <m/>
    <m/>
    <m/>
    <m/>
  </r>
  <r>
    <x v="0"/>
    <x v="3"/>
    <x v="3"/>
    <d v="2025-10-01T00:00:00"/>
    <n v="229"/>
    <x v="1"/>
    <s v="CJ"/>
    <n v="3"/>
    <n v="2"/>
    <m/>
    <m/>
    <m/>
    <m/>
    <m/>
    <m/>
    <m/>
  </r>
  <r>
    <x v="0"/>
    <x v="3"/>
    <x v="3"/>
    <d v="2025-10-01T00:00:00"/>
    <n v="229"/>
    <x v="2"/>
    <s v="CJ"/>
    <n v="6"/>
    <n v="2"/>
    <m/>
    <m/>
    <m/>
    <m/>
    <m/>
    <m/>
    <m/>
  </r>
  <r>
    <x v="0"/>
    <x v="3"/>
    <x v="3"/>
    <d v="2025-10-08T00:00:00"/>
    <n v="230"/>
    <x v="0"/>
    <s v="CJ"/>
    <n v="3"/>
    <n v="1"/>
    <m/>
    <m/>
    <m/>
    <m/>
    <m/>
    <m/>
    <m/>
  </r>
  <r>
    <x v="0"/>
    <x v="3"/>
    <x v="3"/>
    <d v="2025-10-08T00:00:00"/>
    <n v="230"/>
    <x v="1"/>
    <s v="CJ"/>
    <n v="2"/>
    <n v="3"/>
    <m/>
    <m/>
    <m/>
    <m/>
    <m/>
    <m/>
    <m/>
  </r>
  <r>
    <x v="0"/>
    <x v="3"/>
    <x v="3"/>
    <d v="2025-10-08T00:00:00"/>
    <n v="230"/>
    <x v="2"/>
    <s v="CJ"/>
    <n v="4"/>
    <n v="6"/>
    <m/>
    <m/>
    <m/>
    <m/>
    <m/>
    <m/>
    <m/>
  </r>
  <r>
    <x v="0"/>
    <x v="3"/>
    <x v="3"/>
    <d v="2025-10-10T00:00:00"/>
    <n v="231"/>
    <x v="0"/>
    <s v="CJ"/>
    <n v="4"/>
    <n v="1"/>
    <m/>
    <m/>
    <m/>
    <m/>
    <m/>
    <m/>
    <m/>
  </r>
  <r>
    <x v="0"/>
    <x v="3"/>
    <x v="3"/>
    <d v="2025-10-10T00:00:00"/>
    <n v="231"/>
    <x v="1"/>
    <s v="CJ"/>
    <n v="5"/>
    <n v="1"/>
    <m/>
    <m/>
    <m/>
    <m/>
    <m/>
    <m/>
    <m/>
  </r>
  <r>
    <x v="0"/>
    <x v="3"/>
    <x v="3"/>
    <d v="2025-10-10T00:00:00"/>
    <n v="231"/>
    <x v="2"/>
    <s v="CJ"/>
    <n v="7"/>
    <n v="5"/>
    <m/>
    <m/>
    <m/>
    <m/>
    <m/>
    <m/>
    <m/>
  </r>
  <r>
    <x v="0"/>
    <x v="3"/>
    <x v="3"/>
    <d v="2025-10-13T00:00:00"/>
    <n v="232"/>
    <x v="0"/>
    <s v="JC"/>
    <n v="7"/>
    <n v="2"/>
    <m/>
    <m/>
    <m/>
    <m/>
    <m/>
    <m/>
    <m/>
  </r>
  <r>
    <x v="0"/>
    <x v="3"/>
    <x v="3"/>
    <d v="2025-10-13T00:00:00"/>
    <n v="232"/>
    <x v="1"/>
    <s v="JC"/>
    <n v="4"/>
    <n v="2"/>
    <m/>
    <m/>
    <m/>
    <m/>
    <m/>
    <m/>
    <m/>
  </r>
  <r>
    <x v="0"/>
    <x v="3"/>
    <x v="3"/>
    <d v="2025-10-13T00:00:00"/>
    <n v="232"/>
    <x v="2"/>
    <s v="JC"/>
    <n v="0"/>
    <n v="2"/>
    <m/>
    <m/>
    <m/>
    <m/>
    <m/>
    <m/>
    <m/>
  </r>
  <r>
    <x v="0"/>
    <x v="3"/>
    <x v="3"/>
    <d v="2025-10-22T00:00:00"/>
    <n v="233"/>
    <x v="0"/>
    <s v="JC"/>
    <n v="3"/>
    <n v="4"/>
    <n v="1"/>
    <m/>
    <m/>
    <m/>
    <m/>
    <m/>
    <m/>
  </r>
  <r>
    <x v="0"/>
    <x v="3"/>
    <x v="3"/>
    <d v="2025-10-22T00:00:00"/>
    <n v="233"/>
    <x v="1"/>
    <s v="JC"/>
    <n v="2"/>
    <n v="0"/>
    <n v="2"/>
    <m/>
    <m/>
    <m/>
    <m/>
    <m/>
    <m/>
  </r>
  <r>
    <x v="0"/>
    <x v="3"/>
    <x v="3"/>
    <d v="2025-10-22T00:00:00"/>
    <n v="233"/>
    <x v="2"/>
    <s v="JC"/>
    <n v="2"/>
    <n v="5"/>
    <n v="5"/>
    <m/>
    <m/>
    <m/>
    <m/>
    <m/>
    <m/>
  </r>
  <r>
    <x v="0"/>
    <x v="3"/>
    <x v="3"/>
    <d v="2025-10-23T00:00:00"/>
    <n v="234"/>
    <x v="0"/>
    <s v="JC"/>
    <n v="2"/>
    <n v="3"/>
    <m/>
    <m/>
    <m/>
    <m/>
    <m/>
    <m/>
    <m/>
  </r>
  <r>
    <x v="0"/>
    <x v="3"/>
    <x v="3"/>
    <d v="2025-10-23T00:00:00"/>
    <n v="234"/>
    <x v="1"/>
    <s v="JC"/>
    <n v="5"/>
    <n v="4"/>
    <m/>
    <m/>
    <m/>
    <m/>
    <m/>
    <m/>
    <m/>
  </r>
  <r>
    <x v="0"/>
    <x v="3"/>
    <x v="3"/>
    <d v="2025-10-23T00:00:00"/>
    <n v="234"/>
    <x v="2"/>
    <s v="JC"/>
    <n v="3"/>
    <n v="6"/>
    <m/>
    <m/>
    <m/>
    <m/>
    <m/>
    <m/>
    <m/>
  </r>
  <r>
    <x v="0"/>
    <x v="3"/>
    <x v="3"/>
    <d v="2025-10-24T00:00:00"/>
    <n v="235"/>
    <x v="0"/>
    <s v="CJQ"/>
    <n v="4"/>
    <n v="1"/>
    <n v="0"/>
    <m/>
    <m/>
    <m/>
    <m/>
    <m/>
    <m/>
  </r>
  <r>
    <x v="0"/>
    <x v="3"/>
    <x v="3"/>
    <d v="2025-10-24T00:00:00"/>
    <n v="235"/>
    <x v="1"/>
    <s v="CJQ"/>
    <n v="2"/>
    <n v="3"/>
    <n v="4"/>
    <m/>
    <m/>
    <m/>
    <m/>
    <m/>
    <m/>
  </r>
  <r>
    <x v="0"/>
    <x v="3"/>
    <x v="3"/>
    <d v="2025-10-24T00:00:00"/>
    <n v="235"/>
    <x v="2"/>
    <s v="CJQ"/>
    <n v="5"/>
    <n v="5"/>
    <n v="1"/>
    <m/>
    <m/>
    <m/>
    <m/>
    <m/>
    <m/>
  </r>
  <r>
    <x v="0"/>
    <x v="3"/>
    <x v="3"/>
    <d v="2025-10-28T00:00:00"/>
    <n v="236"/>
    <x v="0"/>
    <s v="JC"/>
    <n v="1"/>
    <n v="2"/>
    <m/>
    <m/>
    <m/>
    <m/>
    <m/>
    <m/>
    <m/>
  </r>
  <r>
    <x v="0"/>
    <x v="3"/>
    <x v="3"/>
    <d v="2025-10-28T00:00:00"/>
    <n v="236"/>
    <x v="1"/>
    <s v="JC"/>
    <n v="3"/>
    <n v="2"/>
    <m/>
    <m/>
    <m/>
    <m/>
    <m/>
    <m/>
    <m/>
  </r>
  <r>
    <x v="0"/>
    <x v="3"/>
    <x v="3"/>
    <d v="2025-10-28T00:00:00"/>
    <n v="236"/>
    <x v="2"/>
    <s v="JC"/>
    <n v="5"/>
    <n v="5"/>
    <m/>
    <m/>
    <m/>
    <m/>
    <m/>
    <m/>
    <m/>
  </r>
  <r>
    <x v="0"/>
    <x v="3"/>
    <x v="3"/>
    <d v="2025-10-28T00:00:00"/>
    <n v="236"/>
    <x v="3"/>
    <s v="JC"/>
    <n v="3"/>
    <n v="3"/>
    <m/>
    <m/>
    <m/>
    <m/>
    <m/>
    <m/>
    <m/>
  </r>
  <r>
    <x v="0"/>
    <x v="3"/>
    <x v="3"/>
    <d v="2025-10-28T00:00:00"/>
    <n v="236"/>
    <x v="4"/>
    <s v="JC"/>
    <n v="3"/>
    <n v="2"/>
    <m/>
    <m/>
    <m/>
    <m/>
    <m/>
    <m/>
    <m/>
  </r>
  <r>
    <x v="0"/>
    <x v="3"/>
    <x v="3"/>
    <d v="2025-10-29T00:00:00"/>
    <n v="237"/>
    <x v="0"/>
    <s v="CJ"/>
    <n v="1"/>
    <n v="3"/>
    <m/>
    <m/>
    <m/>
    <m/>
    <m/>
    <m/>
    <m/>
  </r>
  <r>
    <x v="0"/>
    <x v="3"/>
    <x v="3"/>
    <d v="2025-10-29T00:00:00"/>
    <n v="237"/>
    <x v="1"/>
    <s v="CJ"/>
    <n v="6"/>
    <n v="7"/>
    <m/>
    <m/>
    <m/>
    <m/>
    <m/>
    <m/>
    <m/>
  </r>
  <r>
    <x v="0"/>
    <x v="3"/>
    <x v="3"/>
    <d v="2025-10-29T00:00:00"/>
    <n v="237"/>
    <x v="2"/>
    <s v="CJ"/>
    <n v="3"/>
    <n v="8"/>
    <m/>
    <m/>
    <m/>
    <m/>
    <m/>
    <m/>
    <m/>
  </r>
  <r>
    <x v="0"/>
    <x v="3"/>
    <x v="3"/>
    <d v="2025-10-31T00:00:00"/>
    <n v="238"/>
    <x v="0"/>
    <s v="JC"/>
    <n v="7"/>
    <n v="4"/>
    <m/>
    <m/>
    <m/>
    <m/>
    <m/>
    <m/>
    <m/>
  </r>
  <r>
    <x v="0"/>
    <x v="3"/>
    <x v="3"/>
    <d v="2025-10-31T00:00:00"/>
    <n v="238"/>
    <x v="1"/>
    <s v="JC"/>
    <n v="5"/>
    <n v="5"/>
    <m/>
    <m/>
    <m/>
    <m/>
    <m/>
    <m/>
    <m/>
  </r>
  <r>
    <x v="0"/>
    <x v="3"/>
    <x v="3"/>
    <d v="2025-10-31T00:00:00"/>
    <n v="238"/>
    <x v="2"/>
    <s v="JC"/>
    <n v="7"/>
    <n v="3"/>
    <m/>
    <m/>
    <m/>
    <m/>
    <m/>
    <m/>
    <m/>
  </r>
  <r>
    <x v="0"/>
    <x v="3"/>
    <x v="3"/>
    <d v="2025-11-11T00:00:00"/>
    <n v="239"/>
    <x v="0"/>
    <s v="JCQ"/>
    <n v="4"/>
    <n v="2"/>
    <n v="5"/>
    <m/>
    <m/>
    <m/>
    <m/>
    <m/>
    <m/>
  </r>
  <r>
    <x v="0"/>
    <x v="3"/>
    <x v="3"/>
    <d v="2025-11-11T00:00:00"/>
    <n v="239"/>
    <x v="1"/>
    <s v="JCQ"/>
    <n v="3"/>
    <n v="2"/>
    <n v="5"/>
    <m/>
    <m/>
    <m/>
    <m/>
    <m/>
    <m/>
  </r>
  <r>
    <x v="0"/>
    <x v="3"/>
    <x v="3"/>
    <d v="2025-11-11T00:00:00"/>
    <n v="239"/>
    <x v="2"/>
    <s v="JCQ"/>
    <n v="2"/>
    <n v="4"/>
    <n v="3"/>
    <m/>
    <m/>
    <m/>
    <m/>
    <m/>
    <m/>
  </r>
  <r>
    <x v="0"/>
    <x v="3"/>
    <x v="3"/>
    <d v="2025-11-12T00:00:00"/>
    <n v="240"/>
    <x v="0"/>
    <s v="QCJ"/>
    <n v="4"/>
    <n v="3"/>
    <n v="2"/>
    <m/>
    <m/>
    <m/>
    <m/>
    <m/>
    <m/>
  </r>
  <r>
    <x v="0"/>
    <x v="3"/>
    <x v="3"/>
    <d v="2025-11-12T00:00:00"/>
    <n v="240"/>
    <x v="1"/>
    <s v="QCJ"/>
    <n v="3"/>
    <n v="0"/>
    <n v="4"/>
    <m/>
    <m/>
    <m/>
    <m/>
    <m/>
    <m/>
  </r>
  <r>
    <x v="0"/>
    <x v="3"/>
    <x v="3"/>
    <d v="2025-11-12T00:00:00"/>
    <n v="240"/>
    <x v="2"/>
    <s v="QCJ"/>
    <n v="7"/>
    <n v="4"/>
    <n v="0"/>
    <m/>
    <m/>
    <m/>
    <m/>
    <m/>
    <m/>
  </r>
  <r>
    <x v="0"/>
    <x v="3"/>
    <x v="3"/>
    <d v="2025-11-18T00:00:00"/>
    <n v="241"/>
    <x v="0"/>
    <s v="JTCV"/>
    <n v="9"/>
    <n v="1"/>
    <m/>
    <m/>
    <m/>
    <m/>
    <n v="4"/>
    <m/>
    <n v="3"/>
  </r>
  <r>
    <x v="0"/>
    <x v="3"/>
    <x v="3"/>
    <d v="2025-11-18T00:00:00"/>
    <n v="241"/>
    <x v="1"/>
    <s v="JTCV"/>
    <n v="5"/>
    <n v="5"/>
    <m/>
    <m/>
    <m/>
    <m/>
    <n v="0"/>
    <m/>
    <n v="2"/>
  </r>
  <r>
    <x v="0"/>
    <x v="3"/>
    <x v="3"/>
    <d v="2025-11-18T00:00:00"/>
    <n v="241"/>
    <x v="2"/>
    <s v="JTCV"/>
    <n v="5"/>
    <n v="0"/>
    <m/>
    <m/>
    <m/>
    <m/>
    <n v="0"/>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
  <r>
    <x v="0"/>
    <n v="1"/>
    <x v="0"/>
    <x v="0"/>
    <x v="0"/>
    <x v="0"/>
    <n v="0"/>
  </r>
  <r>
    <x v="0"/>
    <n v="2"/>
    <x v="1"/>
    <x v="0"/>
    <x v="0"/>
    <x v="1"/>
    <n v="0"/>
  </r>
  <r>
    <x v="1"/>
    <n v="3"/>
    <x v="1"/>
    <x v="0"/>
    <x v="0"/>
    <x v="2"/>
    <n v="0"/>
  </r>
  <r>
    <x v="1"/>
    <n v="4"/>
    <x v="0"/>
    <x v="0"/>
    <x v="0"/>
    <x v="3"/>
    <n v="0"/>
  </r>
  <r>
    <x v="1"/>
    <n v="5"/>
    <x v="1"/>
    <x v="0"/>
    <x v="0"/>
    <x v="4"/>
    <n v="0"/>
  </r>
  <r>
    <x v="2"/>
    <n v="6"/>
    <x v="1"/>
    <x v="0"/>
    <x v="0"/>
    <x v="5"/>
    <n v="0"/>
  </r>
  <r>
    <x v="3"/>
    <n v="7"/>
    <x v="0"/>
    <x v="0"/>
    <x v="0"/>
    <x v="6"/>
    <n v="1"/>
  </r>
  <r>
    <x v="3"/>
    <n v="8"/>
    <x v="0"/>
    <x v="0"/>
    <x v="0"/>
    <x v="3"/>
    <n v="0"/>
  </r>
  <r>
    <x v="4"/>
    <n v="9"/>
    <x v="0"/>
    <x v="0"/>
    <x v="0"/>
    <x v="5"/>
    <n v="1"/>
  </r>
  <r>
    <x v="4"/>
    <n v="10"/>
    <x v="0"/>
    <x v="0"/>
    <x v="0"/>
    <x v="5"/>
    <n v="0"/>
  </r>
  <r>
    <x v="5"/>
    <n v="11"/>
    <x v="0"/>
    <x v="0"/>
    <x v="0"/>
    <x v="7"/>
    <n v="0"/>
  </r>
  <r>
    <x v="6"/>
    <n v="12"/>
    <x v="0"/>
    <x v="0"/>
    <x v="0"/>
    <x v="8"/>
    <n v="0"/>
  </r>
  <r>
    <x v="6"/>
    <n v="13"/>
    <x v="0"/>
    <x v="0"/>
    <x v="0"/>
    <x v="9"/>
    <n v="0"/>
  </r>
  <r>
    <x v="7"/>
    <n v="14"/>
    <x v="1"/>
    <x v="0"/>
    <x v="0"/>
    <x v="10"/>
    <n v="0"/>
  </r>
  <r>
    <x v="7"/>
    <n v="15"/>
    <x v="0"/>
    <x v="0"/>
    <x v="0"/>
    <x v="3"/>
    <n v="0"/>
  </r>
  <r>
    <x v="8"/>
    <n v="16"/>
    <x v="1"/>
    <x v="0"/>
    <x v="0"/>
    <x v="4"/>
    <n v="0"/>
  </r>
  <r>
    <x v="9"/>
    <n v="17"/>
    <x v="1"/>
    <x v="0"/>
    <x v="0"/>
    <x v="3"/>
    <n v="0"/>
  </r>
  <r>
    <x v="10"/>
    <n v="18"/>
    <x v="0"/>
    <x v="0"/>
    <x v="0"/>
    <x v="4"/>
    <n v="0"/>
  </r>
  <r>
    <x v="10"/>
    <n v="19"/>
    <x v="1"/>
    <x v="1"/>
    <x v="0"/>
    <x v="10"/>
    <n v="0"/>
  </r>
  <r>
    <x v="11"/>
    <n v="20"/>
    <x v="1"/>
    <x v="1"/>
    <x v="0"/>
    <x v="11"/>
    <n v="1"/>
  </r>
  <r>
    <x v="11"/>
    <n v="20"/>
    <x v="1"/>
    <x v="0"/>
    <x v="0"/>
    <x v="12"/>
    <n v="1"/>
  </r>
  <r>
    <x v="12"/>
    <n v="21"/>
    <x v="0"/>
    <x v="0"/>
    <x v="0"/>
    <x v="5"/>
    <n v="0"/>
  </r>
  <r>
    <x v="13"/>
    <n v="22"/>
    <x v="0"/>
    <x v="0"/>
    <x v="0"/>
    <x v="3"/>
    <n v="0"/>
  </r>
  <r>
    <x v="14"/>
    <n v="23"/>
    <x v="1"/>
    <x v="0"/>
    <x v="0"/>
    <x v="13"/>
    <n v="0"/>
  </r>
  <r>
    <x v="15"/>
    <n v="24"/>
    <x v="1"/>
    <x v="0"/>
    <x v="0"/>
    <x v="4"/>
    <n v="0"/>
  </r>
  <r>
    <x v="16"/>
    <n v="25"/>
    <x v="0"/>
    <x v="0"/>
    <x v="0"/>
    <x v="3"/>
    <n v="0"/>
  </r>
  <r>
    <x v="17"/>
    <n v="26"/>
    <x v="0"/>
    <x v="0"/>
    <x v="0"/>
    <x v="3"/>
    <n v="0"/>
  </r>
  <r>
    <x v="18"/>
    <n v="27"/>
    <x v="1"/>
    <x v="0"/>
    <x v="0"/>
    <x v="10"/>
    <n v="0"/>
  </r>
  <r>
    <x v="19"/>
    <n v="28"/>
    <x v="0"/>
    <x v="0"/>
    <x v="0"/>
    <x v="3"/>
    <n v="0"/>
  </r>
  <r>
    <x v="20"/>
    <n v="29"/>
    <x v="1"/>
    <x v="1"/>
    <x v="0"/>
    <x v="4"/>
    <n v="0"/>
  </r>
  <r>
    <x v="21"/>
    <n v="30"/>
    <x v="1"/>
    <x v="0"/>
    <x v="0"/>
    <x v="6"/>
    <n v="0"/>
  </r>
  <r>
    <x v="22"/>
    <n v="31"/>
    <x v="0"/>
    <x v="0"/>
    <x v="0"/>
    <x v="3"/>
    <n v="0"/>
  </r>
  <r>
    <x v="23"/>
    <n v="32"/>
    <x v="1"/>
    <x v="1"/>
    <x v="0"/>
    <x v="13"/>
    <n v="0"/>
  </r>
  <r>
    <x v="23"/>
    <n v="33"/>
    <x v="1"/>
    <x v="1"/>
    <x v="0"/>
    <x v="12"/>
    <n v="0"/>
  </r>
  <r>
    <x v="23"/>
    <n v="33"/>
    <x v="1"/>
    <x v="0"/>
    <x v="0"/>
    <x v="12"/>
    <n v="1"/>
  </r>
  <r>
    <x v="24"/>
    <n v="34"/>
    <x v="1"/>
    <x v="0"/>
    <x v="0"/>
    <x v="5"/>
    <n v="0"/>
  </r>
  <r>
    <x v="25"/>
    <n v="35"/>
    <x v="0"/>
    <x v="0"/>
    <x v="0"/>
    <x v="10"/>
    <n v="0"/>
  </r>
  <r>
    <x v="26"/>
    <n v="36"/>
    <x v="1"/>
    <x v="1"/>
    <x v="0"/>
    <x v="12"/>
    <n v="0"/>
  </r>
  <r>
    <x v="26"/>
    <n v="36"/>
    <x v="1"/>
    <x v="0"/>
    <x v="0"/>
    <x v="11"/>
    <n v="1"/>
  </r>
  <r>
    <x v="26"/>
    <n v="37"/>
    <x v="1"/>
    <x v="1"/>
    <x v="0"/>
    <x v="13"/>
    <n v="1"/>
  </r>
  <r>
    <x v="26"/>
    <n v="37"/>
    <x v="1"/>
    <x v="0"/>
    <x v="0"/>
    <x v="11"/>
    <n v="1"/>
  </r>
  <r>
    <x v="27"/>
    <n v="38"/>
    <x v="0"/>
    <x v="1"/>
    <x v="0"/>
    <x v="13"/>
    <n v="0"/>
  </r>
  <r>
    <x v="28"/>
    <n v="39"/>
    <x v="0"/>
    <x v="0"/>
    <x v="0"/>
    <x v="0"/>
    <n v="0"/>
  </r>
  <r>
    <x v="28"/>
    <n v="40"/>
    <x v="0"/>
    <x v="1"/>
    <x v="0"/>
    <x v="13"/>
    <n v="1"/>
  </r>
  <r>
    <x v="28"/>
    <n v="40"/>
    <x v="0"/>
    <x v="0"/>
    <x v="0"/>
    <x v="6"/>
    <n v="0"/>
  </r>
  <r>
    <x v="28"/>
    <n v="41"/>
    <x v="0"/>
    <x v="0"/>
    <x v="0"/>
    <x v="6"/>
    <n v="0"/>
  </r>
  <r>
    <x v="29"/>
    <n v="42"/>
    <x v="1"/>
    <x v="1"/>
    <x v="0"/>
    <x v="6"/>
    <n v="0"/>
  </r>
  <r>
    <x v="29"/>
    <n v="42"/>
    <x v="1"/>
    <x v="0"/>
    <x v="0"/>
    <x v="12"/>
    <n v="1"/>
  </r>
  <r>
    <x v="30"/>
    <n v="43"/>
    <x v="1"/>
    <x v="1"/>
    <x v="0"/>
    <x v="11"/>
    <n v="1"/>
  </r>
  <r>
    <x v="30"/>
    <n v="43"/>
    <x v="1"/>
    <x v="0"/>
    <x v="0"/>
    <x v="3"/>
    <n v="1"/>
  </r>
  <r>
    <x v="31"/>
    <n v="44"/>
    <x v="0"/>
    <x v="1"/>
    <x v="0"/>
    <x v="12"/>
    <n v="1"/>
  </r>
  <r>
    <x v="31"/>
    <n v="44"/>
    <x v="0"/>
    <x v="0"/>
    <x v="0"/>
    <x v="5"/>
    <n v="0"/>
  </r>
  <r>
    <x v="31"/>
    <n v="45"/>
    <x v="1"/>
    <x v="0"/>
    <x v="0"/>
    <x v="13"/>
    <n v="0"/>
  </r>
  <r>
    <x v="31"/>
    <n v="46"/>
    <x v="0"/>
    <x v="0"/>
    <x v="0"/>
    <x v="8"/>
    <n v="0"/>
  </r>
  <r>
    <x v="32"/>
    <n v="48"/>
    <x v="1"/>
    <x v="1"/>
    <x v="0"/>
    <x v="6"/>
    <n v="0"/>
  </r>
  <r>
    <x v="32"/>
    <n v="49"/>
    <x v="0"/>
    <x v="0"/>
    <x v="0"/>
    <x v="10"/>
    <n v="0"/>
  </r>
  <r>
    <x v="32"/>
    <n v="50"/>
    <x v="0"/>
    <x v="1"/>
    <x v="0"/>
    <x v="12"/>
    <n v="1"/>
  </r>
  <r>
    <x v="32"/>
    <n v="50"/>
    <x v="0"/>
    <x v="0"/>
    <x v="0"/>
    <x v="6"/>
    <n v="1"/>
  </r>
  <r>
    <x v="32"/>
    <n v="51"/>
    <x v="1"/>
    <x v="1"/>
    <x v="0"/>
    <x v="3"/>
    <n v="0"/>
  </r>
  <r>
    <x v="32"/>
    <n v="51"/>
    <x v="1"/>
    <x v="0"/>
    <x v="0"/>
    <x v="12"/>
    <n v="1"/>
  </r>
  <r>
    <x v="32"/>
    <n v="52"/>
    <x v="0"/>
    <x v="0"/>
    <x v="0"/>
    <x v="2"/>
    <n v="0"/>
  </r>
  <r>
    <x v="33"/>
    <n v="53"/>
    <x v="0"/>
    <x v="0"/>
    <x v="0"/>
    <x v="9"/>
    <n v="0"/>
  </r>
  <r>
    <x v="33"/>
    <n v="54"/>
    <x v="1"/>
    <x v="1"/>
    <x v="0"/>
    <x v="11"/>
    <n v="1"/>
  </r>
  <r>
    <x v="33"/>
    <n v="54"/>
    <x v="1"/>
    <x v="0"/>
    <x v="0"/>
    <x v="12"/>
    <n v="1"/>
  </r>
  <r>
    <x v="34"/>
    <n v="55"/>
    <x v="0"/>
    <x v="1"/>
    <x v="0"/>
    <x v="6"/>
    <n v="1"/>
  </r>
  <r>
    <x v="34"/>
    <n v="55"/>
    <x v="0"/>
    <x v="0"/>
    <x v="0"/>
    <x v="3"/>
    <n v="0"/>
  </r>
  <r>
    <x v="34"/>
    <n v="56"/>
    <x v="0"/>
    <x v="0"/>
    <x v="0"/>
    <x v="2"/>
    <n v="0"/>
  </r>
  <r>
    <x v="35"/>
    <n v="57"/>
    <x v="1"/>
    <x v="1"/>
    <x v="0"/>
    <x v="6"/>
    <n v="0"/>
  </r>
  <r>
    <x v="35"/>
    <n v="57"/>
    <x v="1"/>
    <x v="0"/>
    <x v="0"/>
    <x v="12"/>
    <n v="1"/>
  </r>
  <r>
    <x v="35"/>
    <n v="58"/>
    <x v="0"/>
    <x v="0"/>
    <x v="0"/>
    <x v="13"/>
    <n v="0"/>
  </r>
  <r>
    <x v="35"/>
    <n v="59"/>
    <x v="0"/>
    <x v="0"/>
    <x v="0"/>
    <x v="0"/>
    <n v="0"/>
  </r>
  <r>
    <x v="36"/>
    <n v="60"/>
    <x v="1"/>
    <x v="1"/>
    <x v="0"/>
    <x v="2"/>
    <n v="0"/>
  </r>
  <r>
    <x v="36"/>
    <n v="61"/>
    <x v="0"/>
    <x v="0"/>
    <x v="0"/>
    <x v="0"/>
    <n v="0"/>
  </r>
  <r>
    <x v="36"/>
    <n v="62"/>
    <x v="1"/>
    <x v="0"/>
    <x v="0"/>
    <x v="5"/>
    <n v="0"/>
  </r>
  <r>
    <x v="37"/>
    <n v="63"/>
    <x v="0"/>
    <x v="0"/>
    <x v="0"/>
    <x v="5"/>
    <n v="0"/>
  </r>
  <r>
    <x v="37"/>
    <n v="65"/>
    <x v="0"/>
    <x v="0"/>
    <x v="0"/>
    <x v="3"/>
    <n v="0"/>
  </r>
  <r>
    <x v="38"/>
    <n v="66"/>
    <x v="1"/>
    <x v="0"/>
    <x v="0"/>
    <x v="6"/>
    <n v="0"/>
  </r>
  <r>
    <x v="38"/>
    <n v="67"/>
    <x v="0"/>
    <x v="0"/>
    <x v="0"/>
    <x v="8"/>
    <n v="0"/>
  </r>
  <r>
    <x v="38"/>
    <n v="68"/>
    <x v="1"/>
    <x v="0"/>
    <x v="0"/>
    <x v="5"/>
    <n v="0"/>
  </r>
  <r>
    <x v="38"/>
    <n v="69"/>
    <x v="0"/>
    <x v="0"/>
    <x v="0"/>
    <x v="8"/>
    <n v="0"/>
  </r>
  <r>
    <x v="39"/>
    <n v="70"/>
    <x v="1"/>
    <x v="1"/>
    <x v="0"/>
    <x v="6"/>
    <n v="1"/>
  </r>
  <r>
    <x v="39"/>
    <n v="71"/>
    <x v="0"/>
    <x v="0"/>
    <x v="0"/>
    <x v="4"/>
    <n v="0"/>
  </r>
  <r>
    <x v="40"/>
    <n v="72"/>
    <x v="0"/>
    <x v="0"/>
    <x v="0"/>
    <x v="13"/>
    <n v="0"/>
  </r>
  <r>
    <x v="40"/>
    <n v="73"/>
    <x v="1"/>
    <x v="1"/>
    <x v="0"/>
    <x v="8"/>
    <n v="0"/>
  </r>
  <r>
    <x v="40"/>
    <n v="74"/>
    <x v="1"/>
    <x v="0"/>
    <x v="0"/>
    <x v="3"/>
    <n v="0"/>
  </r>
  <r>
    <x v="40"/>
    <n v="75"/>
    <x v="0"/>
    <x v="1"/>
    <x v="0"/>
    <x v="11"/>
    <n v="0"/>
  </r>
  <r>
    <x v="40"/>
    <n v="75"/>
    <x v="0"/>
    <x v="1"/>
    <x v="1"/>
    <x v="11"/>
    <n v="1"/>
  </r>
  <r>
    <x v="40"/>
    <n v="75"/>
    <x v="0"/>
    <x v="0"/>
    <x v="0"/>
    <x v="11"/>
    <n v="0"/>
  </r>
  <r>
    <x v="40"/>
    <n v="75"/>
    <x v="0"/>
    <x v="0"/>
    <x v="1"/>
    <x v="13"/>
    <n v="0"/>
  </r>
  <r>
    <x v="41"/>
    <n v="76"/>
    <x v="1"/>
    <x v="0"/>
    <x v="0"/>
    <x v="12"/>
    <n v="0"/>
  </r>
  <r>
    <x v="41"/>
    <n v="77"/>
    <x v="0"/>
    <x v="1"/>
    <x v="0"/>
    <x v="3"/>
    <n v="0"/>
  </r>
  <r>
    <x v="41"/>
    <n v="79"/>
    <x v="0"/>
    <x v="0"/>
    <x v="0"/>
    <x v="10"/>
    <n v="0"/>
  </r>
  <r>
    <x v="42"/>
    <n v="80"/>
    <x v="0"/>
    <x v="0"/>
    <x v="0"/>
    <x v="8"/>
    <n v="0"/>
  </r>
  <r>
    <x v="42"/>
    <n v="81"/>
    <x v="0"/>
    <x v="0"/>
    <x v="0"/>
    <x v="10"/>
    <n v="0"/>
  </r>
  <r>
    <x v="42"/>
    <n v="82"/>
    <x v="1"/>
    <x v="0"/>
    <x v="0"/>
    <x v="2"/>
    <n v="0"/>
  </r>
  <r>
    <x v="42"/>
    <n v="83"/>
    <x v="0"/>
    <x v="0"/>
    <x v="0"/>
    <x v="4"/>
    <n v="0"/>
  </r>
  <r>
    <x v="43"/>
    <n v="84"/>
    <x v="1"/>
    <x v="1"/>
    <x v="0"/>
    <x v="6"/>
    <n v="1"/>
  </r>
  <r>
    <x v="43"/>
    <n v="84"/>
    <x v="1"/>
    <x v="0"/>
    <x v="0"/>
    <x v="11"/>
    <n v="1"/>
  </r>
  <r>
    <x v="43"/>
    <n v="85"/>
    <x v="1"/>
    <x v="1"/>
    <x v="0"/>
    <x v="3"/>
    <n v="1"/>
  </r>
  <r>
    <x v="43"/>
    <n v="85"/>
    <x v="1"/>
    <x v="1"/>
    <x v="1"/>
    <x v="12"/>
    <n v="1"/>
  </r>
  <r>
    <x v="43"/>
    <n v="85"/>
    <x v="1"/>
    <x v="0"/>
    <x v="1"/>
    <x v="11"/>
    <n v="1"/>
  </r>
  <r>
    <x v="43"/>
    <n v="86"/>
    <x v="0"/>
    <x v="0"/>
    <x v="0"/>
    <x v="4"/>
    <n v="0"/>
  </r>
  <r>
    <x v="43"/>
    <n v="87"/>
    <x v="1"/>
    <x v="1"/>
    <x v="0"/>
    <x v="11"/>
    <n v="1"/>
  </r>
  <r>
    <x v="43"/>
    <n v="87"/>
    <x v="1"/>
    <x v="0"/>
    <x v="0"/>
    <x v="13"/>
    <n v="1"/>
  </r>
  <r>
    <x v="44"/>
    <n v="88"/>
    <x v="0"/>
    <x v="0"/>
    <x v="0"/>
    <x v="5"/>
    <n v="0"/>
  </r>
  <r>
    <x v="44"/>
    <n v="89"/>
    <x v="1"/>
    <x v="1"/>
    <x v="0"/>
    <x v="13"/>
    <n v="0"/>
  </r>
  <r>
    <x v="45"/>
    <n v="90"/>
    <x v="1"/>
    <x v="1"/>
    <x v="0"/>
    <x v="11"/>
    <n v="1"/>
  </r>
  <r>
    <x v="45"/>
    <n v="90"/>
    <x v="1"/>
    <x v="0"/>
    <x v="0"/>
    <x v="12"/>
    <n v="1"/>
  </r>
  <r>
    <x v="45"/>
    <n v="91"/>
    <x v="1"/>
    <x v="1"/>
    <x v="0"/>
    <x v="10"/>
    <n v="0"/>
  </r>
  <r>
    <x v="46"/>
    <n v="92"/>
    <x v="0"/>
    <x v="0"/>
    <x v="0"/>
    <x v="3"/>
    <n v="0"/>
  </r>
  <r>
    <x v="47"/>
    <n v="93"/>
    <x v="0"/>
    <x v="0"/>
    <x v="0"/>
    <x v="14"/>
    <n v="0"/>
  </r>
  <r>
    <x v="47"/>
    <n v="94"/>
    <x v="1"/>
    <x v="1"/>
    <x v="0"/>
    <x v="13"/>
    <n v="0"/>
  </r>
  <r>
    <x v="47"/>
    <n v="95"/>
    <x v="1"/>
    <x v="0"/>
    <x v="0"/>
    <x v="12"/>
    <n v="0"/>
  </r>
  <r>
    <x v="48"/>
    <n v="96"/>
    <x v="1"/>
    <x v="0"/>
    <x v="0"/>
    <x v="6"/>
    <n v="0"/>
  </r>
  <r>
    <x v="48"/>
    <n v="97"/>
    <x v="0"/>
    <x v="1"/>
    <x v="1"/>
    <x v="11"/>
    <n v="1"/>
  </r>
  <r>
    <x v="48"/>
    <n v="97"/>
    <x v="0"/>
    <x v="0"/>
    <x v="0"/>
    <x v="6"/>
    <n v="1"/>
  </r>
  <r>
    <x v="48"/>
    <n v="97"/>
    <x v="0"/>
    <x v="0"/>
    <x v="1"/>
    <x v="13"/>
    <n v="0"/>
  </r>
  <r>
    <x v="49"/>
    <n v="98"/>
    <x v="0"/>
    <x v="0"/>
    <x v="0"/>
    <x v="9"/>
    <n v="0"/>
  </r>
  <r>
    <x v="49"/>
    <n v="99"/>
    <x v="1"/>
    <x v="1"/>
    <x v="0"/>
    <x v="2"/>
    <n v="0"/>
  </r>
  <r>
    <x v="49"/>
    <n v="100"/>
    <x v="0"/>
    <x v="1"/>
    <x v="0"/>
    <x v="12"/>
    <n v="1"/>
  </r>
  <r>
    <x v="49"/>
    <n v="100"/>
    <x v="0"/>
    <x v="0"/>
    <x v="0"/>
    <x v="6"/>
    <n v="0"/>
  </r>
  <r>
    <x v="50"/>
    <n v="107"/>
    <x v="0"/>
    <x v="1"/>
    <x v="0"/>
    <x v="12"/>
    <n v="1"/>
  </r>
  <r>
    <x v="50"/>
    <n v="107"/>
    <x v="0"/>
    <x v="0"/>
    <x v="0"/>
    <x v="6"/>
    <n v="0"/>
  </r>
  <r>
    <x v="51"/>
    <n v="108"/>
    <x v="1"/>
    <x v="1"/>
    <x v="0"/>
    <x v="13"/>
    <n v="1"/>
  </r>
  <r>
    <x v="52"/>
    <n v="109"/>
    <x v="0"/>
    <x v="1"/>
    <x v="0"/>
    <x v="11"/>
    <n v="1"/>
  </r>
  <r>
    <x v="52"/>
    <n v="109"/>
    <x v="0"/>
    <x v="0"/>
    <x v="0"/>
    <x v="6"/>
    <n v="1"/>
  </r>
  <r>
    <x v="53"/>
    <n v="110"/>
    <x v="0"/>
    <x v="0"/>
    <x v="0"/>
    <x v="6"/>
    <n v="0"/>
  </r>
  <r>
    <x v="54"/>
    <n v="111"/>
    <x v="1"/>
    <x v="0"/>
    <x v="0"/>
    <x v="2"/>
    <n v="0"/>
  </r>
  <r>
    <x v="54"/>
    <n v="112"/>
    <x v="0"/>
    <x v="0"/>
    <x v="0"/>
    <x v="6"/>
    <n v="0"/>
  </r>
  <r>
    <x v="55"/>
    <n v="113"/>
    <x v="0"/>
    <x v="0"/>
    <x v="0"/>
    <x v="9"/>
    <n v="0"/>
  </r>
  <r>
    <x v="55"/>
    <n v="114"/>
    <x v="0"/>
    <x v="1"/>
    <x v="0"/>
    <x v="4"/>
    <n v="0"/>
  </r>
  <r>
    <x v="55"/>
    <n v="115"/>
    <x v="0"/>
    <x v="0"/>
    <x v="0"/>
    <x v="2"/>
    <n v="0"/>
  </r>
  <r>
    <x v="56"/>
    <n v="116"/>
    <x v="1"/>
    <x v="1"/>
    <x v="0"/>
    <x v="12"/>
    <n v="1"/>
  </r>
  <r>
    <x v="56"/>
    <n v="116"/>
    <x v="1"/>
    <x v="1"/>
    <x v="1"/>
    <x v="5"/>
    <n v="0"/>
  </r>
  <r>
    <x v="56"/>
    <n v="116"/>
    <x v="1"/>
    <x v="0"/>
    <x v="1"/>
    <x v="11"/>
    <n v="1"/>
  </r>
  <r>
    <x v="56"/>
    <n v="117"/>
    <x v="0"/>
    <x v="0"/>
    <x v="0"/>
    <x v="14"/>
    <n v="0"/>
  </r>
  <r>
    <x v="56"/>
    <n v="118"/>
    <x v="1"/>
    <x v="0"/>
    <x v="0"/>
    <x v="10"/>
    <n v="0"/>
  </r>
  <r>
    <x v="57"/>
    <n v="119"/>
    <x v="1"/>
    <x v="1"/>
    <x v="0"/>
    <x v="5"/>
    <n v="0"/>
  </r>
  <r>
    <x v="57"/>
    <n v="119"/>
    <x v="1"/>
    <x v="0"/>
    <x v="0"/>
    <x v="11"/>
    <n v="1"/>
  </r>
  <r>
    <x v="57"/>
    <n v="120"/>
    <x v="0"/>
    <x v="1"/>
    <x v="0"/>
    <x v="12"/>
    <n v="1"/>
  </r>
  <r>
    <x v="57"/>
    <n v="120"/>
    <x v="0"/>
    <x v="1"/>
    <x v="1"/>
    <x v="11"/>
    <n v="1"/>
  </r>
  <r>
    <x v="57"/>
    <n v="120"/>
    <x v="0"/>
    <x v="0"/>
    <x v="0"/>
    <x v="12"/>
    <n v="1"/>
  </r>
  <r>
    <x v="57"/>
    <n v="120"/>
    <x v="0"/>
    <x v="0"/>
    <x v="1"/>
    <x v="5"/>
    <n v="0"/>
  </r>
  <r>
    <x v="58"/>
    <n v="121"/>
    <x v="1"/>
    <x v="1"/>
    <x v="0"/>
    <x v="13"/>
    <n v="1"/>
  </r>
  <r>
    <x v="58"/>
    <n v="121"/>
    <x v="1"/>
    <x v="0"/>
    <x v="0"/>
    <x v="12"/>
    <n v="1"/>
  </r>
  <r>
    <x v="58"/>
    <n v="122"/>
    <x v="0"/>
    <x v="1"/>
    <x v="0"/>
    <x v="12"/>
    <n v="1"/>
  </r>
  <r>
    <x v="58"/>
    <n v="122"/>
    <x v="0"/>
    <x v="0"/>
    <x v="0"/>
    <x v="6"/>
    <n v="1"/>
  </r>
  <r>
    <x v="58"/>
    <n v="123"/>
    <x v="1"/>
    <x v="0"/>
    <x v="0"/>
    <x v="5"/>
    <n v="0"/>
  </r>
  <r>
    <x v="59"/>
    <n v="125"/>
    <x v="0"/>
    <x v="1"/>
    <x v="0"/>
    <x v="12"/>
    <n v="1"/>
  </r>
  <r>
    <x v="59"/>
    <n v="125"/>
    <x v="0"/>
    <x v="0"/>
    <x v="0"/>
    <x v="6"/>
    <n v="1"/>
  </r>
  <r>
    <x v="60"/>
    <n v="126"/>
    <x v="1"/>
    <x v="1"/>
    <x v="0"/>
    <x v="6"/>
    <n v="1"/>
  </r>
  <r>
    <x v="60"/>
    <n v="126"/>
    <x v="1"/>
    <x v="1"/>
    <x v="1"/>
    <x v="11"/>
    <n v="0"/>
  </r>
  <r>
    <x v="60"/>
    <n v="126"/>
    <x v="1"/>
    <x v="1"/>
    <x v="2"/>
    <x v="12"/>
    <n v="1"/>
  </r>
  <r>
    <x v="60"/>
    <n v="126"/>
    <x v="1"/>
    <x v="0"/>
    <x v="1"/>
    <x v="11"/>
    <n v="0"/>
  </r>
  <r>
    <x v="60"/>
    <n v="126"/>
    <x v="1"/>
    <x v="0"/>
    <x v="2"/>
    <x v="11"/>
    <n v="1"/>
  </r>
  <r>
    <x v="60"/>
    <n v="127"/>
    <x v="0"/>
    <x v="1"/>
    <x v="0"/>
    <x v="10"/>
    <n v="0"/>
  </r>
  <r>
    <x v="60"/>
    <n v="128"/>
    <x v="1"/>
    <x v="0"/>
    <x v="0"/>
    <x v="3"/>
    <n v="0"/>
  </r>
  <r>
    <x v="61"/>
    <n v="129"/>
    <x v="0"/>
    <x v="1"/>
    <x v="0"/>
    <x v="5"/>
    <n v="0"/>
  </r>
  <r>
    <x v="61"/>
    <n v="130"/>
    <x v="1"/>
    <x v="0"/>
    <x v="0"/>
    <x v="9"/>
    <n v="0"/>
  </r>
  <r>
    <x v="61"/>
    <n v="131"/>
    <x v="1"/>
    <x v="1"/>
    <x v="0"/>
    <x v="12"/>
    <n v="1"/>
  </r>
  <r>
    <x v="61"/>
    <n v="131"/>
    <x v="1"/>
    <x v="1"/>
    <x v="1"/>
    <x v="13"/>
    <n v="1"/>
  </r>
  <r>
    <x v="61"/>
    <n v="131"/>
    <x v="1"/>
    <x v="0"/>
    <x v="0"/>
    <x v="12"/>
    <n v="1"/>
  </r>
  <r>
    <x v="61"/>
    <n v="131"/>
    <x v="1"/>
    <x v="0"/>
    <x v="1"/>
    <x v="11"/>
    <n v="1"/>
  </r>
  <r>
    <x v="62"/>
    <n v="132"/>
    <x v="1"/>
    <x v="0"/>
    <x v="0"/>
    <x v="12"/>
    <n v="0"/>
  </r>
  <r>
    <x v="62"/>
    <n v="133"/>
    <x v="0"/>
    <x v="0"/>
    <x v="0"/>
    <x v="2"/>
    <n v="0"/>
  </r>
  <r>
    <x v="63"/>
    <n v="135"/>
    <x v="0"/>
    <x v="0"/>
    <x v="0"/>
    <x v="15"/>
    <n v="0"/>
  </r>
  <r>
    <x v="63"/>
    <n v="136"/>
    <x v="1"/>
    <x v="1"/>
    <x v="0"/>
    <x v="10"/>
    <n v="0"/>
  </r>
  <r>
    <x v="63"/>
    <n v="136"/>
    <x v="1"/>
    <x v="0"/>
    <x v="0"/>
    <x v="12"/>
    <n v="1"/>
  </r>
  <r>
    <x v="64"/>
    <n v="137"/>
    <x v="0"/>
    <x v="1"/>
    <x v="0"/>
    <x v="10"/>
    <n v="0"/>
  </r>
  <r>
    <x v="64"/>
    <n v="138"/>
    <x v="1"/>
    <x v="0"/>
    <x v="0"/>
    <x v="10"/>
    <n v="0"/>
  </r>
  <r>
    <x v="64"/>
    <n v="139"/>
    <x v="0"/>
    <x v="1"/>
    <x v="0"/>
    <x v="12"/>
    <n v="1"/>
  </r>
  <r>
    <x v="64"/>
    <n v="139"/>
    <x v="0"/>
    <x v="0"/>
    <x v="0"/>
    <x v="6"/>
    <n v="1"/>
  </r>
  <r>
    <x v="65"/>
    <n v="140"/>
    <x v="1"/>
    <x v="1"/>
    <x v="0"/>
    <x v="13"/>
    <n v="1"/>
  </r>
  <r>
    <x v="65"/>
    <n v="140"/>
    <x v="1"/>
    <x v="1"/>
    <x v="1"/>
    <x v="2"/>
    <n v="0"/>
  </r>
  <r>
    <x v="65"/>
    <n v="140"/>
    <x v="1"/>
    <x v="0"/>
    <x v="1"/>
    <x v="11"/>
    <n v="1"/>
  </r>
  <r>
    <x v="65"/>
    <n v="141"/>
    <x v="0"/>
    <x v="1"/>
    <x v="0"/>
    <x v="2"/>
    <n v="0"/>
  </r>
  <r>
    <x v="65"/>
    <n v="142"/>
    <x v="1"/>
    <x v="1"/>
    <x v="0"/>
    <x v="4"/>
    <n v="0"/>
  </r>
  <r>
    <x v="66"/>
    <n v="143"/>
    <x v="1"/>
    <x v="1"/>
    <x v="0"/>
    <x v="8"/>
    <n v="0"/>
  </r>
  <r>
    <x v="66"/>
    <n v="144"/>
    <x v="0"/>
    <x v="1"/>
    <x v="0"/>
    <x v="11"/>
    <n v="1"/>
  </r>
  <r>
    <x v="66"/>
    <n v="144"/>
    <x v="0"/>
    <x v="0"/>
    <x v="0"/>
    <x v="4"/>
    <n v="0"/>
  </r>
  <r>
    <x v="67"/>
    <n v="145"/>
    <x v="0"/>
    <x v="1"/>
    <x v="0"/>
    <x v="11"/>
    <n v="1"/>
  </r>
  <r>
    <x v="67"/>
    <n v="145"/>
    <x v="0"/>
    <x v="0"/>
    <x v="0"/>
    <x v="12"/>
    <n v="0"/>
  </r>
  <r>
    <x v="67"/>
    <n v="146"/>
    <x v="0"/>
    <x v="1"/>
    <x v="0"/>
    <x v="13"/>
    <n v="0"/>
  </r>
  <r>
    <x v="67"/>
    <n v="147"/>
    <x v="1"/>
    <x v="0"/>
    <x v="0"/>
    <x v="2"/>
    <n v="0"/>
  </r>
  <r>
    <x v="68"/>
    <n v="165"/>
    <x v="0"/>
    <x v="0"/>
    <x v="0"/>
    <x v="3"/>
    <n v="0"/>
  </r>
  <r>
    <x v="68"/>
    <n v="166"/>
    <x v="1"/>
    <x v="0"/>
    <x v="0"/>
    <x v="3"/>
    <n v="0"/>
  </r>
  <r>
    <x v="69"/>
    <n v="168"/>
    <x v="0"/>
    <x v="0"/>
    <x v="0"/>
    <x v="4"/>
    <n v="0"/>
  </r>
  <r>
    <x v="69"/>
    <n v="169"/>
    <x v="0"/>
    <x v="0"/>
    <x v="0"/>
    <x v="4"/>
    <n v="0"/>
  </r>
  <r>
    <x v="70"/>
    <n v="170"/>
    <x v="0"/>
    <x v="1"/>
    <x v="0"/>
    <x v="13"/>
    <n v="0"/>
  </r>
  <r>
    <x v="70"/>
    <n v="171"/>
    <x v="0"/>
    <x v="1"/>
    <x v="0"/>
    <x v="11"/>
    <n v="0"/>
  </r>
  <r>
    <x v="70"/>
    <n v="171"/>
    <x v="0"/>
    <x v="0"/>
    <x v="0"/>
    <x v="11"/>
    <n v="1"/>
  </r>
  <r>
    <x v="71"/>
    <n v="176"/>
    <x v="0"/>
    <x v="0"/>
    <x v="0"/>
    <x v="10"/>
    <n v="0"/>
  </r>
  <r>
    <x v="71"/>
    <n v="177"/>
    <x v="1"/>
    <x v="1"/>
    <x v="0"/>
    <x v="5"/>
    <n v="0"/>
  </r>
  <r>
    <x v="72"/>
    <n v="178"/>
    <x v="0"/>
    <x v="0"/>
    <x v="0"/>
    <x v="3"/>
    <n v="0"/>
  </r>
  <r>
    <x v="72"/>
    <n v="179"/>
    <x v="1"/>
    <x v="0"/>
    <x v="0"/>
    <x v="12"/>
    <n v="0"/>
  </r>
  <r>
    <x v="73"/>
    <n v="185"/>
    <x v="0"/>
    <x v="0"/>
    <x v="0"/>
    <x v="2"/>
    <n v="0"/>
  </r>
  <r>
    <x v="73"/>
    <n v="186"/>
    <x v="1"/>
    <x v="0"/>
    <x v="0"/>
    <x v="3"/>
    <n v="0"/>
  </r>
  <r>
    <x v="73"/>
    <n v="187"/>
    <x v="1"/>
    <x v="0"/>
    <x v="0"/>
    <x v="2"/>
    <n v="0"/>
  </r>
  <r>
    <x v="73"/>
    <n v="188"/>
    <x v="0"/>
    <x v="0"/>
    <x v="0"/>
    <x v="5"/>
    <n v="0"/>
  </r>
  <r>
    <x v="74"/>
    <n v="189"/>
    <x v="1"/>
    <x v="0"/>
    <x v="0"/>
    <x v="10"/>
    <n v="0"/>
  </r>
  <r>
    <x v="74"/>
    <n v="190"/>
    <x v="0"/>
    <x v="1"/>
    <x v="0"/>
    <x v="11"/>
    <n v="0"/>
  </r>
  <r>
    <x v="74"/>
    <n v="190"/>
    <x v="0"/>
    <x v="1"/>
    <x v="1"/>
    <x v="11"/>
    <n v="1"/>
  </r>
  <r>
    <x v="74"/>
    <n v="190"/>
    <x v="0"/>
    <x v="0"/>
    <x v="0"/>
    <x v="11"/>
    <n v="0"/>
  </r>
  <r>
    <x v="74"/>
    <n v="190"/>
    <x v="0"/>
    <x v="0"/>
    <x v="1"/>
    <x v="3"/>
    <n v="0"/>
  </r>
  <r>
    <x v="74"/>
    <n v="191"/>
    <x v="1"/>
    <x v="1"/>
    <x v="0"/>
    <x v="13"/>
    <n v="0"/>
  </r>
  <r>
    <x v="75"/>
    <n v="192"/>
    <x v="0"/>
    <x v="1"/>
    <x v="0"/>
    <x v="11"/>
    <n v="1"/>
  </r>
  <r>
    <x v="75"/>
    <n v="192"/>
    <x v="0"/>
    <x v="0"/>
    <x v="0"/>
    <x v="3"/>
    <n v="1"/>
  </r>
  <r>
    <x v="75"/>
    <n v="193"/>
    <x v="0"/>
    <x v="1"/>
    <x v="0"/>
    <x v="13"/>
    <n v="1"/>
  </r>
  <r>
    <x v="75"/>
    <n v="193"/>
    <x v="0"/>
    <x v="0"/>
    <x v="0"/>
    <x v="12"/>
    <n v="1"/>
  </r>
  <r>
    <x v="75"/>
    <n v="194"/>
    <x v="1"/>
    <x v="0"/>
    <x v="0"/>
    <x v="5"/>
    <n v="0"/>
  </r>
  <r>
    <x v="76"/>
    <n v="195"/>
    <x v="1"/>
    <x v="1"/>
    <x v="0"/>
    <x v="12"/>
    <n v="1"/>
  </r>
  <r>
    <x v="76"/>
    <n v="196"/>
    <x v="0"/>
    <x v="0"/>
    <x v="0"/>
    <x v="0"/>
    <n v="0"/>
  </r>
  <r>
    <x v="77"/>
    <n v="197"/>
    <x v="0"/>
    <x v="0"/>
    <x v="0"/>
    <x v="4"/>
    <n v="0"/>
  </r>
  <r>
    <x v="77"/>
    <n v="198"/>
    <x v="1"/>
    <x v="1"/>
    <x v="0"/>
    <x v="9"/>
    <n v="0"/>
  </r>
  <r>
    <x v="77"/>
    <n v="199"/>
    <x v="0"/>
    <x v="0"/>
    <x v="0"/>
    <x v="2"/>
    <n v="0"/>
  </r>
  <r>
    <x v="78"/>
    <n v="200"/>
    <x v="1"/>
    <x v="1"/>
    <x v="0"/>
    <x v="12"/>
    <n v="1"/>
  </r>
  <r>
    <x v="78"/>
    <n v="200"/>
    <x v="1"/>
    <x v="0"/>
    <x v="0"/>
    <x v="12"/>
    <n v="1"/>
  </r>
  <r>
    <x v="79"/>
    <n v="201"/>
    <x v="1"/>
    <x v="1"/>
    <x v="0"/>
    <x v="11"/>
    <n v="1"/>
  </r>
  <r>
    <x v="79"/>
    <n v="201"/>
    <x v="1"/>
    <x v="0"/>
    <x v="0"/>
    <x v="12"/>
    <n v="1"/>
  </r>
  <r>
    <x v="80"/>
    <n v="202"/>
    <x v="0"/>
    <x v="0"/>
    <x v="0"/>
    <x v="9"/>
    <n v="0"/>
  </r>
  <r>
    <x v="80"/>
    <n v="203"/>
    <x v="1"/>
    <x v="1"/>
    <x v="0"/>
    <x v="12"/>
    <n v="1"/>
  </r>
  <r>
    <x v="80"/>
    <n v="203"/>
    <x v="1"/>
    <x v="0"/>
    <x v="0"/>
    <x v="3"/>
    <n v="1"/>
  </r>
  <r>
    <x v="81"/>
    <n v="204"/>
    <x v="0"/>
    <x v="1"/>
    <x v="0"/>
    <x v="13"/>
    <n v="1"/>
  </r>
  <r>
    <x v="81"/>
    <n v="204"/>
    <x v="0"/>
    <x v="1"/>
    <x v="1"/>
    <x v="11"/>
    <n v="1"/>
  </r>
  <r>
    <x v="81"/>
    <n v="204"/>
    <x v="0"/>
    <x v="0"/>
    <x v="0"/>
    <x v="6"/>
    <n v="1"/>
  </r>
  <r>
    <x v="81"/>
    <n v="204"/>
    <x v="0"/>
    <x v="0"/>
    <x v="1"/>
    <x v="2"/>
    <n v="0"/>
  </r>
  <r>
    <x v="82"/>
    <n v="205"/>
    <x v="0"/>
    <x v="1"/>
    <x v="0"/>
    <x v="13"/>
    <n v="1"/>
  </r>
  <r>
    <x v="82"/>
    <n v="205"/>
    <x v="0"/>
    <x v="0"/>
    <x v="0"/>
    <x v="12"/>
    <n v="1"/>
  </r>
  <r>
    <x v="83"/>
    <n v="206"/>
    <x v="1"/>
    <x v="0"/>
    <x v="0"/>
    <x v="13"/>
    <n v="0"/>
  </r>
  <r>
    <x v="84"/>
    <n v="207"/>
    <x v="0"/>
    <x v="1"/>
    <x v="0"/>
    <x v="12"/>
    <n v="1"/>
  </r>
  <r>
    <x v="84"/>
    <n v="207"/>
    <x v="0"/>
    <x v="0"/>
    <x v="0"/>
    <x v="3"/>
    <n v="0"/>
  </r>
  <r>
    <x v="85"/>
    <n v="208"/>
    <x v="0"/>
    <x v="1"/>
    <x v="1"/>
    <x v="11"/>
    <n v="1"/>
  </r>
  <r>
    <x v="85"/>
    <n v="208"/>
    <x v="0"/>
    <x v="0"/>
    <x v="0"/>
    <x v="13"/>
    <n v="1"/>
  </r>
  <r>
    <x v="85"/>
    <n v="208"/>
    <x v="0"/>
    <x v="0"/>
    <x v="1"/>
    <x v="12"/>
    <n v="1"/>
  </r>
  <r>
    <x v="86"/>
    <n v="209"/>
    <x v="0"/>
    <x v="0"/>
    <x v="0"/>
    <x v="5"/>
    <n v="0"/>
  </r>
  <r>
    <x v="87"/>
    <n v="210"/>
    <x v="0"/>
    <x v="0"/>
    <x v="0"/>
    <x v="2"/>
    <n v="0"/>
  </r>
  <r>
    <x v="88"/>
    <n v="211"/>
    <x v="0"/>
    <x v="0"/>
    <x v="0"/>
    <x v="9"/>
    <n v="0"/>
  </r>
  <r>
    <x v="89"/>
    <n v="212"/>
    <x v="0"/>
    <x v="0"/>
    <x v="0"/>
    <x v="4"/>
    <n v="0"/>
  </r>
  <r>
    <x v="90"/>
    <n v="213"/>
    <x v="1"/>
    <x v="1"/>
    <x v="0"/>
    <x v="6"/>
    <n v="1"/>
  </r>
  <r>
    <x v="90"/>
    <n v="213"/>
    <x v="1"/>
    <x v="0"/>
    <x v="0"/>
    <x v="11"/>
    <n v="1"/>
  </r>
  <r>
    <x v="91"/>
    <n v="214"/>
    <x v="0"/>
    <x v="1"/>
    <x v="0"/>
    <x v="13"/>
    <n v="1"/>
  </r>
  <r>
    <x v="91"/>
    <n v="214"/>
    <x v="0"/>
    <x v="0"/>
    <x v="0"/>
    <x v="11"/>
    <n v="1"/>
  </r>
  <r>
    <x v="92"/>
    <n v="215"/>
    <x v="0"/>
    <x v="1"/>
    <x v="0"/>
    <x v="11"/>
    <n v="1"/>
  </r>
  <r>
    <x v="92"/>
    <n v="215"/>
    <x v="0"/>
    <x v="0"/>
    <x v="0"/>
    <x v="2"/>
    <n v="0"/>
  </r>
  <r>
    <x v="93"/>
    <n v="216"/>
    <x v="0"/>
    <x v="0"/>
    <x v="0"/>
    <x v="9"/>
    <n v="0"/>
  </r>
  <r>
    <x v="94"/>
    <n v="217"/>
    <x v="1"/>
    <x v="0"/>
    <x v="0"/>
    <x v="13"/>
    <n v="0"/>
  </r>
  <r>
    <x v="95"/>
    <n v="218"/>
    <x v="0"/>
    <x v="0"/>
    <x v="0"/>
    <x v="5"/>
    <n v="1"/>
  </r>
  <r>
    <x v="96"/>
    <n v="219"/>
    <x v="1"/>
    <x v="0"/>
    <x v="0"/>
    <x v="5"/>
    <n v="0"/>
  </r>
  <r>
    <x v="97"/>
    <n v="220"/>
    <x v="1"/>
    <x v="1"/>
    <x v="0"/>
    <x v="13"/>
    <n v="0"/>
  </r>
  <r>
    <x v="97"/>
    <n v="220"/>
    <x v="1"/>
    <x v="0"/>
    <x v="0"/>
    <x v="11"/>
    <n v="1"/>
  </r>
  <r>
    <x v="98"/>
    <n v="221"/>
    <x v="0"/>
    <x v="1"/>
    <x v="0"/>
    <x v="11"/>
    <n v="1"/>
  </r>
  <r>
    <x v="98"/>
    <n v="221"/>
    <x v="0"/>
    <x v="0"/>
    <x v="0"/>
    <x v="13"/>
    <n v="0"/>
  </r>
  <r>
    <x v="99"/>
    <n v="222"/>
    <x v="1"/>
    <x v="1"/>
    <x v="0"/>
    <x v="6"/>
    <n v="1"/>
  </r>
  <r>
    <x v="99"/>
    <n v="222"/>
    <x v="1"/>
    <x v="0"/>
    <x v="0"/>
    <x v="12"/>
    <n v="1"/>
  </r>
  <r>
    <x v="100"/>
    <n v="223"/>
    <x v="1"/>
    <x v="1"/>
    <x v="0"/>
    <x v="12"/>
    <n v="1"/>
  </r>
  <r>
    <x v="100"/>
    <n v="223"/>
    <x v="1"/>
    <x v="0"/>
    <x v="0"/>
    <x v="13"/>
    <n v="1"/>
  </r>
  <r>
    <x v="101"/>
    <n v="224"/>
    <x v="1"/>
    <x v="1"/>
    <x v="0"/>
    <x v="11"/>
    <n v="1"/>
  </r>
  <r>
    <x v="101"/>
    <n v="224"/>
    <x v="1"/>
    <x v="0"/>
    <x v="0"/>
    <x v="3"/>
    <n v="1"/>
  </r>
  <r>
    <x v="102"/>
    <n v="225"/>
    <x v="1"/>
    <x v="1"/>
    <x v="0"/>
    <x v="3"/>
    <n v="1"/>
  </r>
  <r>
    <x v="102"/>
    <n v="225"/>
    <x v="1"/>
    <x v="1"/>
    <x v="1"/>
    <x v="3"/>
    <n v="0"/>
  </r>
  <r>
    <x v="102"/>
    <n v="225"/>
    <x v="1"/>
    <x v="0"/>
    <x v="1"/>
    <x v="11"/>
    <n v="1"/>
  </r>
  <r>
    <x v="103"/>
    <n v="226"/>
    <x v="1"/>
    <x v="1"/>
    <x v="0"/>
    <x v="9"/>
    <n v="0"/>
  </r>
  <r>
    <x v="104"/>
    <n v="227"/>
    <x v="0"/>
    <x v="0"/>
    <x v="0"/>
    <x v="5"/>
    <n v="1"/>
  </r>
  <r>
    <x v="105"/>
    <n v="228"/>
    <x v="0"/>
    <x v="0"/>
    <x v="0"/>
    <x v="10"/>
    <n v="0"/>
  </r>
  <r>
    <x v="106"/>
    <n v="229"/>
    <x v="0"/>
    <x v="0"/>
    <x v="0"/>
    <x v="2"/>
    <n v="0"/>
  </r>
  <r>
    <x v="107"/>
    <n v="230"/>
    <x v="0"/>
    <x v="0"/>
    <x v="0"/>
    <x v="5"/>
    <n v="1"/>
  </r>
  <r>
    <x v="108"/>
    <n v="231"/>
    <x v="0"/>
    <x v="0"/>
    <x v="0"/>
    <x v="14"/>
    <n v="0"/>
  </r>
  <r>
    <x v="109"/>
    <n v="232"/>
    <x v="1"/>
    <x v="0"/>
    <x v="0"/>
    <x v="2"/>
    <n v="0"/>
  </r>
  <r>
    <x v="110"/>
    <n v="233"/>
    <x v="1"/>
    <x v="1"/>
    <x v="0"/>
    <x v="3"/>
    <n v="0"/>
  </r>
  <r>
    <x v="110"/>
    <n v="233"/>
    <x v="1"/>
    <x v="0"/>
    <x v="0"/>
    <x v="12"/>
    <n v="1"/>
  </r>
  <r>
    <x v="111"/>
    <n v="234"/>
    <x v="1"/>
    <x v="1"/>
    <x v="0"/>
    <x v="10"/>
    <n v="0"/>
  </r>
  <r>
    <x v="111"/>
    <n v="234"/>
    <x v="1"/>
    <x v="0"/>
    <x v="0"/>
    <x v="11"/>
    <n v="1"/>
  </r>
  <r>
    <x v="112"/>
    <n v="235"/>
    <x v="0"/>
    <x v="0"/>
    <x v="0"/>
    <x v="2"/>
    <n v="0"/>
  </r>
  <r>
    <x v="113"/>
    <n v="236"/>
    <x v="1"/>
    <x v="1"/>
    <x v="0"/>
    <x v="5"/>
    <n v="1"/>
  </r>
  <r>
    <x v="113"/>
    <n v="236"/>
    <x v="1"/>
    <x v="1"/>
    <x v="1"/>
    <x v="13"/>
    <n v="0"/>
  </r>
  <r>
    <x v="113"/>
    <n v="236"/>
    <x v="1"/>
    <x v="1"/>
    <x v="2"/>
    <x v="6"/>
    <n v="1"/>
  </r>
  <r>
    <x v="113"/>
    <n v="236"/>
    <x v="1"/>
    <x v="0"/>
    <x v="0"/>
    <x v="11"/>
    <n v="1"/>
  </r>
  <r>
    <x v="113"/>
    <n v="236"/>
    <x v="1"/>
    <x v="0"/>
    <x v="1"/>
    <x v="11"/>
    <n v="1"/>
  </r>
  <r>
    <x v="113"/>
    <n v="236"/>
    <x v="1"/>
    <x v="0"/>
    <x v="2"/>
    <x v="11"/>
    <n v="1"/>
  </r>
  <r>
    <x v="114"/>
    <n v="237"/>
    <x v="0"/>
    <x v="1"/>
    <x v="0"/>
    <x v="13"/>
    <n v="1"/>
  </r>
  <r>
    <x v="114"/>
    <n v="237"/>
    <x v="0"/>
    <x v="0"/>
    <x v="0"/>
    <x v="11"/>
    <n v="1"/>
  </r>
  <r>
    <x v="115"/>
    <n v="238"/>
    <x v="1"/>
    <x v="1"/>
    <x v="0"/>
    <x v="11"/>
    <n v="1"/>
  </r>
  <r>
    <x v="115"/>
    <n v="238"/>
    <x v="1"/>
    <x v="0"/>
    <x v="0"/>
    <x v="13"/>
    <n v="1"/>
  </r>
  <r>
    <x v="116"/>
    <n v="239"/>
    <x v="1"/>
    <x v="1"/>
    <x v="0"/>
    <x v="12"/>
    <n v="1"/>
  </r>
  <r>
    <x v="116"/>
    <n v="239"/>
    <x v="1"/>
    <x v="0"/>
    <x v="0"/>
    <x v="13"/>
    <n v="1"/>
  </r>
  <r>
    <x v="117"/>
    <n v="240"/>
    <x v="0"/>
    <x v="0"/>
    <x v="0"/>
    <x v="0"/>
    <n v="0"/>
  </r>
  <r>
    <x v="118"/>
    <n v="241"/>
    <x v="1"/>
    <x v="0"/>
    <x v="0"/>
    <x v="4"/>
    <n v="0"/>
  </r>
  <r>
    <x v="119"/>
    <n v="242"/>
    <x v="0"/>
    <x v="0"/>
    <x v="0"/>
    <x v="9"/>
    <n v="0"/>
  </r>
  <r>
    <x v="120"/>
    <n v="243"/>
    <x v="0"/>
    <x v="1"/>
    <x v="0"/>
    <x v="12"/>
    <n v="1"/>
  </r>
  <r>
    <x v="120"/>
    <n v="243"/>
    <x v="0"/>
    <x v="0"/>
    <x v="0"/>
    <x v="13"/>
    <n v="1"/>
  </r>
  <r>
    <x v="121"/>
    <n v="244"/>
    <x v="0"/>
    <x v="1"/>
    <x v="0"/>
    <x v="12"/>
    <n v="1"/>
  </r>
  <r>
    <x v="121"/>
    <n v="244"/>
    <x v="0"/>
    <x v="1"/>
    <x v="1"/>
    <x v="11"/>
    <n v="1"/>
  </r>
  <r>
    <x v="121"/>
    <n v="244"/>
    <x v="0"/>
    <x v="1"/>
    <x v="2"/>
    <x v="11"/>
    <n v="1"/>
  </r>
  <r>
    <x v="121"/>
    <n v="244"/>
    <x v="0"/>
    <x v="0"/>
    <x v="0"/>
    <x v="6"/>
    <n v="1"/>
  </r>
  <r>
    <x v="121"/>
    <n v="244"/>
    <x v="0"/>
    <x v="0"/>
    <x v="1"/>
    <x v="13"/>
    <n v="0"/>
  </r>
  <r>
    <x v="121"/>
    <n v="244"/>
    <x v="0"/>
    <x v="0"/>
    <x v="2"/>
    <x v="13"/>
    <n v="1"/>
  </r>
  <r>
    <x v="122"/>
    <n v="245"/>
    <x v="1"/>
    <x v="1"/>
    <x v="0"/>
    <x v="13"/>
    <n v="1"/>
  </r>
  <r>
    <x v="122"/>
    <n v="245"/>
    <x v="1"/>
    <x v="0"/>
    <x v="0"/>
    <x v="13"/>
    <n v="1"/>
  </r>
  <r>
    <x v="123"/>
    <n v="246"/>
    <x v="1"/>
    <x v="1"/>
    <x v="0"/>
    <x v="13"/>
    <n v="1"/>
  </r>
  <r>
    <x v="123"/>
    <n v="246"/>
    <x v="1"/>
    <x v="0"/>
    <x v="0"/>
    <x v="12"/>
    <n v="1"/>
  </r>
  <r>
    <x v="124"/>
    <n v="247"/>
    <x v="0"/>
    <x v="0"/>
    <x v="0"/>
    <x v="13"/>
    <n v="0"/>
  </r>
  <r>
    <x v="125"/>
    <n v="248"/>
    <x v="0"/>
    <x v="0"/>
    <x v="0"/>
    <x v="0"/>
    <n v="0"/>
  </r>
  <r>
    <x v="126"/>
    <n v="249"/>
    <x v="0"/>
    <x v="1"/>
    <x v="0"/>
    <x v="2"/>
    <n v="0"/>
  </r>
  <r>
    <x v="126"/>
    <n v="250"/>
    <x v="1"/>
    <x v="1"/>
    <x v="0"/>
    <x v="3"/>
    <n v="1"/>
  </r>
  <r>
    <x v="126"/>
    <n v="250"/>
    <x v="1"/>
    <x v="1"/>
    <x v="1"/>
    <x v="10"/>
    <n v="0"/>
  </r>
  <r>
    <x v="126"/>
    <n v="250"/>
    <x v="1"/>
    <x v="0"/>
    <x v="1"/>
    <x v="11"/>
    <n v="1"/>
  </r>
  <r>
    <x v="127"/>
    <n v="251"/>
    <x v="0"/>
    <x v="0"/>
    <x v="0"/>
    <x v="10"/>
    <n v="0"/>
  </r>
  <r>
    <x v="128"/>
    <n v="253"/>
    <x v="1"/>
    <x v="0"/>
    <x v="0"/>
    <x v="2"/>
    <n v="0"/>
  </r>
  <r>
    <x v="129"/>
    <n v="254"/>
    <x v="0"/>
    <x v="0"/>
    <x v="0"/>
    <x v="5"/>
    <n v="1"/>
  </r>
  <r>
    <x v="130"/>
    <n v="255"/>
    <x v="0"/>
    <x v="0"/>
    <x v="0"/>
    <x v="1"/>
    <n v="0"/>
  </r>
  <r>
    <x v="131"/>
    <n v="256"/>
    <x v="1"/>
    <x v="1"/>
    <x v="0"/>
    <x v="13"/>
    <n v="1"/>
  </r>
  <r>
    <x v="131"/>
    <n v="256"/>
    <x v="1"/>
    <x v="1"/>
    <x v="1"/>
    <x v="2"/>
    <n v="0"/>
  </r>
  <r>
    <x v="131"/>
    <n v="256"/>
    <x v="1"/>
    <x v="0"/>
    <x v="1"/>
    <x v="11"/>
    <n v="1"/>
  </r>
  <r>
    <x v="132"/>
    <n v="257"/>
    <x v="1"/>
    <x v="1"/>
    <x v="0"/>
    <x v="6"/>
    <n v="1"/>
  </r>
  <r>
    <x v="132"/>
    <n v="257"/>
    <x v="1"/>
    <x v="0"/>
    <x v="0"/>
    <x v="11"/>
    <n v="1"/>
  </r>
  <r>
    <x v="133"/>
    <n v="258"/>
    <x v="0"/>
    <x v="0"/>
    <x v="0"/>
    <x v="2"/>
    <n v="0"/>
  </r>
  <r>
    <x v="134"/>
    <n v="259"/>
    <x v="0"/>
    <x v="1"/>
    <x v="0"/>
    <x v="12"/>
    <n v="1"/>
  </r>
  <r>
    <x v="134"/>
    <n v="259"/>
    <x v="0"/>
    <x v="0"/>
    <x v="0"/>
    <x v="2"/>
    <n v="0"/>
  </r>
  <r>
    <x v="135"/>
    <n v="260"/>
    <x v="1"/>
    <x v="1"/>
    <x v="0"/>
    <x v="5"/>
    <n v="1"/>
  </r>
  <r>
    <x v="135"/>
    <n v="260"/>
    <x v="1"/>
    <x v="1"/>
    <x v="1"/>
    <x v="6"/>
    <n v="1"/>
  </r>
  <r>
    <x v="135"/>
    <n v="260"/>
    <x v="1"/>
    <x v="0"/>
    <x v="0"/>
    <x v="12"/>
    <n v="1"/>
  </r>
  <r>
    <x v="135"/>
    <n v="260"/>
    <x v="1"/>
    <x v="0"/>
    <x v="1"/>
    <x v="1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8">
  <r>
    <n v="71"/>
    <x v="0"/>
    <n v="9"/>
    <n v="8"/>
    <n v="5"/>
    <n v="13"/>
    <x v="0"/>
    <x v="0"/>
  </r>
  <r>
    <n v="71"/>
    <x v="1"/>
    <n v="9"/>
    <n v="9"/>
    <n v="4"/>
    <n v="8"/>
    <x v="0"/>
    <x v="0"/>
  </r>
  <r>
    <n v="72"/>
    <x v="0"/>
    <n v="9"/>
    <n v="9"/>
    <n v="2"/>
    <n v="4"/>
    <x v="1"/>
    <x v="1"/>
  </r>
  <r>
    <n v="72"/>
    <x v="1"/>
    <n v="9"/>
    <n v="5"/>
    <n v="1"/>
    <n v="1"/>
    <x v="1"/>
    <x v="1"/>
  </r>
  <r>
    <n v="72"/>
    <x v="2"/>
    <n v="9"/>
    <n v="3"/>
    <n v="0"/>
    <n v="0"/>
    <x v="1"/>
    <x v="1"/>
  </r>
  <r>
    <n v="73"/>
    <x v="1"/>
    <n v="9"/>
    <n v="6"/>
    <n v="4"/>
    <n v="10"/>
    <x v="0"/>
    <x v="1"/>
  </r>
  <r>
    <n v="73"/>
    <x v="0"/>
    <n v="9"/>
    <n v="9"/>
    <n v="2"/>
    <n v="2"/>
    <x v="0"/>
    <x v="1"/>
  </r>
  <r>
    <n v="74"/>
    <x v="0"/>
    <n v="9"/>
    <n v="6"/>
    <n v="4"/>
    <n v="7"/>
    <x v="2"/>
    <x v="1"/>
  </r>
  <r>
    <n v="74"/>
    <x v="2"/>
    <n v="9"/>
    <n v="4"/>
    <n v="3"/>
    <n v="3"/>
    <x v="2"/>
    <x v="1"/>
  </r>
  <r>
    <n v="74"/>
    <x v="1"/>
    <n v="9"/>
    <n v="5"/>
    <n v="1"/>
    <n v="1"/>
    <x v="2"/>
    <x v="1"/>
  </r>
  <r>
    <n v="75"/>
    <x v="1"/>
    <n v="12"/>
    <n v="8"/>
    <n v="6"/>
    <n v="8"/>
    <x v="1"/>
    <x v="1"/>
  </r>
  <r>
    <n v="75"/>
    <x v="0"/>
    <n v="12"/>
    <n v="12"/>
    <n v="5"/>
    <n v="10"/>
    <x v="1"/>
    <x v="1"/>
  </r>
  <r>
    <n v="76"/>
    <x v="0"/>
    <n v="9"/>
    <n v="8"/>
    <n v="3"/>
    <n v="5"/>
    <x v="1"/>
    <x v="2"/>
  </r>
  <r>
    <n v="76"/>
    <x v="1"/>
    <n v="9"/>
    <n v="6"/>
    <n v="0"/>
    <n v="0"/>
    <x v="1"/>
    <x v="2"/>
  </r>
  <r>
    <n v="77"/>
    <x v="1"/>
    <n v="9"/>
    <n v="5"/>
    <n v="3"/>
    <n v="5"/>
    <x v="1"/>
    <x v="2"/>
  </r>
  <r>
    <n v="77"/>
    <x v="3"/>
    <n v="9"/>
    <n v="5"/>
    <n v="3"/>
    <n v="8"/>
    <x v="1"/>
    <x v="2"/>
  </r>
  <r>
    <n v="77"/>
    <x v="0"/>
    <n v="9"/>
    <n v="9"/>
    <n v="1"/>
    <n v="1"/>
    <x v="1"/>
    <x v="2"/>
  </r>
  <r>
    <n v="78"/>
    <x v="0"/>
    <n v="9"/>
    <n v="8"/>
    <n v="5"/>
    <n v="9"/>
    <x v="1"/>
    <x v="2"/>
  </r>
  <r>
    <n v="78"/>
    <x v="2"/>
    <n v="9"/>
    <n v="6"/>
    <n v="2"/>
    <n v="4"/>
    <x v="1"/>
    <x v="2"/>
  </r>
  <r>
    <n v="79"/>
    <x v="2"/>
    <n v="9"/>
    <n v="5"/>
    <n v="3"/>
    <n v="5"/>
    <x v="1"/>
    <x v="2"/>
  </r>
  <r>
    <n v="79"/>
    <x v="0"/>
    <n v="9"/>
    <n v="7"/>
    <n v="3"/>
    <n v="7"/>
    <x v="1"/>
    <x v="2"/>
  </r>
  <r>
    <n v="79"/>
    <x v="1"/>
    <n v="9"/>
    <n v="6"/>
    <n v="1"/>
    <n v="1"/>
    <x v="1"/>
    <x v="2"/>
  </r>
  <r>
    <n v="79"/>
    <x v="3"/>
    <n v="9"/>
    <n v="2"/>
    <n v="1"/>
    <n v="1"/>
    <x v="1"/>
    <x v="2"/>
  </r>
  <r>
    <n v="80"/>
    <x v="0"/>
    <n v="9"/>
    <n v="8"/>
    <n v="6"/>
    <n v="12"/>
    <x v="1"/>
    <x v="3"/>
  </r>
  <r>
    <n v="80"/>
    <x v="3"/>
    <n v="9"/>
    <n v="4"/>
    <n v="3"/>
    <n v="4"/>
    <x v="1"/>
    <x v="3"/>
  </r>
  <r>
    <n v="80"/>
    <x v="1"/>
    <n v="9"/>
    <n v="6"/>
    <n v="2"/>
    <n v="3"/>
    <x v="1"/>
    <x v="3"/>
  </r>
  <r>
    <n v="81"/>
    <x v="0"/>
    <n v="9"/>
    <n v="8"/>
    <n v="4"/>
    <n v="6"/>
    <x v="0"/>
    <x v="3"/>
  </r>
  <r>
    <n v="81"/>
    <x v="1"/>
    <n v="9"/>
    <n v="4"/>
    <n v="0"/>
    <n v="0"/>
    <x v="0"/>
    <x v="3"/>
  </r>
  <r>
    <n v="82"/>
    <x v="0"/>
    <n v="9"/>
    <n v="8"/>
    <n v="6"/>
    <n v="12"/>
    <x v="2"/>
    <x v="3"/>
  </r>
  <r>
    <n v="82"/>
    <x v="2"/>
    <n v="9"/>
    <n v="3"/>
    <n v="2"/>
    <n v="2"/>
    <x v="2"/>
    <x v="3"/>
  </r>
  <r>
    <n v="82"/>
    <x v="1"/>
    <n v="9"/>
    <n v="7"/>
    <n v="2"/>
    <n v="5"/>
    <x v="2"/>
    <x v="3"/>
  </r>
  <r>
    <n v="83"/>
    <x v="0"/>
    <n v="9"/>
    <n v="9"/>
    <n v="6"/>
    <n v="12"/>
    <x v="1"/>
    <x v="3"/>
  </r>
  <r>
    <n v="83"/>
    <x v="1"/>
    <n v="9"/>
    <n v="5"/>
    <n v="3"/>
    <n v="5"/>
    <x v="1"/>
    <x v="3"/>
  </r>
  <r>
    <n v="84"/>
    <x v="0"/>
    <n v="9"/>
    <n v="9"/>
    <n v="5"/>
    <n v="10"/>
    <x v="1"/>
    <x v="4"/>
  </r>
  <r>
    <n v="84"/>
    <x v="1"/>
    <n v="9"/>
    <n v="4"/>
    <n v="3"/>
    <n v="5"/>
    <x v="1"/>
    <x v="4"/>
  </r>
  <r>
    <n v="85"/>
    <x v="0"/>
    <n v="12"/>
    <n v="10"/>
    <n v="6"/>
    <n v="10"/>
    <x v="0"/>
    <x v="4"/>
  </r>
  <r>
    <n v="85"/>
    <x v="1"/>
    <n v="12"/>
    <n v="9"/>
    <n v="3"/>
    <n v="6"/>
    <x v="0"/>
    <x v="4"/>
  </r>
  <r>
    <n v="86"/>
    <x v="0"/>
    <n v="9"/>
    <n v="6"/>
    <n v="4"/>
    <n v="8"/>
    <x v="2"/>
    <x v="4"/>
  </r>
  <r>
    <n v="86"/>
    <x v="1"/>
    <n v="9"/>
    <n v="5"/>
    <n v="2"/>
    <n v="4"/>
    <x v="2"/>
    <x v="4"/>
  </r>
  <r>
    <n v="87"/>
    <x v="0"/>
    <n v="9"/>
    <n v="7"/>
    <n v="2"/>
    <n v="4"/>
    <x v="2"/>
    <x v="4"/>
  </r>
  <r>
    <n v="87"/>
    <x v="1"/>
    <n v="9"/>
    <n v="6"/>
    <n v="1"/>
    <n v="3"/>
    <x v="2"/>
    <x v="4"/>
  </r>
  <r>
    <n v="88"/>
    <x v="1"/>
    <n v="9"/>
    <n v="7"/>
    <n v="5"/>
    <n v="8"/>
    <x v="1"/>
    <x v="5"/>
  </r>
  <r>
    <n v="88"/>
    <x v="0"/>
    <n v="9"/>
    <n v="9"/>
    <n v="5"/>
    <n v="9"/>
    <x v="1"/>
    <x v="5"/>
  </r>
  <r>
    <n v="89"/>
    <x v="1"/>
    <n v="9"/>
    <n v="6"/>
    <n v="3"/>
    <n v="4"/>
    <x v="0"/>
    <x v="5"/>
  </r>
  <r>
    <n v="89"/>
    <x v="4"/>
    <n v="9"/>
    <n v="2"/>
    <n v="2"/>
    <n v="2"/>
    <x v="0"/>
    <x v="5"/>
  </r>
  <r>
    <n v="89"/>
    <x v="0"/>
    <n v="9"/>
    <n v="8"/>
    <n v="2"/>
    <n v="2"/>
    <x v="0"/>
    <x v="5"/>
  </r>
  <r>
    <n v="90"/>
    <x v="0"/>
    <n v="9"/>
    <n v="7"/>
    <n v="2"/>
    <n v="2"/>
    <x v="1"/>
    <x v="6"/>
  </r>
  <r>
    <n v="90"/>
    <x v="1"/>
    <n v="9"/>
    <n v="3"/>
    <n v="1"/>
    <n v="1"/>
    <x v="1"/>
    <x v="6"/>
  </r>
  <r>
    <n v="91"/>
    <x v="1"/>
    <n v="9"/>
    <n v="6"/>
    <n v="6"/>
    <n v="11"/>
    <x v="1"/>
    <x v="6"/>
  </r>
  <r>
    <n v="91"/>
    <x v="0"/>
    <n v="9"/>
    <n v="6"/>
    <n v="3"/>
    <n v="7"/>
    <x v="1"/>
    <x v="6"/>
  </r>
  <r>
    <n v="92"/>
    <x v="0"/>
    <n v="9"/>
    <n v="7"/>
    <n v="4"/>
    <n v="7"/>
    <x v="1"/>
    <x v="7"/>
  </r>
  <r>
    <n v="92"/>
    <x v="1"/>
    <n v="9"/>
    <n v="3"/>
    <n v="1"/>
    <n v="3"/>
    <x v="1"/>
    <x v="7"/>
  </r>
  <r>
    <n v="93"/>
    <x v="0"/>
    <n v="9"/>
    <n v="8"/>
    <n v="7"/>
    <n v="14"/>
    <x v="1"/>
    <x v="8"/>
  </r>
  <r>
    <n v="93"/>
    <x v="1"/>
    <n v="9"/>
    <n v="2"/>
    <n v="1"/>
    <n v="1"/>
    <x v="1"/>
    <x v="8"/>
  </r>
  <r>
    <n v="94"/>
    <x v="1"/>
    <n v="9"/>
    <n v="6"/>
    <n v="5"/>
    <n v="8"/>
    <x v="0"/>
    <x v="8"/>
  </r>
  <r>
    <n v="94"/>
    <x v="0"/>
    <n v="9"/>
    <n v="8"/>
    <n v="4"/>
    <n v="7"/>
    <x v="0"/>
    <x v="8"/>
  </r>
  <r>
    <n v="95"/>
    <x v="1"/>
    <n v="9"/>
    <n v="7"/>
    <n v="1"/>
    <n v="1"/>
    <x v="2"/>
    <x v="8"/>
  </r>
  <r>
    <n v="95"/>
    <x v="0"/>
    <n v="9"/>
    <n v="8"/>
    <n v="1"/>
    <n v="2"/>
    <x v="2"/>
    <x v="8"/>
  </r>
  <r>
    <n v="96"/>
    <x v="0"/>
    <n v="9"/>
    <n v="9"/>
    <n v="3"/>
    <n v="5"/>
    <x v="1"/>
    <x v="9"/>
  </r>
  <r>
    <n v="96"/>
    <x v="1"/>
    <n v="9"/>
    <n v="6"/>
    <n v="2"/>
    <n v="3"/>
    <x v="1"/>
    <x v="9"/>
  </r>
  <r>
    <n v="98"/>
    <x v="0"/>
    <n v="9"/>
    <n v="9"/>
    <n v="4"/>
    <n v="11"/>
    <x v="1"/>
    <x v="10"/>
  </r>
  <r>
    <n v="98"/>
    <x v="1"/>
    <n v="9"/>
    <n v="9"/>
    <n v="2"/>
    <n v="2"/>
    <x v="1"/>
    <x v="10"/>
  </r>
  <r>
    <n v="98"/>
    <x v="3"/>
    <n v="9"/>
    <n v="4"/>
    <n v="1"/>
    <n v="3"/>
    <x v="1"/>
    <x v="10"/>
  </r>
  <r>
    <n v="99"/>
    <x v="1"/>
    <n v="9"/>
    <n v="9"/>
    <n v="4"/>
    <n v="7"/>
    <x v="1"/>
    <x v="10"/>
  </r>
  <r>
    <n v="99"/>
    <x v="3"/>
    <n v="9"/>
    <n v="4"/>
    <n v="4"/>
    <n v="9"/>
    <x v="1"/>
    <x v="10"/>
  </r>
  <r>
    <n v="99"/>
    <x v="2"/>
    <n v="9"/>
    <n v="2"/>
    <n v="2"/>
    <n v="5"/>
    <x v="1"/>
    <x v="10"/>
  </r>
  <r>
    <n v="99"/>
    <x v="0"/>
    <n v="9"/>
    <n v="9"/>
    <n v="1"/>
    <n v="3"/>
    <x v="1"/>
    <x v="10"/>
  </r>
  <r>
    <n v="100"/>
    <x v="1"/>
    <n v="9"/>
    <n v="8"/>
    <n v="4"/>
    <n v="7"/>
    <x v="0"/>
    <x v="10"/>
  </r>
  <r>
    <n v="100"/>
    <x v="0"/>
    <n v="9"/>
    <n v="9"/>
    <n v="4"/>
    <n v="9"/>
    <x v="0"/>
    <x v="10"/>
  </r>
  <r>
    <n v="101"/>
    <x v="1"/>
    <n v="9"/>
    <n v="7"/>
    <n v="5"/>
    <n v="9"/>
    <x v="1"/>
    <x v="11"/>
  </r>
  <r>
    <n v="101"/>
    <x v="3"/>
    <n v="9"/>
    <n v="7"/>
    <n v="2"/>
    <n v="6"/>
    <x v="1"/>
    <x v="11"/>
  </r>
  <r>
    <n v="102"/>
    <x v="1"/>
    <n v="9"/>
    <n v="8"/>
    <n v="5"/>
    <n v="8"/>
    <x v="1"/>
    <x v="11"/>
  </r>
  <r>
    <n v="102"/>
    <x v="2"/>
    <n v="9"/>
    <n v="2"/>
    <n v="1"/>
    <n v="1"/>
    <x v="1"/>
    <x v="11"/>
  </r>
  <r>
    <n v="103"/>
    <x v="1"/>
    <n v="9"/>
    <n v="9"/>
    <n v="7"/>
    <n v="12"/>
    <x v="1"/>
    <x v="12"/>
  </r>
  <r>
    <n v="103"/>
    <x v="3"/>
    <n v="9"/>
    <n v="3"/>
    <n v="3"/>
    <n v="5"/>
    <x v="1"/>
    <x v="12"/>
  </r>
  <r>
    <n v="104"/>
    <x v="1"/>
    <n v="9"/>
    <n v="6"/>
    <n v="2"/>
    <n v="4"/>
    <x v="1"/>
    <x v="13"/>
  </r>
  <r>
    <n v="104"/>
    <x v="3"/>
    <n v="9"/>
    <n v="7"/>
    <n v="1"/>
    <n v="1"/>
    <x v="1"/>
    <x v="13"/>
  </r>
  <r>
    <n v="105"/>
    <x v="1"/>
    <n v="9"/>
    <n v="8"/>
    <n v="3"/>
    <n v="3"/>
    <x v="1"/>
    <x v="14"/>
  </r>
  <r>
    <n v="105"/>
    <x v="3"/>
    <n v="9"/>
    <n v="3"/>
    <n v="1"/>
    <n v="1"/>
    <x v="1"/>
    <x v="14"/>
  </r>
  <r>
    <n v="106"/>
    <x v="1"/>
    <n v="9"/>
    <n v="7"/>
    <n v="2"/>
    <n v="3"/>
    <x v="1"/>
    <x v="14"/>
  </r>
  <r>
    <n v="106"/>
    <x v="3"/>
    <n v="9"/>
    <n v="5"/>
    <n v="2"/>
    <n v="2"/>
    <x v="1"/>
    <x v="14"/>
  </r>
  <r>
    <n v="107"/>
    <x v="1"/>
    <n v="9"/>
    <n v="7"/>
    <n v="4"/>
    <n v="5"/>
    <x v="1"/>
    <x v="15"/>
  </r>
  <r>
    <n v="107"/>
    <x v="0"/>
    <n v="9"/>
    <n v="8"/>
    <n v="3"/>
    <n v="6"/>
    <x v="1"/>
    <x v="15"/>
  </r>
  <r>
    <n v="108"/>
    <x v="1"/>
    <n v="9"/>
    <n v="7"/>
    <n v="4"/>
    <n v="6"/>
    <x v="1"/>
    <x v="16"/>
  </r>
  <r>
    <n v="108"/>
    <x v="0"/>
    <n v="9"/>
    <n v="9"/>
    <n v="4"/>
    <n v="8"/>
    <x v="1"/>
    <x v="16"/>
  </r>
  <r>
    <n v="109"/>
    <x v="0"/>
    <n v="9"/>
    <n v="9"/>
    <n v="4"/>
    <n v="5"/>
    <x v="1"/>
    <x v="17"/>
  </r>
  <r>
    <n v="109"/>
    <x v="1"/>
    <n v="9"/>
    <n v="7"/>
    <n v="3"/>
    <n v="8"/>
    <x v="1"/>
    <x v="17"/>
  </r>
  <r>
    <n v="110"/>
    <x v="0"/>
    <n v="9"/>
    <n v="7"/>
    <n v="3"/>
    <n v="5"/>
    <x v="1"/>
    <x v="18"/>
  </r>
  <r>
    <n v="110"/>
    <x v="1"/>
    <n v="9"/>
    <n v="8"/>
    <n v="1"/>
    <n v="3"/>
    <x v="1"/>
    <x v="18"/>
  </r>
  <r>
    <n v="111"/>
    <x v="0"/>
    <n v="9"/>
    <n v="8"/>
    <n v="4"/>
    <n v="7"/>
    <x v="1"/>
    <x v="19"/>
  </r>
  <r>
    <n v="111"/>
    <x v="1"/>
    <n v="9"/>
    <n v="8"/>
    <n v="2"/>
    <n v="4"/>
    <x v="1"/>
    <x v="19"/>
  </r>
  <r>
    <n v="112"/>
    <x v="3"/>
    <n v="9"/>
    <n v="6"/>
    <n v="3"/>
    <n v="4"/>
    <x v="1"/>
    <x v="19"/>
  </r>
  <r>
    <n v="112"/>
    <x v="2"/>
    <n v="9"/>
    <n v="3"/>
    <n v="2"/>
    <n v="6"/>
    <x v="1"/>
    <x v="19"/>
  </r>
  <r>
    <n v="112"/>
    <x v="0"/>
    <n v="9"/>
    <n v="9"/>
    <n v="2"/>
    <n v="3"/>
    <x v="1"/>
    <x v="19"/>
  </r>
  <r>
    <n v="112"/>
    <x v="1"/>
    <n v="9"/>
    <n v="8"/>
    <n v="1"/>
    <n v="1"/>
    <x v="1"/>
    <x v="19"/>
  </r>
  <r>
    <n v="113"/>
    <x v="0"/>
    <n v="9"/>
    <n v="9"/>
    <n v="7"/>
    <n v="12"/>
    <x v="1"/>
    <x v="20"/>
  </r>
  <r>
    <n v="113"/>
    <x v="1"/>
    <n v="9"/>
    <n v="9"/>
    <n v="3"/>
    <n v="7"/>
    <x v="1"/>
    <x v="20"/>
  </r>
  <r>
    <n v="114"/>
    <x v="1"/>
    <n v="9"/>
    <n v="7"/>
    <n v="4"/>
    <n v="11"/>
    <x v="1"/>
    <x v="20"/>
  </r>
  <r>
    <n v="114"/>
    <x v="3"/>
    <n v="9"/>
    <n v="4"/>
    <n v="1"/>
    <n v="1"/>
    <x v="1"/>
    <x v="20"/>
  </r>
  <r>
    <n v="114"/>
    <x v="0"/>
    <n v="9"/>
    <n v="8"/>
    <n v="0"/>
    <n v="0"/>
    <x v="1"/>
    <x v="20"/>
  </r>
  <r>
    <n v="115"/>
    <x v="0"/>
    <n v="9"/>
    <n v="8"/>
    <n v="5"/>
    <n v="14"/>
    <x v="0"/>
    <x v="20"/>
  </r>
  <r>
    <n v="115"/>
    <x v="1"/>
    <n v="9"/>
    <n v="8"/>
    <n v="5"/>
    <n v="10"/>
    <x v="0"/>
    <x v="20"/>
  </r>
  <r>
    <n v="115"/>
    <x v="3"/>
    <n v="9"/>
    <n v="6"/>
    <n v="2"/>
    <n v="2"/>
    <x v="0"/>
    <x v="20"/>
  </r>
  <r>
    <n v="116"/>
    <x v="1"/>
    <n v="12"/>
    <n v="10"/>
    <n v="4"/>
    <n v="10"/>
    <x v="1"/>
    <x v="21"/>
  </r>
  <r>
    <n v="116"/>
    <x v="0"/>
    <n v="12"/>
    <n v="10"/>
    <n v="4"/>
    <n v="7"/>
    <x v="1"/>
    <x v="21"/>
  </r>
  <r>
    <n v="117"/>
    <x v="0"/>
    <n v="9"/>
    <n v="9"/>
    <n v="5"/>
    <n v="14"/>
    <x v="2"/>
    <x v="21"/>
  </r>
  <r>
    <n v="117"/>
    <x v="1"/>
    <n v="9"/>
    <n v="7"/>
    <n v="2"/>
    <n v="2"/>
    <x v="2"/>
    <x v="21"/>
  </r>
  <r>
    <n v="118"/>
    <x v="0"/>
    <n v="9"/>
    <n v="7"/>
    <n v="4"/>
    <n v="9"/>
    <x v="0"/>
    <x v="21"/>
  </r>
  <r>
    <n v="118"/>
    <x v="1"/>
    <n v="9"/>
    <n v="8"/>
    <n v="2"/>
    <n v="5"/>
    <x v="0"/>
    <x v="21"/>
  </r>
  <r>
    <n v="119"/>
    <x v="1"/>
    <n v="9"/>
    <n v="9"/>
    <n v="6"/>
    <n v="13"/>
    <x v="1"/>
    <x v="22"/>
  </r>
  <r>
    <n v="119"/>
    <x v="0"/>
    <n v="9"/>
    <n v="9"/>
    <n v="4"/>
    <n v="8"/>
    <x v="1"/>
    <x v="22"/>
  </r>
  <r>
    <n v="120"/>
    <x v="0"/>
    <n v="12"/>
    <n v="12"/>
    <n v="6"/>
    <n v="12"/>
    <x v="1"/>
    <x v="22"/>
  </r>
  <r>
    <n v="120"/>
    <x v="1"/>
    <n v="12"/>
    <n v="12"/>
    <n v="5"/>
    <n v="8"/>
    <x v="1"/>
    <x v="22"/>
  </r>
  <r>
    <n v="121"/>
    <x v="0"/>
    <n v="9"/>
    <n v="7"/>
    <n v="5"/>
    <n v="10"/>
    <x v="1"/>
    <x v="23"/>
  </r>
  <r>
    <n v="121"/>
    <x v="1"/>
    <n v="9"/>
    <n v="7"/>
    <n v="4"/>
    <n v="6"/>
    <x v="1"/>
    <x v="23"/>
  </r>
  <r>
    <n v="122"/>
    <x v="1"/>
    <n v="9"/>
    <n v="7"/>
    <n v="6"/>
    <n v="11"/>
    <x v="0"/>
    <x v="23"/>
  </r>
  <r>
    <n v="122"/>
    <x v="0"/>
    <n v="9"/>
    <n v="7"/>
    <n v="3"/>
    <n v="7"/>
    <x v="0"/>
    <x v="23"/>
  </r>
  <r>
    <n v="123"/>
    <x v="0"/>
    <n v="9"/>
    <n v="8"/>
    <n v="4"/>
    <n v="11"/>
    <x v="2"/>
    <x v="23"/>
  </r>
  <r>
    <n v="123"/>
    <x v="1"/>
    <n v="9"/>
    <n v="8"/>
    <n v="2"/>
    <n v="3"/>
    <x v="2"/>
    <x v="23"/>
  </r>
  <r>
    <n v="124"/>
    <x v="1"/>
    <n v="9"/>
    <n v="7"/>
    <n v="4"/>
    <n v="12"/>
    <x v="1"/>
    <x v="24"/>
  </r>
  <r>
    <n v="124"/>
    <x v="5"/>
    <n v="9"/>
    <n v="2"/>
    <n v="1"/>
    <n v="2"/>
    <x v="1"/>
    <x v="24"/>
  </r>
  <r>
    <n v="125"/>
    <x v="1"/>
    <n v="9"/>
    <n v="8"/>
    <n v="6"/>
    <n v="10"/>
    <x v="1"/>
    <x v="24"/>
  </r>
  <r>
    <n v="125"/>
    <x v="0"/>
    <n v="9"/>
    <n v="9"/>
    <n v="3"/>
    <n v="9"/>
    <x v="1"/>
    <x v="24"/>
  </r>
  <r>
    <n v="126"/>
    <x v="0"/>
    <n v="15"/>
    <n v="13"/>
    <n v="4"/>
    <n v="9"/>
    <x v="1"/>
    <x v="25"/>
  </r>
  <r>
    <n v="126"/>
    <x v="1"/>
    <n v="15"/>
    <n v="13"/>
    <n v="3"/>
    <n v="5"/>
    <x v="1"/>
    <x v="25"/>
  </r>
  <r>
    <n v="127"/>
    <x v="1"/>
    <n v="9"/>
    <n v="9"/>
    <n v="5"/>
    <n v="11"/>
    <x v="1"/>
    <x v="25"/>
  </r>
  <r>
    <n v="127"/>
    <x v="3"/>
    <n v="9"/>
    <n v="4"/>
    <n v="2"/>
    <n v="4"/>
    <x v="1"/>
    <x v="25"/>
  </r>
  <r>
    <n v="127"/>
    <x v="0"/>
    <n v="9"/>
    <n v="9"/>
    <n v="2"/>
    <n v="2"/>
    <x v="1"/>
    <x v="25"/>
  </r>
  <r>
    <n v="128"/>
    <x v="0"/>
    <n v="9"/>
    <n v="8"/>
    <n v="5"/>
    <n v="7"/>
    <x v="1"/>
    <x v="25"/>
  </r>
  <r>
    <n v="128"/>
    <x v="1"/>
    <n v="9"/>
    <n v="8"/>
    <n v="2"/>
    <n v="2"/>
    <x v="1"/>
    <x v="25"/>
  </r>
  <r>
    <n v="129"/>
    <x v="1"/>
    <n v="9"/>
    <n v="8"/>
    <n v="4"/>
    <n v="7"/>
    <x v="1"/>
    <x v="26"/>
  </r>
  <r>
    <n v="129"/>
    <x v="0"/>
    <n v="9"/>
    <n v="9"/>
    <n v="0"/>
    <n v="0"/>
    <x v="1"/>
    <x v="26"/>
  </r>
  <r>
    <n v="130"/>
    <x v="0"/>
    <n v="9"/>
    <n v="9"/>
    <n v="6"/>
    <n v="14"/>
    <x v="1"/>
    <x v="26"/>
  </r>
  <r>
    <n v="130"/>
    <x v="5"/>
    <n v="9"/>
    <n v="4"/>
    <n v="1"/>
    <n v="1"/>
    <x v="1"/>
    <x v="26"/>
  </r>
  <r>
    <n v="130"/>
    <x v="1"/>
    <n v="9"/>
    <n v="7"/>
    <n v="0"/>
    <n v="0"/>
    <x v="1"/>
    <x v="26"/>
  </r>
  <r>
    <n v="131"/>
    <x v="0"/>
    <n v="12"/>
    <n v="12"/>
    <n v="5"/>
    <n v="9"/>
    <x v="1"/>
    <x v="26"/>
  </r>
  <r>
    <n v="131"/>
    <x v="1"/>
    <n v="12"/>
    <n v="10"/>
    <n v="5"/>
    <n v="7"/>
    <x v="1"/>
    <x v="26"/>
  </r>
  <r>
    <n v="132"/>
    <x v="0"/>
    <n v="9"/>
    <n v="9"/>
    <n v="4"/>
    <n v="10"/>
    <x v="1"/>
    <x v="27"/>
  </r>
  <r>
    <n v="132"/>
    <x v="1"/>
    <n v="9"/>
    <n v="8"/>
    <n v="2"/>
    <n v="4"/>
    <x v="1"/>
    <x v="27"/>
  </r>
  <r>
    <n v="132"/>
    <x v="5"/>
    <n v="9"/>
    <n v="4"/>
    <n v="2"/>
    <n v="4"/>
    <x v="1"/>
    <x v="27"/>
  </r>
  <r>
    <n v="133"/>
    <x v="0"/>
    <n v="9"/>
    <n v="9"/>
    <n v="5"/>
    <n v="10"/>
    <x v="1"/>
    <x v="27"/>
  </r>
  <r>
    <n v="133"/>
    <x v="1"/>
    <n v="9"/>
    <n v="8"/>
    <n v="3"/>
    <n v="4"/>
    <x v="1"/>
    <x v="27"/>
  </r>
  <r>
    <n v="134"/>
    <x v="0"/>
    <n v="9"/>
    <n v="9"/>
    <n v="3"/>
    <n v="6"/>
    <x v="1"/>
    <x v="28"/>
  </r>
  <r>
    <n v="134"/>
    <x v="5"/>
    <n v="9"/>
    <n v="5"/>
    <n v="1"/>
    <n v="3"/>
    <x v="1"/>
    <x v="28"/>
  </r>
  <r>
    <n v="135"/>
    <x v="0"/>
    <n v="9"/>
    <n v="8"/>
    <n v="6"/>
    <n v="16"/>
    <x v="1"/>
    <x v="28"/>
  </r>
  <r>
    <n v="135"/>
    <x v="1"/>
    <n v="9"/>
    <n v="5"/>
    <n v="0"/>
    <n v="0"/>
    <x v="1"/>
    <x v="28"/>
  </r>
  <r>
    <n v="136"/>
    <x v="1"/>
    <n v="9"/>
    <n v="8"/>
    <n v="4"/>
    <n v="9"/>
    <x v="0"/>
    <x v="28"/>
  </r>
  <r>
    <n v="136"/>
    <x v="0"/>
    <n v="9"/>
    <n v="7"/>
    <n v="2"/>
    <n v="4"/>
    <x v="0"/>
    <x v="28"/>
  </r>
  <r>
    <n v="137"/>
    <x v="1"/>
    <n v="9"/>
    <n v="9"/>
    <n v="4"/>
    <n v="9"/>
    <x v="1"/>
    <x v="29"/>
  </r>
  <r>
    <n v="137"/>
    <x v="5"/>
    <n v="9"/>
    <n v="5"/>
    <n v="1"/>
    <n v="1"/>
    <x v="1"/>
    <x v="29"/>
  </r>
  <r>
    <n v="137"/>
    <x v="0"/>
    <n v="9"/>
    <n v="9"/>
    <n v="1"/>
    <n v="5"/>
    <x v="1"/>
    <x v="29"/>
  </r>
  <r>
    <n v="138"/>
    <x v="0"/>
    <n v="9"/>
    <n v="8"/>
    <n v="5"/>
    <n v="13"/>
    <x v="0"/>
    <x v="29"/>
  </r>
  <r>
    <n v="138"/>
    <x v="5"/>
    <n v="9"/>
    <n v="5"/>
    <n v="3"/>
    <n v="3"/>
    <x v="0"/>
    <x v="29"/>
  </r>
  <r>
    <n v="138"/>
    <x v="1"/>
    <n v="9"/>
    <n v="5"/>
    <n v="2"/>
    <n v="3"/>
    <x v="0"/>
    <x v="29"/>
  </r>
  <r>
    <n v="139"/>
    <x v="1"/>
    <n v="9"/>
    <n v="9"/>
    <n v="3"/>
    <n v="4"/>
    <x v="1"/>
    <x v="29"/>
  </r>
  <r>
    <n v="139"/>
    <x v="3"/>
    <n v="9"/>
    <n v="5"/>
    <n v="3"/>
    <n v="5"/>
    <x v="1"/>
    <x v="29"/>
  </r>
  <r>
    <n v="139"/>
    <x v="0"/>
    <n v="9"/>
    <n v="8"/>
    <n v="2"/>
    <n v="4"/>
    <x v="1"/>
    <x v="29"/>
  </r>
  <r>
    <n v="140"/>
    <x v="1"/>
    <n v="12"/>
    <n v="12"/>
    <n v="8"/>
    <n v="14"/>
    <x v="1"/>
    <x v="30"/>
  </r>
  <r>
    <n v="140"/>
    <x v="0"/>
    <n v="12"/>
    <n v="12"/>
    <n v="4"/>
    <n v="8"/>
    <x v="1"/>
    <x v="30"/>
  </r>
  <r>
    <n v="140"/>
    <x v="5"/>
    <n v="9"/>
    <n v="5"/>
    <n v="2"/>
    <n v="2"/>
    <x v="1"/>
    <x v="30"/>
  </r>
  <r>
    <n v="141"/>
    <x v="1"/>
    <n v="9"/>
    <n v="8"/>
    <n v="5"/>
    <n v="14"/>
    <x v="0"/>
    <x v="30"/>
  </r>
  <r>
    <n v="141"/>
    <x v="0"/>
    <n v="9"/>
    <n v="7"/>
    <n v="4"/>
    <n v="3"/>
    <x v="0"/>
    <x v="30"/>
  </r>
  <r>
    <n v="141"/>
    <x v="3"/>
    <n v="9"/>
    <n v="6"/>
    <n v="3"/>
    <n v="5"/>
    <x v="0"/>
    <x v="30"/>
  </r>
  <r>
    <n v="142"/>
    <x v="1"/>
    <n v="9"/>
    <n v="9"/>
    <n v="5"/>
    <n v="8"/>
    <x v="1"/>
    <x v="30"/>
  </r>
  <r>
    <n v="142"/>
    <x v="3"/>
    <n v="9"/>
    <n v="6"/>
    <n v="3"/>
    <n v="4"/>
    <x v="1"/>
    <x v="30"/>
  </r>
  <r>
    <n v="142"/>
    <x v="0"/>
    <n v="9"/>
    <n v="9"/>
    <n v="2"/>
    <n v="6"/>
    <x v="1"/>
    <x v="30"/>
  </r>
  <r>
    <n v="143"/>
    <x v="1"/>
    <n v="9"/>
    <n v="9"/>
    <n v="4"/>
    <n v="10"/>
    <x v="1"/>
    <x v="31"/>
  </r>
  <r>
    <n v="143"/>
    <x v="5"/>
    <n v="9"/>
    <n v="5"/>
    <n v="3"/>
    <n v="8"/>
    <x v="1"/>
    <x v="31"/>
  </r>
  <r>
    <n v="143"/>
    <x v="3"/>
    <n v="9"/>
    <n v="6"/>
    <n v="2"/>
    <n v="3"/>
    <x v="1"/>
    <x v="31"/>
  </r>
  <r>
    <n v="143"/>
    <x v="0"/>
    <n v="9"/>
    <n v="9"/>
    <n v="2"/>
    <n v="4"/>
    <x v="1"/>
    <x v="31"/>
  </r>
  <r>
    <n v="144"/>
    <x v="0"/>
    <n v="9"/>
    <n v="9"/>
    <n v="7"/>
    <n v="17"/>
    <x v="1"/>
    <x v="31"/>
  </r>
  <r>
    <n v="144"/>
    <x v="1"/>
    <n v="9"/>
    <n v="6"/>
    <n v="5"/>
    <n v="9"/>
    <x v="1"/>
    <x v="31"/>
  </r>
  <r>
    <n v="144"/>
    <x v="3"/>
    <n v="9"/>
    <n v="4"/>
    <n v="2"/>
    <n v="2"/>
    <x v="1"/>
    <x v="31"/>
  </r>
  <r>
    <n v="145"/>
    <x v="0"/>
    <n v="9"/>
    <n v="9"/>
    <n v="4"/>
    <n v="5"/>
    <x v="1"/>
    <x v="32"/>
  </r>
  <r>
    <n v="145"/>
    <x v="1"/>
    <n v="9"/>
    <n v="7"/>
    <n v="2"/>
    <n v="4"/>
    <x v="1"/>
    <x v="32"/>
  </r>
  <r>
    <n v="145"/>
    <x v="5"/>
    <n v="9"/>
    <n v="5"/>
    <n v="1"/>
    <n v="1"/>
    <x v="1"/>
    <x v="32"/>
  </r>
  <r>
    <n v="146"/>
    <x v="1"/>
    <n v="9"/>
    <n v="8"/>
    <n v="5"/>
    <n v="13"/>
    <x v="0"/>
    <x v="32"/>
  </r>
  <r>
    <n v="146"/>
    <x v="0"/>
    <n v="9"/>
    <n v="9"/>
    <n v="4"/>
    <n v="9"/>
    <x v="0"/>
    <x v="32"/>
  </r>
  <r>
    <n v="146"/>
    <x v="5"/>
    <n v="9"/>
    <n v="4"/>
    <n v="1"/>
    <n v="3"/>
    <x v="0"/>
    <x v="32"/>
  </r>
  <r>
    <n v="147"/>
    <x v="0"/>
    <n v="9"/>
    <n v="7"/>
    <n v="5"/>
    <n v="15"/>
    <x v="2"/>
    <x v="32"/>
  </r>
  <r>
    <n v="147"/>
    <x v="5"/>
    <n v="9"/>
    <n v="6"/>
    <n v="2"/>
    <n v="3"/>
    <x v="2"/>
    <x v="32"/>
  </r>
  <r>
    <n v="147"/>
    <x v="1"/>
    <n v="9"/>
    <n v="6"/>
    <n v="2"/>
    <n v="4"/>
    <x v="2"/>
    <x v="32"/>
  </r>
  <r>
    <n v="148"/>
    <x v="3"/>
    <n v="9"/>
    <n v="5"/>
    <n v="3"/>
    <n v="5"/>
    <x v="1"/>
    <x v="33"/>
  </r>
  <r>
    <n v="148"/>
    <x v="5"/>
    <n v="9"/>
    <n v="5"/>
    <n v="2"/>
    <n v="4"/>
    <x v="1"/>
    <x v="33"/>
  </r>
  <r>
    <n v="148"/>
    <x v="0"/>
    <n v="9"/>
    <n v="8"/>
    <n v="1"/>
    <n v="1"/>
    <x v="1"/>
    <x v="33"/>
  </r>
  <r>
    <n v="149"/>
    <x v="0"/>
    <n v="9"/>
    <n v="8"/>
    <n v="5"/>
    <n v="9"/>
    <x v="1"/>
    <x v="33"/>
  </r>
  <r>
    <n v="149"/>
    <x v="5"/>
    <n v="9"/>
    <n v="3"/>
    <n v="2"/>
    <n v="6"/>
    <x v="1"/>
    <x v="33"/>
  </r>
  <r>
    <n v="149"/>
    <x v="3"/>
    <n v="9"/>
    <n v="4"/>
    <n v="1"/>
    <n v="5"/>
    <x v="1"/>
    <x v="33"/>
  </r>
  <r>
    <n v="150"/>
    <x v="0"/>
    <n v="9"/>
    <n v="9"/>
    <n v="5"/>
    <n v="9"/>
    <x v="1"/>
    <x v="33"/>
  </r>
  <r>
    <n v="150"/>
    <x v="5"/>
    <n v="9"/>
    <n v="6"/>
    <n v="4"/>
    <n v="11"/>
    <x v="1"/>
    <x v="33"/>
  </r>
  <r>
    <n v="151"/>
    <x v="0"/>
    <n v="9"/>
    <n v="9"/>
    <n v="5"/>
    <n v="17"/>
    <x v="1"/>
    <x v="34"/>
  </r>
  <r>
    <n v="151"/>
    <x v="5"/>
    <n v="9"/>
    <n v="4"/>
    <n v="2"/>
    <n v="6"/>
    <x v="1"/>
    <x v="34"/>
  </r>
  <r>
    <n v="152"/>
    <x v="0"/>
    <n v="12"/>
    <n v="12"/>
    <n v="5"/>
    <n v="11"/>
    <x v="0"/>
    <x v="34"/>
  </r>
  <r>
    <n v="152"/>
    <x v="5"/>
    <n v="12"/>
    <n v="6"/>
    <n v="4"/>
    <n v="5"/>
    <x v="0"/>
    <x v="34"/>
  </r>
  <r>
    <n v="153"/>
    <x v="5"/>
    <n v="9"/>
    <n v="7"/>
    <n v="4"/>
    <n v="10"/>
    <x v="1"/>
    <x v="35"/>
  </r>
  <r>
    <n v="153"/>
    <x v="0"/>
    <n v="9"/>
    <n v="9"/>
    <n v="2"/>
    <n v="4"/>
    <x v="1"/>
    <x v="35"/>
  </r>
  <r>
    <n v="154"/>
    <x v="5"/>
    <n v="9"/>
    <n v="7"/>
    <n v="3"/>
    <n v="2"/>
    <x v="0"/>
    <x v="35"/>
  </r>
  <r>
    <n v="154"/>
    <x v="0"/>
    <n v="9"/>
    <n v="5"/>
    <n v="2"/>
    <n v="5"/>
    <x v="0"/>
    <x v="35"/>
  </r>
  <r>
    <n v="155"/>
    <x v="0"/>
    <n v="9"/>
    <n v="8"/>
    <n v="4"/>
    <n v="9"/>
    <x v="1"/>
    <x v="35"/>
  </r>
  <r>
    <n v="155"/>
    <x v="5"/>
    <n v="9"/>
    <n v="4"/>
    <n v="1"/>
    <n v="1"/>
    <x v="1"/>
    <x v="35"/>
  </r>
  <r>
    <n v="156"/>
    <x v="0"/>
    <n v="9"/>
    <n v="9"/>
    <n v="5"/>
    <n v="13"/>
    <x v="1"/>
    <x v="36"/>
  </r>
  <r>
    <n v="156"/>
    <x v="5"/>
    <n v="9"/>
    <n v="3"/>
    <n v="1"/>
    <n v="1"/>
    <x v="1"/>
    <x v="36"/>
  </r>
  <r>
    <n v="157"/>
    <x v="0"/>
    <n v="15"/>
    <n v="12"/>
    <n v="4"/>
    <n v="4"/>
    <x v="2"/>
    <x v="36"/>
  </r>
  <r>
    <n v="157"/>
    <x v="5"/>
    <n v="15"/>
    <n v="4"/>
    <n v="2"/>
    <n v="3"/>
    <x v="2"/>
    <x v="36"/>
  </r>
  <r>
    <n v="158"/>
    <x v="0"/>
    <n v="9"/>
    <n v="9"/>
    <n v="4"/>
    <n v="6"/>
    <x v="0"/>
    <x v="36"/>
  </r>
  <r>
    <n v="158"/>
    <x v="5"/>
    <n v="9"/>
    <n v="4"/>
    <n v="0"/>
    <n v="0"/>
    <x v="0"/>
    <x v="36"/>
  </r>
  <r>
    <n v="159"/>
    <x v="0"/>
    <n v="9"/>
    <n v="9"/>
    <n v="5"/>
    <n v="12"/>
    <x v="1"/>
    <x v="37"/>
  </r>
  <r>
    <n v="159"/>
    <x v="5"/>
    <n v="9"/>
    <n v="6"/>
    <n v="3"/>
    <n v="6"/>
    <x v="1"/>
    <x v="37"/>
  </r>
  <r>
    <n v="160"/>
    <x v="5"/>
    <n v="9"/>
    <n v="2"/>
    <n v="1"/>
    <n v="1"/>
    <x v="1"/>
    <x v="37"/>
  </r>
  <r>
    <n v="160"/>
    <x v="0"/>
    <n v="9"/>
    <n v="8"/>
    <n v="1"/>
    <n v="3"/>
    <x v="1"/>
    <x v="37"/>
  </r>
  <r>
    <n v="161"/>
    <x v="0"/>
    <n v="9"/>
    <n v="9"/>
    <n v="6"/>
    <n v="15"/>
    <x v="1"/>
    <x v="37"/>
  </r>
  <r>
    <n v="161"/>
    <x v="5"/>
    <n v="9"/>
    <n v="4"/>
    <n v="1"/>
    <n v="1"/>
    <x v="1"/>
    <x v="37"/>
  </r>
  <r>
    <n v="162"/>
    <x v="5"/>
    <n v="9"/>
    <n v="6"/>
    <n v="5"/>
    <n v="6"/>
    <x v="1"/>
    <x v="38"/>
  </r>
  <r>
    <n v="162"/>
    <x v="0"/>
    <n v="9"/>
    <n v="9"/>
    <n v="4"/>
    <n v="9"/>
    <x v="1"/>
    <x v="38"/>
  </r>
  <r>
    <n v="163"/>
    <x v="5"/>
    <n v="9"/>
    <n v="7"/>
    <n v="4"/>
    <n v="7"/>
    <x v="1"/>
    <x v="38"/>
  </r>
  <r>
    <n v="163"/>
    <x v="0"/>
    <n v="9"/>
    <n v="9"/>
    <n v="3"/>
    <n v="6"/>
    <x v="1"/>
    <x v="38"/>
  </r>
  <r>
    <n v="164"/>
    <x v="5"/>
    <n v="9"/>
    <n v="6"/>
    <n v="3"/>
    <n v="4"/>
    <x v="1"/>
    <x v="38"/>
  </r>
  <r>
    <n v="164"/>
    <x v="0"/>
    <n v="9"/>
    <n v="8"/>
    <n v="1"/>
    <n v="2"/>
    <x v="1"/>
    <x v="38"/>
  </r>
  <r>
    <n v="165"/>
    <x v="5"/>
    <n v="9"/>
    <n v="7"/>
    <n v="5"/>
    <n v="9"/>
    <x v="1"/>
    <x v="39"/>
  </r>
  <r>
    <n v="165"/>
    <x v="0"/>
    <n v="9"/>
    <n v="9"/>
    <n v="3"/>
    <n v="4"/>
    <x v="1"/>
    <x v="39"/>
  </r>
  <r>
    <n v="165"/>
    <x v="1"/>
    <n v="9"/>
    <n v="7"/>
    <n v="0"/>
    <n v="0"/>
    <x v="1"/>
    <x v="39"/>
  </r>
  <r>
    <n v="166"/>
    <x v="0"/>
    <n v="9"/>
    <n v="9"/>
    <n v="4"/>
    <n v="5"/>
    <x v="0"/>
    <x v="39"/>
  </r>
  <r>
    <n v="166"/>
    <x v="5"/>
    <n v="9"/>
    <n v="7"/>
    <n v="4"/>
    <n v="8"/>
    <x v="0"/>
    <x v="39"/>
  </r>
  <r>
    <n v="166"/>
    <x v="1"/>
    <n v="9"/>
    <n v="7"/>
    <n v="3"/>
    <n v="3"/>
    <x v="0"/>
    <x v="39"/>
  </r>
  <r>
    <n v="167"/>
    <x v="0"/>
    <n v="9"/>
    <n v="8"/>
    <n v="4"/>
    <n v="8"/>
    <x v="2"/>
    <x v="39"/>
  </r>
  <r>
    <n v="167"/>
    <x v="5"/>
    <n v="9"/>
    <n v="6"/>
    <n v="2"/>
    <n v="2"/>
    <x v="2"/>
    <x v="39"/>
  </r>
  <r>
    <n v="168"/>
    <x v="0"/>
    <n v="9"/>
    <n v="8"/>
    <n v="5"/>
    <n v="11"/>
    <x v="1"/>
    <x v="40"/>
  </r>
  <r>
    <n v="168"/>
    <x v="1"/>
    <n v="9"/>
    <n v="9"/>
    <n v="2"/>
    <n v="3"/>
    <x v="1"/>
    <x v="40"/>
  </r>
  <r>
    <n v="168"/>
    <x v="5"/>
    <n v="9"/>
    <n v="3"/>
    <n v="0"/>
    <n v="0"/>
    <x v="1"/>
    <x v="40"/>
  </r>
  <r>
    <n v="169"/>
    <x v="0"/>
    <n v="9"/>
    <n v="9"/>
    <n v="5"/>
    <n v="8"/>
    <x v="1"/>
    <x v="40"/>
  </r>
  <r>
    <n v="169"/>
    <x v="5"/>
    <n v="9"/>
    <n v="2"/>
    <n v="2"/>
    <n v="2"/>
    <x v="1"/>
    <x v="40"/>
  </r>
  <r>
    <n v="169"/>
    <x v="1"/>
    <n v="9"/>
    <n v="6"/>
    <n v="1"/>
    <n v="1"/>
    <x v="1"/>
    <x v="40"/>
  </r>
  <r>
    <n v="170"/>
    <x v="0"/>
    <n v="9"/>
    <n v="9"/>
    <n v="4"/>
    <n v="4"/>
    <x v="1"/>
    <x v="41"/>
  </r>
  <r>
    <n v="170"/>
    <x v="1"/>
    <n v="9"/>
    <n v="8"/>
    <n v="4"/>
    <n v="9"/>
    <x v="1"/>
    <x v="41"/>
  </r>
  <r>
    <n v="170"/>
    <x v="5"/>
    <n v="9"/>
    <n v="6"/>
    <n v="2"/>
    <n v="3"/>
    <x v="1"/>
    <x v="41"/>
  </r>
  <r>
    <n v="171"/>
    <x v="1"/>
    <n v="9"/>
    <n v="6"/>
    <n v="4"/>
    <n v="6"/>
    <x v="1"/>
    <x v="41"/>
  </r>
  <r>
    <n v="171"/>
    <x v="0"/>
    <n v="9"/>
    <n v="7"/>
    <n v="2"/>
    <n v="5"/>
    <x v="1"/>
    <x v="41"/>
  </r>
  <r>
    <n v="171"/>
    <x v="5"/>
    <n v="9"/>
    <n v="6"/>
    <n v="1"/>
    <n v="1"/>
    <x v="1"/>
    <x v="41"/>
  </r>
  <r>
    <n v="172"/>
    <x v="0"/>
    <n v="9"/>
    <n v="9"/>
    <n v="6"/>
    <n v="12"/>
    <x v="1"/>
    <x v="41"/>
  </r>
  <r>
    <n v="172"/>
    <x v="5"/>
    <n v="9"/>
    <n v="2"/>
    <n v="0"/>
    <n v="0"/>
    <x v="1"/>
    <x v="41"/>
  </r>
  <r>
    <n v="173"/>
    <x v="5"/>
    <n v="12"/>
    <n v="9"/>
    <n v="1"/>
    <n v="0"/>
    <x v="1"/>
    <x v="42"/>
  </r>
  <r>
    <n v="173"/>
    <x v="1"/>
    <n v="12"/>
    <n v="4"/>
    <n v="0"/>
    <n v="1"/>
    <x v="1"/>
    <x v="42"/>
  </r>
  <r>
    <n v="174"/>
    <x v="5"/>
    <n v="9"/>
    <n v="5"/>
    <n v="3"/>
    <n v="3"/>
    <x v="1"/>
    <x v="42"/>
  </r>
  <r>
    <n v="174"/>
    <x v="1"/>
    <n v="9"/>
    <n v="8"/>
    <n v="2"/>
    <n v="5"/>
    <x v="1"/>
    <x v="42"/>
  </r>
  <r>
    <n v="175"/>
    <x v="1"/>
    <n v="9"/>
    <n v="7"/>
    <n v="2"/>
    <n v="4"/>
    <x v="0"/>
    <x v="42"/>
  </r>
  <r>
    <n v="175"/>
    <x v="5"/>
    <n v="9"/>
    <n v="3"/>
    <n v="1"/>
    <n v="1"/>
    <x v="0"/>
    <x v="42"/>
  </r>
  <r>
    <n v="176"/>
    <x v="0"/>
    <n v="9"/>
    <n v="9"/>
    <n v="4"/>
    <n v="8"/>
    <x v="1"/>
    <x v="43"/>
  </r>
  <r>
    <n v="176"/>
    <x v="1"/>
    <n v="9"/>
    <n v="8"/>
    <n v="3"/>
    <n v="6"/>
    <x v="1"/>
    <x v="43"/>
  </r>
  <r>
    <n v="177"/>
    <x v="1"/>
    <n v="9"/>
    <n v="8"/>
    <n v="4"/>
    <n v="7"/>
    <x v="0"/>
    <x v="43"/>
  </r>
  <r>
    <n v="177"/>
    <x v="0"/>
    <n v="9"/>
    <n v="9"/>
    <n v="2"/>
    <n v="3"/>
    <x v="0"/>
    <x v="43"/>
  </r>
  <r>
    <n v="178"/>
    <x v="0"/>
    <n v="9"/>
    <n v="9"/>
    <n v="5"/>
    <n v="9"/>
    <x v="1"/>
    <x v="44"/>
  </r>
  <r>
    <n v="178"/>
    <x v="1"/>
    <n v="9"/>
    <n v="9"/>
    <n v="3"/>
    <n v="5"/>
    <x v="1"/>
    <x v="44"/>
  </r>
  <r>
    <n v="178"/>
    <x v="3"/>
    <n v="9"/>
    <n v="4"/>
    <n v="2"/>
    <n v="2"/>
    <x v="1"/>
    <x v="44"/>
  </r>
  <r>
    <n v="179"/>
    <x v="0"/>
    <n v="9"/>
    <n v="9"/>
    <n v="5"/>
    <n v="6"/>
    <x v="1"/>
    <x v="44"/>
  </r>
  <r>
    <n v="179"/>
    <x v="1"/>
    <n v="9"/>
    <n v="6"/>
    <n v="2"/>
    <n v="3"/>
    <x v="1"/>
    <x v="44"/>
  </r>
  <r>
    <n v="180"/>
    <x v="3"/>
    <n v="9"/>
    <n v="7"/>
    <n v="4"/>
    <n v="8"/>
    <x v="1"/>
    <x v="45"/>
  </r>
  <r>
    <n v="180"/>
    <x v="1"/>
    <n v="9"/>
    <n v="7"/>
    <n v="3"/>
    <n v="5"/>
    <x v="1"/>
    <x v="45"/>
  </r>
  <r>
    <n v="181"/>
    <x v="1"/>
    <n v="9"/>
    <n v="8"/>
    <n v="3"/>
    <n v="4"/>
    <x v="1"/>
    <x v="46"/>
  </r>
  <r>
    <n v="181"/>
    <x v="3"/>
    <n v="9"/>
    <n v="3"/>
    <n v="0"/>
    <n v="0"/>
    <x v="1"/>
    <x v="46"/>
  </r>
  <r>
    <n v="182"/>
    <x v="5"/>
    <n v="12"/>
    <n v="7"/>
    <n v="3"/>
    <n v="3"/>
    <x v="1"/>
    <x v="46"/>
  </r>
  <r>
    <n v="182"/>
    <x v="1"/>
    <n v="12"/>
    <n v="11"/>
    <n v="3"/>
    <n v="4"/>
    <x v="1"/>
    <x v="46"/>
  </r>
  <r>
    <n v="183"/>
    <x v="1"/>
    <n v="9"/>
    <n v="9"/>
    <n v="2"/>
    <n v="5"/>
    <x v="1"/>
    <x v="46"/>
  </r>
  <r>
    <n v="183"/>
    <x v="5"/>
    <n v="9"/>
    <n v="4"/>
    <n v="1"/>
    <n v="3"/>
    <x v="1"/>
    <x v="46"/>
  </r>
  <r>
    <n v="184"/>
    <x v="1"/>
    <n v="9"/>
    <n v="7"/>
    <n v="4"/>
    <n v="8"/>
    <x v="1"/>
    <x v="47"/>
  </r>
  <r>
    <n v="184"/>
    <x v="3"/>
    <n v="9"/>
    <n v="4"/>
    <n v="2"/>
    <n v="2"/>
    <x v="1"/>
    <x v="47"/>
  </r>
  <r>
    <n v="185"/>
    <x v="0"/>
    <n v="9"/>
    <n v="9"/>
    <n v="6"/>
    <n v="11"/>
    <x v="1"/>
    <x v="48"/>
  </r>
  <r>
    <n v="185"/>
    <x v="1"/>
    <n v="9"/>
    <n v="8"/>
    <n v="3"/>
    <n v="6"/>
    <x v="1"/>
    <x v="48"/>
  </r>
  <r>
    <n v="186"/>
    <x v="0"/>
    <n v="9"/>
    <n v="8"/>
    <n v="6"/>
    <n v="10"/>
    <x v="1"/>
    <x v="48"/>
  </r>
  <r>
    <n v="186"/>
    <x v="1"/>
    <n v="9"/>
    <n v="8"/>
    <n v="3"/>
    <n v="7"/>
    <x v="1"/>
    <x v="48"/>
  </r>
  <r>
    <n v="187"/>
    <x v="0"/>
    <n v="9"/>
    <n v="9"/>
    <n v="7"/>
    <n v="13"/>
    <x v="1"/>
    <x v="48"/>
  </r>
  <r>
    <n v="187"/>
    <x v="1"/>
    <n v="9"/>
    <n v="7"/>
    <n v="4"/>
    <n v="4"/>
    <x v="1"/>
    <x v="48"/>
  </r>
  <r>
    <n v="188"/>
    <x v="0"/>
    <n v="9"/>
    <n v="9"/>
    <n v="4"/>
    <n v="8"/>
    <x v="1"/>
    <x v="48"/>
  </r>
  <r>
    <n v="188"/>
    <x v="1"/>
    <n v="9"/>
    <n v="7"/>
    <n v="3"/>
    <n v="6"/>
    <x v="1"/>
    <x v="48"/>
  </r>
  <r>
    <n v="189"/>
    <x v="0"/>
    <n v="9"/>
    <n v="9"/>
    <n v="7"/>
    <n v="16"/>
    <x v="1"/>
    <x v="49"/>
  </r>
  <r>
    <n v="189"/>
    <x v="1"/>
    <n v="9"/>
    <n v="6"/>
    <n v="2"/>
    <n v="6"/>
    <x v="1"/>
    <x v="49"/>
  </r>
  <r>
    <n v="190"/>
    <x v="0"/>
    <n v="12"/>
    <n v="12"/>
    <n v="4"/>
    <n v="9"/>
    <x v="1"/>
    <x v="49"/>
  </r>
  <r>
    <n v="190"/>
    <x v="1"/>
    <n v="12"/>
    <n v="10"/>
    <n v="3"/>
    <n v="5"/>
    <x v="1"/>
    <x v="49"/>
  </r>
  <r>
    <n v="191"/>
    <x v="1"/>
    <n v="9"/>
    <n v="9"/>
    <n v="5"/>
    <n v="7"/>
    <x v="1"/>
    <x v="49"/>
  </r>
  <r>
    <n v="191"/>
    <x v="0"/>
    <n v="9"/>
    <n v="9"/>
    <n v="3"/>
    <n v="5"/>
    <x v="1"/>
    <x v="49"/>
  </r>
  <r>
    <n v="192"/>
    <x v="1"/>
    <n v="9"/>
    <n v="7"/>
    <n v="6"/>
    <n v="9"/>
    <x v="0"/>
    <x v="50"/>
  </r>
  <r>
    <n v="192"/>
    <x v="0"/>
    <n v="9"/>
    <n v="8"/>
    <n v="4"/>
    <n v="8"/>
    <x v="0"/>
    <x v="50"/>
  </r>
  <r>
    <n v="193"/>
    <x v="0"/>
    <n v="9"/>
    <n v="9"/>
    <n v="4"/>
    <n v="8"/>
    <x v="1"/>
    <x v="50"/>
  </r>
  <r>
    <n v="193"/>
    <x v="1"/>
    <n v="9"/>
    <n v="5"/>
    <n v="4"/>
    <n v="10"/>
    <x v="1"/>
    <x v="50"/>
  </r>
  <r>
    <n v="194"/>
    <x v="0"/>
    <n v="9"/>
    <n v="9"/>
    <n v="4"/>
    <n v="9"/>
    <x v="1"/>
    <x v="50"/>
  </r>
  <r>
    <n v="194"/>
    <x v="1"/>
    <n v="9"/>
    <n v="9"/>
    <n v="4"/>
    <n v="7"/>
    <x v="1"/>
    <x v="50"/>
  </r>
  <r>
    <n v="195"/>
    <x v="0"/>
    <n v="9"/>
    <n v="9"/>
    <n v="3"/>
    <n v="6"/>
    <x v="1"/>
    <x v="51"/>
  </r>
  <r>
    <n v="195"/>
    <x v="1"/>
    <n v="9"/>
    <n v="8"/>
    <n v="3"/>
    <n v="5"/>
    <x v="1"/>
    <x v="51"/>
  </r>
  <r>
    <n v="196"/>
    <x v="0"/>
    <n v="9"/>
    <n v="9"/>
    <n v="6"/>
    <n v="13"/>
    <x v="1"/>
    <x v="51"/>
  </r>
  <r>
    <n v="196"/>
    <x v="1"/>
    <n v="9"/>
    <n v="6"/>
    <n v="3"/>
    <n v="3"/>
    <x v="1"/>
    <x v="51"/>
  </r>
  <r>
    <n v="197"/>
    <x v="0"/>
    <n v="9"/>
    <n v="9"/>
    <n v="8"/>
    <n v="18"/>
    <x v="1"/>
    <x v="52"/>
  </r>
  <r>
    <n v="197"/>
    <x v="1"/>
    <n v="9"/>
    <n v="9"/>
    <n v="6"/>
    <n v="11"/>
    <x v="1"/>
    <x v="52"/>
  </r>
  <r>
    <n v="198"/>
    <x v="1"/>
    <n v="9"/>
    <n v="9"/>
    <n v="7"/>
    <n v="16"/>
    <x v="1"/>
    <x v="52"/>
  </r>
  <r>
    <n v="198"/>
    <x v="0"/>
    <n v="9"/>
    <n v="9"/>
    <n v="6"/>
    <n v="9"/>
    <x v="1"/>
    <x v="52"/>
  </r>
  <r>
    <n v="199"/>
    <x v="1"/>
    <n v="9"/>
    <n v="5"/>
    <n v="5"/>
    <n v="7"/>
    <x v="1"/>
    <x v="52"/>
  </r>
  <r>
    <n v="199"/>
    <x v="0"/>
    <n v="9"/>
    <n v="9"/>
    <n v="3"/>
    <n v="9"/>
    <x v="1"/>
    <x v="52"/>
  </r>
  <r>
    <n v="200"/>
    <x v="1"/>
    <n v="9"/>
    <n v="8"/>
    <n v="4"/>
    <n v="7"/>
    <x v="1"/>
    <x v="53"/>
  </r>
  <r>
    <n v="200"/>
    <x v="0"/>
    <n v="9"/>
    <n v="9"/>
    <n v="6"/>
    <n v="14"/>
    <x v="1"/>
    <x v="53"/>
  </r>
  <r>
    <n v="201"/>
    <x v="1"/>
    <n v="9"/>
    <n v="7"/>
    <n v="3"/>
    <n v="6"/>
    <x v="3"/>
    <x v="54"/>
  </r>
  <r>
    <n v="201"/>
    <x v="0"/>
    <n v="9"/>
    <n v="9"/>
    <n v="3"/>
    <n v="9"/>
    <x v="3"/>
    <x v="54"/>
  </r>
  <r>
    <n v="202"/>
    <x v="0"/>
    <n v="9"/>
    <n v="9"/>
    <n v="6"/>
    <n v="19"/>
    <x v="3"/>
    <x v="55"/>
  </r>
  <r>
    <n v="202"/>
    <x v="1"/>
    <n v="9"/>
    <n v="9"/>
    <n v="8"/>
    <n v="12"/>
    <x v="3"/>
    <x v="55"/>
  </r>
  <r>
    <n v="202"/>
    <x v="2"/>
    <n v="9"/>
    <n v="6"/>
    <n v="4"/>
    <n v="4"/>
    <x v="3"/>
    <x v="55"/>
  </r>
  <r>
    <n v="203"/>
    <x v="0"/>
    <n v="9"/>
    <n v="9"/>
    <n v="8"/>
    <n v="18"/>
    <x v="3"/>
    <x v="55"/>
  </r>
  <r>
    <n v="203"/>
    <x v="1"/>
    <n v="9"/>
    <n v="9"/>
    <n v="7"/>
    <n v="13"/>
    <x v="3"/>
    <x v="55"/>
  </r>
  <r>
    <n v="203"/>
    <x v="4"/>
    <n v="9"/>
    <n v="6"/>
    <n v="2"/>
    <n v="1"/>
    <x v="3"/>
    <x v="55"/>
  </r>
  <r>
    <n v="204"/>
    <x v="0"/>
    <n v="12"/>
    <n v="12"/>
    <n v="8"/>
    <n v="18"/>
    <x v="3"/>
    <x v="56"/>
  </r>
  <r>
    <n v="204"/>
    <x v="1"/>
    <n v="12"/>
    <n v="10"/>
    <n v="9"/>
    <n v="14"/>
    <x v="3"/>
    <x v="56"/>
  </r>
  <r>
    <n v="205"/>
    <x v="0"/>
    <n v="9"/>
    <n v="7"/>
    <n v="4"/>
    <n v="8"/>
    <x v="3"/>
    <x v="57"/>
  </r>
  <r>
    <n v="205"/>
    <x v="1"/>
    <n v="9"/>
    <n v="6"/>
    <n v="5"/>
    <n v="9"/>
    <x v="3"/>
    <x v="57"/>
  </r>
  <r>
    <n v="206"/>
    <x v="0"/>
    <n v="9"/>
    <n v="8"/>
    <n v="5"/>
    <n v="8"/>
    <x v="3"/>
    <x v="58"/>
  </r>
  <r>
    <n v="206"/>
    <x v="1"/>
    <n v="9"/>
    <n v="6"/>
    <n v="2"/>
    <n v="3"/>
    <x v="3"/>
    <x v="58"/>
  </r>
  <r>
    <n v="207"/>
    <x v="0"/>
    <n v="9"/>
    <n v="8"/>
    <n v="5"/>
    <n v="12"/>
    <x v="3"/>
    <x v="59"/>
  </r>
  <r>
    <n v="207"/>
    <x v="1"/>
    <n v="9"/>
    <n v="8"/>
    <n v="5"/>
    <n v="9"/>
    <x v="3"/>
    <x v="59"/>
  </r>
  <r>
    <n v="208"/>
    <x v="0"/>
    <n v="12"/>
    <n v="12"/>
    <n v="5"/>
    <n v="10"/>
    <x v="3"/>
    <x v="60"/>
  </r>
  <r>
    <n v="208"/>
    <x v="1"/>
    <n v="12"/>
    <n v="8"/>
    <n v="8"/>
    <n v="12"/>
    <x v="3"/>
    <x v="60"/>
  </r>
  <r>
    <n v="209"/>
    <x v="0"/>
    <n v="9"/>
    <n v="8"/>
    <n v="6"/>
    <n v="10"/>
    <x v="3"/>
    <x v="61"/>
  </r>
  <r>
    <n v="209"/>
    <x v="1"/>
    <n v="9"/>
    <n v="8"/>
    <n v="4"/>
    <n v="9"/>
    <x v="3"/>
    <x v="61"/>
  </r>
  <r>
    <n v="210"/>
    <x v="0"/>
    <n v="9"/>
    <n v="9"/>
    <n v="5"/>
    <n v="15"/>
    <x v="3"/>
    <x v="62"/>
  </r>
  <r>
    <n v="210"/>
    <x v="1"/>
    <n v="9"/>
    <n v="8"/>
    <n v="7"/>
    <n v="11"/>
    <x v="3"/>
    <x v="62"/>
  </r>
  <r>
    <n v="211"/>
    <x v="0"/>
    <n v="9"/>
    <n v="9"/>
    <n v="7"/>
    <n v="17"/>
    <x v="3"/>
    <x v="63"/>
  </r>
  <r>
    <n v="211"/>
    <x v="1"/>
    <n v="9"/>
    <n v="8"/>
    <n v="7"/>
    <n v="11"/>
    <x v="3"/>
    <x v="63"/>
  </r>
  <r>
    <n v="211"/>
    <x v="4"/>
    <n v="9"/>
    <n v="4"/>
    <n v="4"/>
    <n v="10"/>
    <x v="3"/>
    <x v="63"/>
  </r>
  <r>
    <n v="212"/>
    <x v="0"/>
    <n v="9"/>
    <n v="9"/>
    <n v="7"/>
    <n v="15"/>
    <x v="3"/>
    <x v="64"/>
  </r>
  <r>
    <n v="212"/>
    <x v="1"/>
    <n v="9"/>
    <n v="8"/>
    <n v="7"/>
    <n v="9"/>
    <x v="3"/>
    <x v="64"/>
  </r>
  <r>
    <n v="213"/>
    <x v="0"/>
    <n v="9"/>
    <n v="9"/>
    <n v="6"/>
    <n v="14"/>
    <x v="3"/>
    <x v="65"/>
  </r>
  <r>
    <n v="213"/>
    <x v="1"/>
    <n v="9"/>
    <n v="7"/>
    <n v="5"/>
    <n v="9"/>
    <x v="3"/>
    <x v="65"/>
  </r>
  <r>
    <n v="213"/>
    <x v="3"/>
    <n v="9"/>
    <n v="5"/>
    <n v="4"/>
    <n v="8"/>
    <x v="3"/>
    <x v="65"/>
  </r>
  <r>
    <n v="214"/>
    <x v="0"/>
    <n v="9"/>
    <n v="9"/>
    <n v="4"/>
    <n v="8"/>
    <x v="3"/>
    <x v="66"/>
  </r>
  <r>
    <n v="214"/>
    <x v="1"/>
    <n v="9"/>
    <n v="8"/>
    <n v="6"/>
    <n v="9"/>
    <x v="3"/>
    <x v="66"/>
  </r>
  <r>
    <n v="215"/>
    <x v="0"/>
    <n v="9"/>
    <n v="9"/>
    <n v="6"/>
    <n v="14"/>
    <x v="3"/>
    <x v="67"/>
  </r>
  <r>
    <n v="215"/>
    <x v="1"/>
    <n v="9"/>
    <n v="6"/>
    <n v="5"/>
    <n v="8"/>
    <x v="3"/>
    <x v="67"/>
  </r>
  <r>
    <n v="216"/>
    <x v="0"/>
    <n v="9"/>
    <n v="9"/>
    <n v="7"/>
    <n v="17"/>
    <x v="3"/>
    <x v="68"/>
  </r>
  <r>
    <n v="216"/>
    <x v="1"/>
    <n v="9"/>
    <n v="9"/>
    <n v="5"/>
    <n v="10"/>
    <x v="3"/>
    <x v="68"/>
  </r>
  <r>
    <n v="217"/>
    <x v="0"/>
    <n v="9"/>
    <n v="9"/>
    <n v="6"/>
    <n v="12"/>
    <x v="3"/>
    <x v="69"/>
  </r>
  <r>
    <n v="217"/>
    <x v="1"/>
    <n v="9"/>
    <n v="7"/>
    <n v="5"/>
    <n v="6"/>
    <x v="3"/>
    <x v="69"/>
  </r>
  <r>
    <n v="218"/>
    <x v="0"/>
    <n v="9"/>
    <n v="9"/>
    <n v="4"/>
    <n v="8"/>
    <x v="3"/>
    <x v="70"/>
  </r>
  <r>
    <n v="218"/>
    <x v="1"/>
    <n v="9"/>
    <n v="7"/>
    <n v="6"/>
    <n v="10"/>
    <x v="3"/>
    <x v="70"/>
  </r>
  <r>
    <n v="219"/>
    <x v="0"/>
    <n v="9"/>
    <n v="9"/>
    <n v="7"/>
    <n v="16"/>
    <x v="3"/>
    <x v="71"/>
  </r>
  <r>
    <n v="219"/>
    <x v="1"/>
    <n v="9"/>
    <n v="8"/>
    <n v="7"/>
    <n v="10"/>
    <x v="3"/>
    <x v="71"/>
  </r>
  <r>
    <n v="220"/>
    <x v="0"/>
    <n v="9"/>
    <n v="9"/>
    <n v="4"/>
    <n v="8"/>
    <x v="3"/>
    <x v="72"/>
  </r>
  <r>
    <n v="220"/>
    <x v="1"/>
    <n v="9"/>
    <n v="7"/>
    <n v="5"/>
    <n v="10"/>
    <x v="3"/>
    <x v="72"/>
  </r>
  <r>
    <n v="221"/>
    <x v="0"/>
    <n v="9"/>
    <n v="8"/>
    <n v="6"/>
    <n v="8"/>
    <x v="3"/>
    <x v="73"/>
  </r>
  <r>
    <n v="221"/>
    <x v="1"/>
    <n v="9"/>
    <n v="7"/>
    <n v="4"/>
    <n v="6"/>
    <x v="3"/>
    <x v="73"/>
  </r>
  <r>
    <n v="222"/>
    <x v="0"/>
    <n v="9"/>
    <n v="9"/>
    <n v="9"/>
    <n v="14"/>
    <x v="3"/>
    <x v="74"/>
  </r>
  <r>
    <n v="222"/>
    <x v="1"/>
    <n v="9"/>
    <n v="7"/>
    <n v="7"/>
    <n v="12"/>
    <x v="3"/>
    <x v="74"/>
  </r>
  <r>
    <n v="223"/>
    <x v="0"/>
    <n v="9"/>
    <n v="9"/>
    <n v="5"/>
    <n v="12"/>
    <x v="3"/>
    <x v="75"/>
  </r>
  <r>
    <n v="223"/>
    <x v="1"/>
    <n v="9"/>
    <n v="8"/>
    <n v="4"/>
    <n v="11"/>
    <x v="3"/>
    <x v="75"/>
  </r>
  <r>
    <n v="224"/>
    <x v="0"/>
    <n v="9"/>
    <n v="9"/>
    <n v="8"/>
    <n v="14"/>
    <x v="3"/>
    <x v="76"/>
  </r>
  <r>
    <n v="224"/>
    <x v="1"/>
    <n v="9"/>
    <n v="6"/>
    <n v="5"/>
    <n v="8"/>
    <x v="3"/>
    <x v="76"/>
  </r>
  <r>
    <n v="225"/>
    <x v="0"/>
    <n v="9"/>
    <n v="11"/>
    <n v="5"/>
    <n v="7"/>
    <x v="3"/>
    <x v="77"/>
  </r>
  <r>
    <n v="225"/>
    <x v="1"/>
    <n v="9"/>
    <n v="8"/>
    <n v="6"/>
    <n v="10"/>
    <x v="3"/>
    <x v="77"/>
  </r>
  <r>
    <n v="226"/>
    <x v="5"/>
    <n v="9"/>
    <n v="6"/>
    <n v="3"/>
    <n v="3"/>
    <x v="3"/>
    <x v="78"/>
  </r>
  <r>
    <n v="226"/>
    <x v="0"/>
    <n v="9"/>
    <n v="9"/>
    <n v="4"/>
    <n v="5"/>
    <x v="3"/>
    <x v="78"/>
  </r>
  <r>
    <n v="226"/>
    <x v="1"/>
    <n v="9"/>
    <n v="5"/>
    <n v="5"/>
    <n v="12"/>
    <x v="3"/>
    <x v="78"/>
  </r>
  <r>
    <n v="227"/>
    <x v="0"/>
    <n v="9"/>
    <n v="8"/>
    <n v="4"/>
    <n v="11"/>
    <x v="3"/>
    <x v="79"/>
  </r>
  <r>
    <n v="227"/>
    <x v="1"/>
    <n v="9"/>
    <n v="7"/>
    <n v="6"/>
    <n v="12"/>
    <x v="3"/>
    <x v="79"/>
  </r>
  <r>
    <n v="228"/>
    <x v="0"/>
    <n v="9"/>
    <n v="8"/>
    <n v="7"/>
    <n v="15"/>
    <x v="3"/>
    <x v="80"/>
  </r>
  <r>
    <n v="228"/>
    <x v="1"/>
    <n v="9"/>
    <n v="7"/>
    <n v="6"/>
    <n v="11"/>
    <x v="3"/>
    <x v="80"/>
  </r>
  <r>
    <n v="229"/>
    <x v="0"/>
    <n v="9"/>
    <n v="9"/>
    <n v="5"/>
    <n v="15"/>
    <x v="3"/>
    <x v="81"/>
  </r>
  <r>
    <n v="229"/>
    <x v="1"/>
    <n v="9"/>
    <n v="5"/>
    <n v="4"/>
    <n v="10"/>
    <x v="3"/>
    <x v="81"/>
  </r>
  <r>
    <n v="230"/>
    <x v="0"/>
    <n v="9"/>
    <n v="9"/>
    <n v="4"/>
    <n v="9"/>
    <x v="3"/>
    <x v="82"/>
  </r>
  <r>
    <n v="230"/>
    <x v="1"/>
    <n v="9"/>
    <n v="8"/>
    <n v="6"/>
    <n v="10"/>
    <x v="3"/>
    <x v="82"/>
  </r>
  <r>
    <n v="231"/>
    <x v="0"/>
    <n v="9"/>
    <n v="9"/>
    <n v="8"/>
    <n v="16"/>
    <x v="3"/>
    <x v="83"/>
  </r>
  <r>
    <n v="231"/>
    <x v="1"/>
    <n v="9"/>
    <n v="7"/>
    <n v="4"/>
    <n v="7"/>
    <x v="3"/>
    <x v="83"/>
  </r>
  <r>
    <n v="232"/>
    <x v="0"/>
    <n v="9"/>
    <n v="9"/>
    <n v="5"/>
    <n v="11"/>
    <x v="3"/>
    <x v="84"/>
  </r>
  <r>
    <n v="232"/>
    <x v="1"/>
    <n v="9"/>
    <n v="8"/>
    <n v="7"/>
    <n v="6"/>
    <x v="3"/>
    <x v="84"/>
  </r>
  <r>
    <n v="233"/>
    <x v="0"/>
    <n v="9"/>
    <n v="9"/>
    <n v="4"/>
    <n v="7"/>
    <x v="3"/>
    <x v="85"/>
  </r>
  <r>
    <n v="233"/>
    <x v="1"/>
    <n v="9"/>
    <n v="7"/>
    <n v="6"/>
    <n v="9"/>
    <x v="3"/>
    <x v="85"/>
  </r>
  <r>
    <n v="233"/>
    <x v="3"/>
    <n v="9"/>
    <n v="7"/>
    <n v="4"/>
    <n v="8"/>
    <x v="3"/>
    <x v="85"/>
  </r>
  <r>
    <n v="234"/>
    <x v="0"/>
    <n v="9"/>
    <n v="9"/>
    <n v="6"/>
    <n v="10"/>
    <x v="3"/>
    <x v="86"/>
  </r>
  <r>
    <n v="234"/>
    <x v="1"/>
    <n v="9"/>
    <n v="8"/>
    <n v="6"/>
    <n v="13"/>
    <x v="3"/>
    <x v="86"/>
  </r>
  <r>
    <n v="235"/>
    <x v="0"/>
    <n v="9"/>
    <n v="9"/>
    <n v="5"/>
    <n v="11"/>
    <x v="3"/>
    <x v="87"/>
  </r>
  <r>
    <n v="235"/>
    <x v="1"/>
    <n v="9"/>
    <n v="9"/>
    <n v="6"/>
    <n v="9"/>
    <x v="3"/>
    <x v="87"/>
  </r>
  <r>
    <n v="235"/>
    <x v="3"/>
    <n v="9"/>
    <n v="4"/>
    <n v="3"/>
    <n v="5"/>
    <x v="3"/>
    <x v="87"/>
  </r>
  <r>
    <n v="236"/>
    <x v="1"/>
    <n v="15"/>
    <n v="12"/>
    <n v="8"/>
    <n v="14"/>
    <x v="3"/>
    <x v="88"/>
  </r>
  <r>
    <n v="236"/>
    <x v="0"/>
    <n v="15"/>
    <n v="14"/>
    <n v="7"/>
    <n v="15"/>
    <x v="3"/>
    <x v="88"/>
  </r>
  <r>
    <n v="237"/>
    <x v="1"/>
    <n v="9"/>
    <n v="9"/>
    <n v="7"/>
    <n v="18"/>
    <x v="3"/>
    <x v="89"/>
  </r>
  <r>
    <n v="237"/>
    <x v="0"/>
    <n v="9"/>
    <n v="9"/>
    <n v="5"/>
    <n v="10"/>
    <x v="3"/>
    <x v="89"/>
  </r>
  <r>
    <n v="238"/>
    <x v="1"/>
    <n v="9"/>
    <n v="7"/>
    <n v="5"/>
    <n v="12"/>
    <x v="3"/>
    <x v="90"/>
  </r>
  <r>
    <n v="238"/>
    <x v="0"/>
    <n v="9"/>
    <n v="9"/>
    <n v="8"/>
    <n v="19"/>
    <x v="3"/>
    <x v="90"/>
  </r>
  <r>
    <n v="239"/>
    <x v="1"/>
    <n v="9"/>
    <n v="9"/>
    <n v="6"/>
    <n v="8"/>
    <x v="3"/>
    <x v="91"/>
  </r>
  <r>
    <n v="239"/>
    <x v="0"/>
    <n v="9"/>
    <n v="9"/>
    <n v="4"/>
    <n v="9"/>
    <x v="3"/>
    <x v="91"/>
  </r>
  <r>
    <n v="239"/>
    <x v="3"/>
    <n v="9"/>
    <n v="9"/>
    <n v="5"/>
    <n v="13"/>
    <x v="3"/>
    <x v="91"/>
  </r>
  <r>
    <n v="240"/>
    <x v="1"/>
    <n v="9"/>
    <n v="8"/>
    <n v="3"/>
    <n v="7"/>
    <x v="3"/>
    <x v="92"/>
  </r>
  <r>
    <n v="240"/>
    <x v="0"/>
    <n v="9"/>
    <n v="9"/>
    <n v="6"/>
    <n v="14"/>
    <x v="3"/>
    <x v="92"/>
  </r>
  <r>
    <n v="240"/>
    <x v="3"/>
    <n v="9"/>
    <n v="6"/>
    <n v="3"/>
    <n v="6"/>
    <x v="3"/>
    <x v="92"/>
  </r>
  <r>
    <n v="241"/>
    <x v="1"/>
    <n v="9"/>
    <n v="6"/>
    <n v="4"/>
    <n v="6"/>
    <x v="3"/>
    <x v="93"/>
  </r>
  <r>
    <n v="241"/>
    <x v="0"/>
    <n v="9"/>
    <n v="9"/>
    <n v="7"/>
    <n v="19"/>
    <x v="3"/>
    <x v="93"/>
  </r>
  <r>
    <n v="241"/>
    <x v="4"/>
    <n v="9"/>
    <n v="2"/>
    <n v="2"/>
    <n v="4"/>
    <x v="3"/>
    <x v="93"/>
  </r>
  <r>
    <n v="241"/>
    <x v="6"/>
    <n v="9"/>
    <n v="2"/>
    <n v="2"/>
    <n v="5"/>
    <x v="3"/>
    <x v="93"/>
  </r>
  <r>
    <n v="242"/>
    <x v="1"/>
    <n v="9"/>
    <n v="8"/>
    <n v="4"/>
    <n v="10"/>
    <x v="3"/>
    <x v="94"/>
  </r>
  <r>
    <n v="242"/>
    <x v="0"/>
    <n v="9"/>
    <n v="9"/>
    <n v="7"/>
    <n v="14"/>
    <x v="3"/>
    <x v="94"/>
  </r>
  <r>
    <n v="243"/>
    <x v="1"/>
    <n v="9"/>
    <n v="5"/>
    <n v="5"/>
    <n v="13"/>
    <x v="3"/>
    <x v="95"/>
  </r>
  <r>
    <n v="243"/>
    <x v="0"/>
    <n v="9"/>
    <n v="8"/>
    <n v="4"/>
    <n v="9"/>
    <x v="3"/>
    <x v="95"/>
  </r>
  <r>
    <n v="244"/>
    <x v="1"/>
    <n v="15"/>
    <n v="13"/>
    <n v="11"/>
    <n v="18"/>
    <x v="3"/>
    <x v="96"/>
  </r>
  <r>
    <n v="244"/>
    <x v="0"/>
    <n v="15"/>
    <n v="15"/>
    <n v="7"/>
    <n v="15"/>
    <x v="3"/>
    <x v="96"/>
  </r>
  <r>
    <n v="245"/>
    <x v="1"/>
    <n v="9"/>
    <n v="7"/>
    <n v="5"/>
    <n v="12"/>
    <x v="3"/>
    <x v="97"/>
  </r>
  <r>
    <n v="245"/>
    <x v="0"/>
    <n v="9"/>
    <n v="9"/>
    <n v="8"/>
    <n v="14"/>
    <x v="3"/>
    <x v="97"/>
  </r>
  <r>
    <n v="246"/>
    <x v="1"/>
    <n v="9"/>
    <n v="8"/>
    <n v="5"/>
    <n v="11"/>
    <x v="3"/>
    <x v="98"/>
  </r>
  <r>
    <n v="246"/>
    <x v="0"/>
    <n v="9"/>
    <n v="9"/>
    <n v="6"/>
    <n v="13"/>
    <x v="3"/>
    <x v="98"/>
  </r>
  <r>
    <n v="247"/>
    <x v="1"/>
    <n v="9"/>
    <n v="7"/>
    <n v="4"/>
    <n v="6"/>
    <x v="3"/>
    <x v="99"/>
  </r>
  <r>
    <n v="247"/>
    <x v="0"/>
    <n v="9"/>
    <n v="9"/>
    <n v="4"/>
    <n v="7"/>
    <x v="3"/>
    <x v="99"/>
  </r>
  <r>
    <n v="248"/>
    <x v="1"/>
    <n v="9"/>
    <n v="7"/>
    <n v="4"/>
    <n v="6"/>
    <x v="3"/>
    <x v="100"/>
  </r>
  <r>
    <n v="248"/>
    <x v="0"/>
    <n v="9"/>
    <n v="9"/>
    <n v="6"/>
    <n v="15"/>
    <x v="3"/>
    <x v="100"/>
  </r>
  <r>
    <n v="249"/>
    <x v="1"/>
    <n v="9"/>
    <n v="9"/>
    <n v="6"/>
    <n v="15"/>
    <x v="3"/>
    <x v="101"/>
  </r>
  <r>
    <n v="249"/>
    <x v="0"/>
    <n v="9"/>
    <n v="9"/>
    <n v="6"/>
    <n v="12"/>
    <x v="3"/>
    <x v="101"/>
  </r>
  <r>
    <n v="249"/>
    <x v="3"/>
    <n v="9"/>
    <n v="5"/>
    <n v="2"/>
    <n v="2"/>
    <x v="3"/>
    <x v="101"/>
  </r>
  <r>
    <n v="250"/>
    <x v="1"/>
    <n v="12"/>
    <n v="10"/>
    <n v="7"/>
    <n v="16"/>
    <x v="3"/>
    <x v="101"/>
  </r>
  <r>
    <n v="250"/>
    <x v="0"/>
    <n v="12"/>
    <n v="12"/>
    <n v="5"/>
    <n v="13"/>
    <x v="3"/>
    <x v="101"/>
  </r>
  <r>
    <n v="250"/>
    <x v="3"/>
    <n v="9"/>
    <n v="7"/>
    <n v="6"/>
    <n v="7"/>
    <x v="3"/>
    <x v="101"/>
  </r>
  <r>
    <n v="251"/>
    <x v="1"/>
    <n v="9"/>
    <n v="9"/>
    <n v="5"/>
    <n v="11"/>
    <x v="3"/>
    <x v="102"/>
  </r>
  <r>
    <n v="251"/>
    <x v="0"/>
    <n v="9"/>
    <n v="6"/>
    <n v="6"/>
    <n v="13"/>
    <x v="3"/>
    <x v="102"/>
  </r>
  <r>
    <n v="253"/>
    <x v="0"/>
    <n v="9"/>
    <n v="9"/>
    <n v="7"/>
    <n v="19"/>
    <x v="3"/>
    <x v="103"/>
  </r>
  <r>
    <n v="253"/>
    <x v="1"/>
    <n v="9"/>
    <n v="7"/>
    <n v="6"/>
    <n v="12"/>
    <x v="3"/>
    <x v="103"/>
  </r>
  <r>
    <n v="254"/>
    <x v="0"/>
    <n v="9"/>
    <n v="9"/>
    <n v="3"/>
    <n v="7"/>
    <x v="3"/>
    <x v="104"/>
  </r>
  <r>
    <n v="254"/>
    <x v="1"/>
    <n v="9"/>
    <n v="8"/>
    <n v="4"/>
    <n v="8"/>
    <x v="3"/>
    <x v="104"/>
  </r>
  <r>
    <n v="255"/>
    <x v="1"/>
    <n v="9"/>
    <n v="6"/>
    <n v="5"/>
    <n v="9"/>
    <x v="3"/>
    <x v="105"/>
  </r>
  <r>
    <n v="255"/>
    <x v="0"/>
    <n v="9"/>
    <n v="9"/>
    <n v="6"/>
    <n v="18"/>
    <x v="3"/>
    <x v="105"/>
  </r>
  <r>
    <n v="256"/>
    <x v="1"/>
    <n v="12"/>
    <n v="12"/>
    <n v="10"/>
    <n v="19"/>
    <x v="3"/>
    <x v="106"/>
  </r>
  <r>
    <n v="256"/>
    <x v="0"/>
    <n v="12"/>
    <n v="12"/>
    <n v="5"/>
    <n v="12"/>
    <x v="3"/>
    <x v="106"/>
  </r>
  <r>
    <n v="257"/>
    <x v="1"/>
    <n v="9"/>
    <n v="9"/>
    <n v="6"/>
    <n v="8"/>
    <x v="3"/>
    <x v="107"/>
  </r>
  <r>
    <n v="257"/>
    <x v="0"/>
    <n v="9"/>
    <n v="9"/>
    <n v="6"/>
    <n v="11"/>
    <x v="3"/>
    <x v="107"/>
  </r>
  <r>
    <n v="258"/>
    <x v="1"/>
    <n v="9"/>
    <n v="6"/>
    <n v="4"/>
    <n v="6"/>
    <x v="3"/>
    <x v="108"/>
  </r>
  <r>
    <n v="258"/>
    <x v="0"/>
    <n v="9"/>
    <n v="9"/>
    <n v="4"/>
    <n v="11"/>
    <x v="3"/>
    <x v="108"/>
  </r>
  <r>
    <n v="259"/>
    <x v="1"/>
    <n v="9"/>
    <n v="7"/>
    <n v="5"/>
    <n v="11"/>
    <x v="3"/>
    <x v="109"/>
  </r>
  <r>
    <n v="259"/>
    <x v="0"/>
    <n v="9"/>
    <n v="8"/>
    <n v="6"/>
    <n v="13"/>
    <x v="3"/>
    <x v="109"/>
  </r>
  <r>
    <n v="260"/>
    <x v="1"/>
    <n v="12"/>
    <n v="10"/>
    <n v="8"/>
    <n v="15"/>
    <x v="3"/>
    <x v="110"/>
  </r>
  <r>
    <n v="260"/>
    <x v="0"/>
    <n v="12"/>
    <n v="12"/>
    <n v="8"/>
    <n v="20"/>
    <x v="3"/>
    <x v="1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4">
  <r>
    <x v="0"/>
    <x v="0"/>
    <x v="0"/>
    <x v="0"/>
    <n v="1"/>
    <x v="0"/>
    <x v="0"/>
    <n v="11"/>
    <x v="0"/>
    <s v="Win"/>
    <n v="1"/>
    <n v="0"/>
    <n v="0"/>
    <n v="1"/>
  </r>
  <r>
    <x v="0"/>
    <x v="0"/>
    <x v="0"/>
    <x v="0"/>
    <n v="1"/>
    <x v="0"/>
    <x v="0"/>
    <n v="11"/>
    <x v="1"/>
    <s v="Win"/>
    <n v="1"/>
    <n v="0"/>
    <n v="0"/>
    <n v="1"/>
  </r>
  <r>
    <x v="0"/>
    <x v="0"/>
    <x v="0"/>
    <x v="0"/>
    <n v="1"/>
    <x v="1"/>
    <x v="1"/>
    <n v="1"/>
    <x v="2"/>
    <s v="Loss"/>
    <n v="0"/>
    <n v="1"/>
    <n v="0"/>
    <n v="1"/>
  </r>
  <r>
    <x v="0"/>
    <x v="0"/>
    <x v="0"/>
    <x v="0"/>
    <n v="1"/>
    <x v="1"/>
    <x v="0"/>
    <n v="1"/>
    <x v="1"/>
    <s v="Tie"/>
    <n v="0"/>
    <n v="0"/>
    <n v="1"/>
    <n v="1"/>
  </r>
  <r>
    <x v="0"/>
    <x v="0"/>
    <x v="0"/>
    <x v="0"/>
    <n v="1"/>
    <x v="2"/>
    <x v="1"/>
    <n v="1"/>
    <x v="2"/>
    <s v="Loss"/>
    <n v="0"/>
    <n v="1"/>
    <n v="0"/>
    <n v="1"/>
  </r>
  <r>
    <x v="0"/>
    <x v="0"/>
    <x v="0"/>
    <x v="0"/>
    <n v="1"/>
    <x v="2"/>
    <x v="1"/>
    <n v="1"/>
    <x v="0"/>
    <s v="Tie"/>
    <n v="0"/>
    <n v="0"/>
    <n v="1"/>
    <n v="1"/>
  </r>
  <r>
    <x v="0"/>
    <x v="0"/>
    <x v="0"/>
    <x v="0"/>
    <n v="2"/>
    <x v="0"/>
    <x v="1"/>
    <n v="16"/>
    <x v="0"/>
    <s v="Win"/>
    <n v="1"/>
    <n v="0"/>
    <n v="0"/>
    <n v="1"/>
  </r>
  <r>
    <x v="0"/>
    <x v="0"/>
    <x v="0"/>
    <x v="0"/>
    <n v="2"/>
    <x v="1"/>
    <x v="0"/>
    <n v="0"/>
    <x v="2"/>
    <s v="Loss"/>
    <n v="0"/>
    <n v="1"/>
    <n v="0"/>
    <n v="1"/>
  </r>
  <r>
    <x v="0"/>
    <x v="0"/>
    <x v="0"/>
    <x v="1"/>
    <n v="3"/>
    <x v="0"/>
    <x v="1"/>
    <n v="10"/>
    <x v="0"/>
    <s v="Win"/>
    <n v="1"/>
    <n v="0"/>
    <n v="0"/>
    <n v="1"/>
  </r>
  <r>
    <x v="0"/>
    <x v="0"/>
    <x v="0"/>
    <x v="1"/>
    <n v="3"/>
    <x v="1"/>
    <x v="0"/>
    <n v="4"/>
    <x v="2"/>
    <s v="Loss"/>
    <n v="0"/>
    <n v="1"/>
    <n v="0"/>
    <n v="1"/>
  </r>
  <r>
    <x v="0"/>
    <x v="0"/>
    <x v="0"/>
    <x v="1"/>
    <n v="4"/>
    <x v="0"/>
    <x v="0"/>
    <n v="4"/>
    <x v="0"/>
    <s v="Win"/>
    <n v="1"/>
    <n v="0"/>
    <n v="0"/>
    <n v="1"/>
  </r>
  <r>
    <x v="0"/>
    <x v="0"/>
    <x v="0"/>
    <x v="1"/>
    <n v="4"/>
    <x v="1"/>
    <x v="1"/>
    <n v="0"/>
    <x v="2"/>
    <s v="Loss"/>
    <n v="0"/>
    <n v="1"/>
    <n v="0"/>
    <n v="1"/>
  </r>
  <r>
    <x v="0"/>
    <x v="0"/>
    <x v="0"/>
    <x v="1"/>
    <n v="4"/>
    <x v="1"/>
    <x v="0"/>
    <n v="0"/>
    <x v="1"/>
    <s v="Loss"/>
    <n v="0"/>
    <n v="1"/>
    <n v="0"/>
    <n v="1"/>
  </r>
  <r>
    <x v="0"/>
    <x v="0"/>
    <x v="0"/>
    <x v="1"/>
    <n v="4"/>
    <x v="2"/>
    <x v="1"/>
    <n v="7"/>
    <x v="2"/>
    <s v="Win"/>
    <n v="1"/>
    <n v="0"/>
    <n v="0"/>
    <n v="1"/>
  </r>
  <r>
    <x v="0"/>
    <x v="0"/>
    <x v="0"/>
    <x v="1"/>
    <n v="4"/>
    <x v="2"/>
    <x v="1"/>
    <n v="7"/>
    <x v="0"/>
    <s v="Win"/>
    <n v="1"/>
    <n v="0"/>
    <n v="0"/>
    <n v="1"/>
  </r>
  <r>
    <x v="0"/>
    <x v="0"/>
    <x v="0"/>
    <x v="1"/>
    <n v="4"/>
    <x v="0"/>
    <x v="0"/>
    <n v="4"/>
    <x v="1"/>
    <s v="Loss"/>
    <n v="0"/>
    <n v="1"/>
    <n v="0"/>
    <n v="1"/>
  </r>
  <r>
    <x v="0"/>
    <x v="0"/>
    <x v="0"/>
    <x v="1"/>
    <n v="5"/>
    <x v="2"/>
    <x v="0"/>
    <n v="3"/>
    <x v="0"/>
    <s v="Win"/>
    <n v="1"/>
    <n v="0"/>
    <n v="0"/>
    <n v="1"/>
  </r>
  <r>
    <x v="0"/>
    <x v="0"/>
    <x v="0"/>
    <x v="1"/>
    <n v="5"/>
    <x v="2"/>
    <x v="0"/>
    <n v="3"/>
    <x v="2"/>
    <s v="Loss"/>
    <n v="0"/>
    <n v="1"/>
    <n v="0"/>
    <n v="1"/>
  </r>
  <r>
    <x v="0"/>
    <x v="0"/>
    <x v="0"/>
    <x v="1"/>
    <n v="5"/>
    <x v="1"/>
    <x v="1"/>
    <n v="1"/>
    <x v="1"/>
    <s v="Loss"/>
    <n v="0"/>
    <n v="1"/>
    <n v="0"/>
    <n v="1"/>
  </r>
  <r>
    <x v="0"/>
    <x v="0"/>
    <x v="0"/>
    <x v="1"/>
    <n v="5"/>
    <x v="1"/>
    <x v="0"/>
    <n v="1"/>
    <x v="2"/>
    <s v="Loss"/>
    <n v="0"/>
    <n v="1"/>
    <n v="0"/>
    <n v="1"/>
  </r>
  <r>
    <x v="0"/>
    <x v="0"/>
    <x v="0"/>
    <x v="1"/>
    <n v="5"/>
    <x v="0"/>
    <x v="1"/>
    <n v="11"/>
    <x v="1"/>
    <s v="Win"/>
    <n v="1"/>
    <n v="0"/>
    <n v="0"/>
    <n v="1"/>
  </r>
  <r>
    <x v="0"/>
    <x v="0"/>
    <x v="0"/>
    <x v="1"/>
    <n v="5"/>
    <x v="0"/>
    <x v="1"/>
    <n v="11"/>
    <x v="0"/>
    <s v="Win"/>
    <n v="1"/>
    <n v="0"/>
    <n v="0"/>
    <n v="1"/>
  </r>
  <r>
    <x v="0"/>
    <x v="0"/>
    <x v="0"/>
    <x v="2"/>
    <n v="6"/>
    <x v="1"/>
    <x v="0"/>
    <n v="4"/>
    <x v="2"/>
    <s v="Loss"/>
    <n v="0"/>
    <n v="1"/>
    <n v="0"/>
    <n v="1"/>
  </r>
  <r>
    <x v="0"/>
    <x v="0"/>
    <x v="0"/>
    <x v="2"/>
    <n v="6"/>
    <x v="0"/>
    <x v="1"/>
    <n v="10"/>
    <x v="0"/>
    <s v="Win"/>
    <n v="1"/>
    <n v="0"/>
    <n v="0"/>
    <n v="1"/>
  </r>
  <r>
    <x v="0"/>
    <x v="0"/>
    <x v="0"/>
    <x v="3"/>
    <n v="7"/>
    <x v="1"/>
    <x v="1"/>
    <n v="9"/>
    <x v="2"/>
    <s v="Win"/>
    <n v="1"/>
    <n v="0"/>
    <n v="0"/>
    <n v="1"/>
  </r>
  <r>
    <x v="0"/>
    <x v="0"/>
    <x v="0"/>
    <x v="3"/>
    <n v="7"/>
    <x v="0"/>
    <x v="0"/>
    <n v="5"/>
    <x v="0"/>
    <s v="Loss"/>
    <n v="0"/>
    <n v="1"/>
    <n v="0"/>
    <n v="1"/>
  </r>
  <r>
    <x v="0"/>
    <x v="0"/>
    <x v="0"/>
    <x v="3"/>
    <n v="8"/>
    <x v="0"/>
    <x v="0"/>
    <n v="6"/>
    <x v="0"/>
    <s v="Win"/>
    <n v="1"/>
    <n v="0"/>
    <n v="0"/>
    <n v="1"/>
  </r>
  <r>
    <x v="0"/>
    <x v="0"/>
    <x v="0"/>
    <x v="3"/>
    <n v="8"/>
    <x v="1"/>
    <x v="1"/>
    <n v="2"/>
    <x v="2"/>
    <s v="Loss"/>
    <n v="0"/>
    <n v="1"/>
    <n v="0"/>
    <n v="1"/>
  </r>
  <r>
    <x v="0"/>
    <x v="0"/>
    <x v="0"/>
    <x v="4"/>
    <n v="9"/>
    <x v="2"/>
    <x v="1"/>
    <n v="4"/>
    <x v="2"/>
    <s v="Loss"/>
    <n v="0"/>
    <n v="1"/>
    <n v="0"/>
    <n v="1"/>
  </r>
  <r>
    <x v="0"/>
    <x v="0"/>
    <x v="0"/>
    <x v="4"/>
    <n v="9"/>
    <x v="1"/>
    <x v="0"/>
    <n v="11"/>
    <x v="1"/>
    <s v="Win"/>
    <n v="1"/>
    <n v="0"/>
    <n v="0"/>
    <n v="1"/>
  </r>
  <r>
    <x v="0"/>
    <x v="0"/>
    <x v="0"/>
    <x v="4"/>
    <n v="9"/>
    <x v="2"/>
    <x v="1"/>
    <n v="4"/>
    <x v="0"/>
    <s v="Loss"/>
    <n v="0"/>
    <n v="1"/>
    <n v="0"/>
    <n v="1"/>
  </r>
  <r>
    <x v="0"/>
    <x v="0"/>
    <x v="0"/>
    <x v="4"/>
    <n v="9"/>
    <x v="0"/>
    <x v="0"/>
    <n v="9"/>
    <x v="1"/>
    <s v="Win"/>
    <n v="1"/>
    <n v="0"/>
    <n v="0"/>
    <n v="1"/>
  </r>
  <r>
    <x v="0"/>
    <x v="0"/>
    <x v="0"/>
    <x v="4"/>
    <n v="9"/>
    <x v="0"/>
    <x v="0"/>
    <n v="9"/>
    <x v="0"/>
    <s v="Loss"/>
    <n v="0"/>
    <n v="1"/>
    <n v="0"/>
    <n v="1"/>
  </r>
  <r>
    <x v="0"/>
    <x v="0"/>
    <x v="0"/>
    <x v="4"/>
    <n v="9"/>
    <x v="1"/>
    <x v="1"/>
    <n v="11"/>
    <x v="2"/>
    <s v="Win"/>
    <n v="1"/>
    <n v="0"/>
    <n v="0"/>
    <n v="1"/>
  </r>
  <r>
    <x v="0"/>
    <x v="0"/>
    <x v="0"/>
    <x v="4"/>
    <n v="10"/>
    <x v="0"/>
    <x v="0"/>
    <n v="6"/>
    <x v="0"/>
    <s v="Win"/>
    <n v="1"/>
    <n v="0"/>
    <n v="0"/>
    <n v="1"/>
  </r>
  <r>
    <x v="0"/>
    <x v="0"/>
    <x v="0"/>
    <x v="4"/>
    <n v="10"/>
    <x v="1"/>
    <x v="1"/>
    <n v="1"/>
    <x v="2"/>
    <s v="Loss"/>
    <n v="0"/>
    <n v="1"/>
    <n v="0"/>
    <n v="1"/>
  </r>
  <r>
    <x v="0"/>
    <x v="0"/>
    <x v="1"/>
    <x v="5"/>
    <n v="11"/>
    <x v="1"/>
    <x v="1"/>
    <n v="5"/>
    <x v="3"/>
    <s v="Loss"/>
    <n v="0"/>
    <n v="1"/>
    <n v="0"/>
    <n v="1"/>
  </r>
  <r>
    <x v="0"/>
    <x v="0"/>
    <x v="1"/>
    <x v="5"/>
    <n v="11"/>
    <x v="1"/>
    <x v="1"/>
    <n v="5"/>
    <x v="2"/>
    <s v="Loss"/>
    <n v="0"/>
    <n v="1"/>
    <n v="0"/>
    <n v="1"/>
  </r>
  <r>
    <x v="0"/>
    <x v="0"/>
    <x v="1"/>
    <x v="5"/>
    <n v="11"/>
    <x v="3"/>
    <x v="0"/>
    <n v="6"/>
    <x v="0"/>
    <s v="Win"/>
    <n v="1"/>
    <n v="0"/>
    <n v="0"/>
    <n v="1"/>
  </r>
  <r>
    <x v="0"/>
    <x v="0"/>
    <x v="1"/>
    <x v="5"/>
    <n v="11"/>
    <x v="3"/>
    <x v="0"/>
    <n v="6"/>
    <x v="2"/>
    <s v="Loss"/>
    <n v="0"/>
    <n v="1"/>
    <n v="0"/>
    <n v="1"/>
  </r>
  <r>
    <x v="0"/>
    <x v="0"/>
    <x v="1"/>
    <x v="5"/>
    <n v="11"/>
    <x v="0"/>
    <x v="1"/>
    <n v="14"/>
    <x v="3"/>
    <s v="Win"/>
    <n v="1"/>
    <n v="0"/>
    <n v="0"/>
    <n v="1"/>
  </r>
  <r>
    <x v="0"/>
    <x v="0"/>
    <x v="1"/>
    <x v="5"/>
    <n v="11"/>
    <x v="0"/>
    <x v="0"/>
    <n v="14"/>
    <x v="0"/>
    <s v="Win"/>
    <n v="1"/>
    <n v="0"/>
    <n v="0"/>
    <n v="1"/>
  </r>
  <r>
    <x v="0"/>
    <x v="0"/>
    <x v="1"/>
    <x v="6"/>
    <n v="12"/>
    <x v="1"/>
    <x v="1"/>
    <n v="3"/>
    <x v="2"/>
    <s v="Loss"/>
    <n v="0"/>
    <n v="1"/>
    <n v="0"/>
    <n v="1"/>
  </r>
  <r>
    <x v="0"/>
    <x v="0"/>
    <x v="1"/>
    <x v="6"/>
    <n v="12"/>
    <x v="0"/>
    <x v="0"/>
    <n v="10"/>
    <x v="3"/>
    <s v="Win"/>
    <n v="1"/>
    <n v="0"/>
    <n v="0"/>
    <n v="1"/>
  </r>
  <r>
    <x v="0"/>
    <x v="0"/>
    <x v="1"/>
    <x v="6"/>
    <n v="12"/>
    <x v="0"/>
    <x v="0"/>
    <n v="10"/>
    <x v="0"/>
    <s v="Win"/>
    <n v="1"/>
    <n v="0"/>
    <n v="0"/>
    <n v="1"/>
  </r>
  <r>
    <x v="0"/>
    <x v="0"/>
    <x v="1"/>
    <x v="6"/>
    <n v="12"/>
    <x v="3"/>
    <x v="1"/>
    <n v="3"/>
    <x v="0"/>
    <s v="Tie"/>
    <n v="0"/>
    <n v="0"/>
    <n v="1"/>
    <n v="1"/>
  </r>
  <r>
    <x v="0"/>
    <x v="0"/>
    <x v="1"/>
    <x v="6"/>
    <n v="12"/>
    <x v="1"/>
    <x v="0"/>
    <n v="3"/>
    <x v="3"/>
    <s v="Tie"/>
    <n v="0"/>
    <n v="0"/>
    <n v="1"/>
    <n v="1"/>
  </r>
  <r>
    <x v="0"/>
    <x v="0"/>
    <x v="1"/>
    <x v="6"/>
    <n v="12"/>
    <x v="3"/>
    <x v="1"/>
    <n v="3"/>
    <x v="2"/>
    <s v="Loss"/>
    <n v="0"/>
    <n v="1"/>
    <n v="0"/>
    <n v="1"/>
  </r>
  <r>
    <x v="0"/>
    <x v="0"/>
    <x v="1"/>
    <x v="6"/>
    <n v="13"/>
    <x v="0"/>
    <x v="0"/>
    <n v="11"/>
    <x v="0"/>
    <s v="Win"/>
    <n v="1"/>
    <n v="0"/>
    <n v="0"/>
    <n v="1"/>
  </r>
  <r>
    <x v="0"/>
    <x v="0"/>
    <x v="1"/>
    <x v="6"/>
    <n v="13"/>
    <x v="0"/>
    <x v="1"/>
    <n v="11"/>
    <x v="3"/>
    <s v="Win"/>
    <n v="1"/>
    <n v="0"/>
    <n v="0"/>
    <n v="1"/>
  </r>
  <r>
    <x v="0"/>
    <x v="0"/>
    <x v="1"/>
    <x v="6"/>
    <n v="13"/>
    <x v="3"/>
    <x v="0"/>
    <n v="0"/>
    <x v="2"/>
    <s v="Loss"/>
    <n v="0"/>
    <n v="1"/>
    <n v="0"/>
    <n v="1"/>
  </r>
  <r>
    <x v="0"/>
    <x v="0"/>
    <x v="1"/>
    <x v="6"/>
    <n v="13"/>
    <x v="3"/>
    <x v="0"/>
    <n v="0"/>
    <x v="0"/>
    <s v="Loss"/>
    <n v="0"/>
    <n v="1"/>
    <n v="0"/>
    <n v="1"/>
  </r>
  <r>
    <x v="0"/>
    <x v="0"/>
    <x v="1"/>
    <x v="6"/>
    <n v="13"/>
    <x v="1"/>
    <x v="1"/>
    <n v="1"/>
    <x v="3"/>
    <s v="Win"/>
    <n v="1"/>
    <n v="0"/>
    <n v="0"/>
    <n v="1"/>
  </r>
  <r>
    <x v="0"/>
    <x v="0"/>
    <x v="1"/>
    <x v="6"/>
    <n v="13"/>
    <x v="1"/>
    <x v="1"/>
    <n v="1"/>
    <x v="2"/>
    <s v="Loss"/>
    <n v="0"/>
    <n v="1"/>
    <n v="0"/>
    <n v="1"/>
  </r>
  <r>
    <x v="0"/>
    <x v="0"/>
    <x v="1"/>
    <x v="7"/>
    <n v="14"/>
    <x v="1"/>
    <x v="0"/>
    <n v="3"/>
    <x v="2"/>
    <s v="Loss"/>
    <n v="0"/>
    <n v="1"/>
    <n v="0"/>
    <n v="1"/>
  </r>
  <r>
    <x v="0"/>
    <x v="0"/>
    <x v="1"/>
    <x v="7"/>
    <n v="14"/>
    <x v="0"/>
    <x v="1"/>
    <n v="11"/>
    <x v="0"/>
    <s v="Win"/>
    <n v="1"/>
    <n v="0"/>
    <n v="0"/>
    <n v="1"/>
  </r>
  <r>
    <x v="0"/>
    <x v="0"/>
    <x v="1"/>
    <x v="7"/>
    <n v="15"/>
    <x v="0"/>
    <x v="0"/>
    <n v="5"/>
    <x v="0"/>
    <s v="Win"/>
    <n v="1"/>
    <n v="0"/>
    <n v="0"/>
    <n v="1"/>
  </r>
  <r>
    <x v="0"/>
    <x v="0"/>
    <x v="1"/>
    <x v="7"/>
    <n v="15"/>
    <x v="1"/>
    <x v="1"/>
    <n v="3"/>
    <x v="2"/>
    <s v="Loss"/>
    <n v="0"/>
    <n v="1"/>
    <n v="0"/>
    <n v="1"/>
  </r>
  <r>
    <x v="0"/>
    <x v="0"/>
    <x v="1"/>
    <x v="8"/>
    <n v="16"/>
    <x v="1"/>
    <x v="1"/>
    <n v="1"/>
    <x v="3"/>
    <s v="Loss"/>
    <n v="0"/>
    <n v="1"/>
    <n v="0"/>
    <n v="1"/>
  </r>
  <r>
    <x v="0"/>
    <x v="0"/>
    <x v="1"/>
    <x v="8"/>
    <n v="16"/>
    <x v="1"/>
    <x v="0"/>
    <n v="1"/>
    <x v="2"/>
    <s v="Loss"/>
    <n v="0"/>
    <n v="1"/>
    <n v="0"/>
    <n v="1"/>
  </r>
  <r>
    <x v="0"/>
    <x v="0"/>
    <x v="1"/>
    <x v="8"/>
    <n v="16"/>
    <x v="0"/>
    <x v="1"/>
    <n v="9"/>
    <x v="3"/>
    <s v="Win"/>
    <n v="1"/>
    <n v="0"/>
    <n v="0"/>
    <n v="1"/>
  </r>
  <r>
    <x v="0"/>
    <x v="0"/>
    <x v="1"/>
    <x v="8"/>
    <n v="16"/>
    <x v="0"/>
    <x v="1"/>
    <n v="9"/>
    <x v="0"/>
    <s v="Win"/>
    <n v="1"/>
    <n v="0"/>
    <n v="0"/>
    <n v="1"/>
  </r>
  <r>
    <x v="0"/>
    <x v="0"/>
    <x v="1"/>
    <x v="8"/>
    <n v="16"/>
    <x v="3"/>
    <x v="0"/>
    <n v="5"/>
    <x v="0"/>
    <s v="Win"/>
    <n v="1"/>
    <n v="0"/>
    <n v="0"/>
    <n v="1"/>
  </r>
  <r>
    <x v="0"/>
    <x v="0"/>
    <x v="1"/>
    <x v="8"/>
    <n v="16"/>
    <x v="3"/>
    <x v="0"/>
    <n v="5"/>
    <x v="2"/>
    <s v="Loss"/>
    <n v="0"/>
    <n v="1"/>
    <n v="0"/>
    <n v="1"/>
  </r>
  <r>
    <x v="0"/>
    <x v="0"/>
    <x v="1"/>
    <x v="9"/>
    <n v="17"/>
    <x v="1"/>
    <x v="0"/>
    <n v="1"/>
    <x v="2"/>
    <s v="Loss"/>
    <n v="0"/>
    <n v="1"/>
    <n v="0"/>
    <n v="1"/>
  </r>
  <r>
    <x v="0"/>
    <x v="0"/>
    <x v="1"/>
    <x v="9"/>
    <n v="17"/>
    <x v="0"/>
    <x v="1"/>
    <n v="8"/>
    <x v="0"/>
    <s v="Win"/>
    <n v="1"/>
    <n v="0"/>
    <n v="0"/>
    <n v="1"/>
  </r>
  <r>
    <x v="0"/>
    <x v="0"/>
    <x v="1"/>
    <x v="10"/>
    <n v="18"/>
    <x v="0"/>
    <x v="0"/>
    <n v="9"/>
    <x v="0"/>
    <s v="Win"/>
    <n v="1"/>
    <n v="0"/>
    <n v="0"/>
    <n v="1"/>
  </r>
  <r>
    <x v="0"/>
    <x v="0"/>
    <x v="1"/>
    <x v="10"/>
    <n v="18"/>
    <x v="1"/>
    <x v="1"/>
    <n v="4"/>
    <x v="2"/>
    <s v="Loss"/>
    <n v="0"/>
    <n v="1"/>
    <n v="0"/>
    <n v="1"/>
  </r>
  <r>
    <x v="0"/>
    <x v="0"/>
    <x v="2"/>
    <x v="10"/>
    <n v="19"/>
    <x v="1"/>
    <x v="0"/>
    <n v="8"/>
    <x v="2"/>
    <s v="Win"/>
    <n v="1"/>
    <n v="0"/>
    <n v="0"/>
    <n v="1"/>
  </r>
  <r>
    <x v="0"/>
    <x v="0"/>
    <x v="2"/>
    <x v="10"/>
    <n v="19"/>
    <x v="0"/>
    <x v="1"/>
    <n v="5"/>
    <x v="0"/>
    <s v="Loss"/>
    <n v="0"/>
    <n v="1"/>
    <n v="0"/>
    <n v="1"/>
  </r>
  <r>
    <x v="0"/>
    <x v="0"/>
    <x v="1"/>
    <x v="11"/>
    <n v="20"/>
    <x v="0"/>
    <x v="1"/>
    <n v="4"/>
    <x v="0"/>
    <s v="Win"/>
    <n v="1"/>
    <n v="0"/>
    <n v="0"/>
    <n v="1"/>
  </r>
  <r>
    <x v="0"/>
    <x v="0"/>
    <x v="1"/>
    <x v="11"/>
    <n v="20"/>
    <x v="1"/>
    <x v="0"/>
    <n v="2"/>
    <x v="2"/>
    <s v="Loss"/>
    <n v="0"/>
    <n v="1"/>
    <n v="0"/>
    <n v="1"/>
  </r>
  <r>
    <x v="0"/>
    <x v="0"/>
    <x v="1"/>
    <x v="12"/>
    <n v="21"/>
    <x v="0"/>
    <x v="0"/>
    <n v="10"/>
    <x v="0"/>
    <s v="Win"/>
    <n v="1"/>
    <n v="0"/>
    <n v="0"/>
    <n v="1"/>
  </r>
  <r>
    <x v="0"/>
    <x v="0"/>
    <x v="1"/>
    <x v="12"/>
    <n v="21"/>
    <x v="1"/>
    <x v="1"/>
    <n v="7"/>
    <x v="2"/>
    <s v="Loss"/>
    <n v="0"/>
    <n v="1"/>
    <n v="0"/>
    <n v="1"/>
  </r>
  <r>
    <x v="0"/>
    <x v="0"/>
    <x v="1"/>
    <x v="13"/>
    <n v="22"/>
    <x v="1"/>
    <x v="1"/>
    <n v="0"/>
    <x v="2"/>
    <s v="Loss"/>
    <n v="0"/>
    <n v="1"/>
    <n v="0"/>
    <n v="1"/>
  </r>
  <r>
    <x v="0"/>
    <x v="0"/>
    <x v="1"/>
    <x v="13"/>
    <n v="22"/>
    <x v="0"/>
    <x v="0"/>
    <n v="4"/>
    <x v="0"/>
    <s v="Win"/>
    <n v="1"/>
    <n v="0"/>
    <n v="0"/>
    <n v="1"/>
  </r>
  <r>
    <x v="0"/>
    <x v="0"/>
    <x v="1"/>
    <x v="14"/>
    <n v="23"/>
    <x v="1"/>
    <x v="0"/>
    <n v="2"/>
    <x v="2"/>
    <s v="Loss"/>
    <n v="0"/>
    <n v="1"/>
    <n v="0"/>
    <n v="1"/>
  </r>
  <r>
    <x v="0"/>
    <x v="0"/>
    <x v="1"/>
    <x v="14"/>
    <n v="23"/>
    <x v="0"/>
    <x v="1"/>
    <n v="11"/>
    <x v="0"/>
    <s v="Win"/>
    <n v="1"/>
    <n v="0"/>
    <n v="0"/>
    <n v="1"/>
  </r>
  <r>
    <x v="0"/>
    <x v="0"/>
    <x v="1"/>
    <x v="15"/>
    <n v="24"/>
    <x v="1"/>
    <x v="0"/>
    <n v="1"/>
    <x v="2"/>
    <s v="Loss"/>
    <n v="0"/>
    <n v="1"/>
    <n v="0"/>
    <n v="1"/>
  </r>
  <r>
    <x v="0"/>
    <x v="0"/>
    <x v="1"/>
    <x v="15"/>
    <n v="24"/>
    <x v="0"/>
    <x v="1"/>
    <n v="10"/>
    <x v="0"/>
    <s v="Win"/>
    <n v="1"/>
    <n v="0"/>
    <n v="0"/>
    <n v="1"/>
  </r>
  <r>
    <x v="0"/>
    <x v="0"/>
    <x v="0"/>
    <x v="16"/>
    <n v="25"/>
    <x v="1"/>
    <x v="1"/>
    <n v="3"/>
    <x v="2"/>
    <s v="Loss"/>
    <n v="0"/>
    <n v="1"/>
    <n v="0"/>
    <n v="1"/>
  </r>
  <r>
    <x v="0"/>
    <x v="0"/>
    <x v="0"/>
    <x v="16"/>
    <n v="25"/>
    <x v="1"/>
    <x v="0"/>
    <n v="3"/>
    <x v="3"/>
    <s v="Win"/>
    <n v="1"/>
    <n v="0"/>
    <n v="0"/>
    <n v="1"/>
  </r>
  <r>
    <x v="0"/>
    <x v="0"/>
    <x v="0"/>
    <x v="16"/>
    <n v="25"/>
    <x v="3"/>
    <x v="1"/>
    <n v="1"/>
    <x v="2"/>
    <s v="Loss"/>
    <n v="0"/>
    <n v="1"/>
    <n v="0"/>
    <n v="1"/>
  </r>
  <r>
    <x v="0"/>
    <x v="0"/>
    <x v="0"/>
    <x v="16"/>
    <n v="25"/>
    <x v="0"/>
    <x v="0"/>
    <n v="6"/>
    <x v="3"/>
    <s v="Win"/>
    <n v="1"/>
    <n v="0"/>
    <n v="0"/>
    <n v="1"/>
  </r>
  <r>
    <x v="0"/>
    <x v="0"/>
    <x v="0"/>
    <x v="16"/>
    <n v="25"/>
    <x v="0"/>
    <x v="0"/>
    <n v="6"/>
    <x v="0"/>
    <s v="Win"/>
    <n v="1"/>
    <n v="0"/>
    <n v="0"/>
    <n v="1"/>
  </r>
  <r>
    <x v="0"/>
    <x v="0"/>
    <x v="0"/>
    <x v="16"/>
    <n v="25"/>
    <x v="3"/>
    <x v="1"/>
    <n v="1"/>
    <x v="0"/>
    <s v="Loss"/>
    <n v="0"/>
    <n v="1"/>
    <n v="0"/>
    <n v="1"/>
  </r>
  <r>
    <x v="0"/>
    <x v="0"/>
    <x v="1"/>
    <x v="17"/>
    <n v="26"/>
    <x v="1"/>
    <x v="1"/>
    <n v="11"/>
    <x v="2"/>
    <s v="Loss"/>
    <n v="0"/>
    <n v="1"/>
    <n v="0"/>
    <n v="1"/>
  </r>
  <r>
    <x v="0"/>
    <x v="0"/>
    <x v="1"/>
    <x v="17"/>
    <n v="26"/>
    <x v="0"/>
    <x v="0"/>
    <n v="12"/>
    <x v="0"/>
    <s v="Win"/>
    <n v="1"/>
    <n v="0"/>
    <n v="0"/>
    <n v="1"/>
  </r>
  <r>
    <x v="0"/>
    <x v="0"/>
    <x v="1"/>
    <x v="18"/>
    <n v="27"/>
    <x v="0"/>
    <x v="1"/>
    <n v="10"/>
    <x v="0"/>
    <s v="Win"/>
    <n v="1"/>
    <n v="0"/>
    <n v="0"/>
    <n v="1"/>
  </r>
  <r>
    <x v="0"/>
    <x v="0"/>
    <x v="1"/>
    <x v="18"/>
    <n v="27"/>
    <x v="0"/>
    <x v="0"/>
    <n v="10"/>
    <x v="1"/>
    <s v="Win"/>
    <n v="1"/>
    <n v="0"/>
    <n v="0"/>
    <n v="1"/>
  </r>
  <r>
    <x v="0"/>
    <x v="0"/>
    <x v="1"/>
    <x v="18"/>
    <n v="27"/>
    <x v="1"/>
    <x v="0"/>
    <n v="2"/>
    <x v="2"/>
    <s v="Loss"/>
    <n v="0"/>
    <n v="1"/>
    <n v="0"/>
    <n v="1"/>
  </r>
  <r>
    <x v="0"/>
    <x v="0"/>
    <x v="1"/>
    <x v="18"/>
    <n v="27"/>
    <x v="1"/>
    <x v="0"/>
    <n v="2"/>
    <x v="1"/>
    <s v="Loss"/>
    <n v="0"/>
    <n v="1"/>
    <n v="0"/>
    <n v="1"/>
  </r>
  <r>
    <x v="0"/>
    <x v="0"/>
    <x v="1"/>
    <x v="18"/>
    <n v="27"/>
    <x v="2"/>
    <x v="1"/>
    <n v="4"/>
    <x v="2"/>
    <s v="Loss"/>
    <n v="0"/>
    <n v="1"/>
    <n v="0"/>
    <n v="1"/>
  </r>
  <r>
    <x v="0"/>
    <x v="0"/>
    <x v="1"/>
    <x v="18"/>
    <n v="27"/>
    <x v="2"/>
    <x v="1"/>
    <n v="4"/>
    <x v="0"/>
    <s v="Win"/>
    <n v="1"/>
    <n v="0"/>
    <n v="0"/>
    <n v="1"/>
  </r>
  <r>
    <x v="0"/>
    <x v="0"/>
    <x v="1"/>
    <x v="19"/>
    <n v="28"/>
    <x v="0"/>
    <x v="0"/>
    <n v="7"/>
    <x v="0"/>
    <s v="Win"/>
    <n v="1"/>
    <n v="0"/>
    <n v="0"/>
    <n v="1"/>
  </r>
  <r>
    <x v="0"/>
    <x v="0"/>
    <x v="1"/>
    <x v="19"/>
    <n v="28"/>
    <x v="1"/>
    <x v="1"/>
    <n v="4"/>
    <x v="2"/>
    <s v="Loss"/>
    <n v="0"/>
    <n v="1"/>
    <n v="0"/>
    <n v="1"/>
  </r>
  <r>
    <x v="0"/>
    <x v="0"/>
    <x v="1"/>
    <x v="20"/>
    <n v="29"/>
    <x v="0"/>
    <x v="1"/>
    <n v="5"/>
    <x v="0"/>
    <s v="Loss"/>
    <n v="0"/>
    <n v="1"/>
    <n v="0"/>
    <n v="1"/>
  </r>
  <r>
    <x v="0"/>
    <x v="0"/>
    <x v="1"/>
    <x v="20"/>
    <n v="29"/>
    <x v="1"/>
    <x v="0"/>
    <n v="10"/>
    <x v="2"/>
    <s v="Win"/>
    <n v="1"/>
    <n v="0"/>
    <n v="0"/>
    <n v="1"/>
  </r>
  <r>
    <x v="0"/>
    <x v="0"/>
    <x v="1"/>
    <x v="21"/>
    <n v="30"/>
    <x v="0"/>
    <x v="1"/>
    <n v="7"/>
    <x v="0"/>
    <s v="Win"/>
    <n v="1"/>
    <n v="0"/>
    <n v="0"/>
    <n v="1"/>
  </r>
  <r>
    <x v="0"/>
    <x v="0"/>
    <x v="1"/>
    <x v="21"/>
    <n v="30"/>
    <x v="1"/>
    <x v="0"/>
    <n v="2"/>
    <x v="2"/>
    <s v="Loss"/>
    <n v="0"/>
    <n v="1"/>
    <n v="0"/>
    <n v="1"/>
  </r>
  <r>
    <x v="0"/>
    <x v="0"/>
    <x v="1"/>
    <x v="22"/>
    <n v="31"/>
    <x v="0"/>
    <x v="0"/>
    <n v="6"/>
    <x v="0"/>
    <s v="Win"/>
    <n v="1"/>
    <n v="0"/>
    <n v="0"/>
    <n v="1"/>
  </r>
  <r>
    <x v="0"/>
    <x v="0"/>
    <x v="1"/>
    <x v="22"/>
    <n v="31"/>
    <x v="1"/>
    <x v="1"/>
    <n v="5"/>
    <x v="2"/>
    <s v="Loss"/>
    <n v="0"/>
    <n v="1"/>
    <n v="0"/>
    <n v="1"/>
  </r>
  <r>
    <x v="0"/>
    <x v="1"/>
    <x v="1"/>
    <x v="23"/>
    <n v="32"/>
    <x v="1"/>
    <x v="0"/>
    <n v="5"/>
    <x v="2"/>
    <s v="Win"/>
    <n v="1"/>
    <n v="0"/>
    <n v="0"/>
    <n v="1"/>
  </r>
  <r>
    <x v="0"/>
    <x v="1"/>
    <x v="1"/>
    <x v="23"/>
    <n v="32"/>
    <x v="0"/>
    <x v="1"/>
    <n v="4"/>
    <x v="0"/>
    <s v="Loss"/>
    <n v="0"/>
    <n v="1"/>
    <n v="0"/>
    <n v="1"/>
  </r>
  <r>
    <x v="0"/>
    <x v="1"/>
    <x v="1"/>
    <x v="23"/>
    <n v="33"/>
    <x v="0"/>
    <x v="1"/>
    <n v="4"/>
    <x v="0"/>
    <s v="Loss"/>
    <n v="0"/>
    <n v="1"/>
    <n v="0"/>
    <n v="1"/>
  </r>
  <r>
    <x v="0"/>
    <x v="1"/>
    <x v="1"/>
    <x v="23"/>
    <n v="33"/>
    <x v="0"/>
    <x v="1"/>
    <n v="4"/>
    <x v="1"/>
    <s v="Win"/>
    <n v="1"/>
    <n v="0"/>
    <n v="0"/>
    <n v="1"/>
  </r>
  <r>
    <x v="0"/>
    <x v="1"/>
    <x v="1"/>
    <x v="23"/>
    <n v="33"/>
    <x v="1"/>
    <x v="0"/>
    <n v="5"/>
    <x v="2"/>
    <s v="Win"/>
    <n v="1"/>
    <n v="0"/>
    <n v="0"/>
    <n v="1"/>
  </r>
  <r>
    <x v="0"/>
    <x v="1"/>
    <x v="1"/>
    <x v="23"/>
    <n v="33"/>
    <x v="1"/>
    <x v="1"/>
    <n v="5"/>
    <x v="1"/>
    <s v="Win"/>
    <n v="1"/>
    <n v="0"/>
    <n v="0"/>
    <n v="1"/>
  </r>
  <r>
    <x v="0"/>
    <x v="1"/>
    <x v="1"/>
    <x v="23"/>
    <n v="33"/>
    <x v="2"/>
    <x v="0"/>
    <n v="2"/>
    <x v="2"/>
    <s v="Loss"/>
    <n v="0"/>
    <n v="1"/>
    <n v="0"/>
    <n v="1"/>
  </r>
  <r>
    <x v="0"/>
    <x v="1"/>
    <x v="1"/>
    <x v="23"/>
    <n v="33"/>
    <x v="2"/>
    <x v="0"/>
    <n v="2"/>
    <x v="0"/>
    <s v="Loss"/>
    <n v="0"/>
    <n v="1"/>
    <n v="0"/>
    <n v="1"/>
  </r>
  <r>
    <x v="0"/>
    <x v="2"/>
    <x v="1"/>
    <x v="24"/>
    <n v="34"/>
    <x v="2"/>
    <x v="1"/>
    <n v="1"/>
    <x v="2"/>
    <s v="Loss"/>
    <n v="0"/>
    <n v="1"/>
    <n v="0"/>
    <n v="1"/>
  </r>
  <r>
    <x v="0"/>
    <x v="2"/>
    <x v="1"/>
    <x v="24"/>
    <n v="34"/>
    <x v="1"/>
    <x v="0"/>
    <n v="1"/>
    <x v="1"/>
    <s v="Tie"/>
    <n v="0"/>
    <n v="0"/>
    <n v="1"/>
    <n v="1"/>
  </r>
  <r>
    <x v="0"/>
    <x v="2"/>
    <x v="1"/>
    <x v="24"/>
    <n v="34"/>
    <x v="1"/>
    <x v="0"/>
    <n v="1"/>
    <x v="2"/>
    <s v="Loss"/>
    <n v="0"/>
    <n v="1"/>
    <n v="0"/>
    <n v="1"/>
  </r>
  <r>
    <x v="0"/>
    <x v="2"/>
    <x v="1"/>
    <x v="24"/>
    <n v="34"/>
    <x v="2"/>
    <x v="1"/>
    <n v="1"/>
    <x v="0"/>
    <s v="Tie"/>
    <n v="0"/>
    <n v="0"/>
    <n v="1"/>
    <n v="1"/>
  </r>
  <r>
    <x v="0"/>
    <x v="2"/>
    <x v="1"/>
    <x v="24"/>
    <n v="34"/>
    <x v="0"/>
    <x v="0"/>
    <n v="8"/>
    <x v="1"/>
    <s v="Win"/>
    <n v="1"/>
    <n v="0"/>
    <n v="0"/>
    <n v="1"/>
  </r>
  <r>
    <x v="0"/>
    <x v="2"/>
    <x v="1"/>
    <x v="24"/>
    <n v="34"/>
    <x v="0"/>
    <x v="1"/>
    <n v="8"/>
    <x v="0"/>
    <s v="Win"/>
    <n v="1"/>
    <n v="0"/>
    <n v="0"/>
    <n v="1"/>
  </r>
  <r>
    <x v="0"/>
    <x v="0"/>
    <x v="1"/>
    <x v="25"/>
    <n v="35"/>
    <x v="1"/>
    <x v="1"/>
    <n v="2"/>
    <x v="2"/>
    <s v="Loss"/>
    <n v="0"/>
    <n v="1"/>
    <n v="0"/>
    <n v="1"/>
  </r>
  <r>
    <x v="0"/>
    <x v="0"/>
    <x v="1"/>
    <x v="25"/>
    <n v="35"/>
    <x v="0"/>
    <x v="0"/>
    <n v="8"/>
    <x v="0"/>
    <s v="Win"/>
    <n v="1"/>
    <n v="0"/>
    <n v="0"/>
    <n v="1"/>
  </r>
  <r>
    <x v="0"/>
    <x v="1"/>
    <x v="1"/>
    <x v="26"/>
    <n v="36"/>
    <x v="1"/>
    <x v="0"/>
    <n v="2"/>
    <x v="2"/>
    <s v="Win"/>
    <n v="1"/>
    <n v="0"/>
    <n v="0"/>
    <n v="1"/>
  </r>
  <r>
    <x v="0"/>
    <x v="1"/>
    <x v="1"/>
    <x v="26"/>
    <n v="36"/>
    <x v="2"/>
    <x v="1"/>
    <n v="0"/>
    <x v="2"/>
    <s v="Loss"/>
    <n v="0"/>
    <n v="1"/>
    <n v="0"/>
    <n v="1"/>
  </r>
  <r>
    <x v="0"/>
    <x v="1"/>
    <x v="1"/>
    <x v="26"/>
    <n v="36"/>
    <x v="1"/>
    <x v="0"/>
    <n v="2"/>
    <x v="1"/>
    <s v="Win"/>
    <n v="1"/>
    <n v="0"/>
    <n v="0"/>
    <n v="1"/>
  </r>
  <r>
    <x v="0"/>
    <x v="1"/>
    <x v="1"/>
    <x v="26"/>
    <n v="36"/>
    <x v="0"/>
    <x v="0"/>
    <n v="1"/>
    <x v="1"/>
    <s v="Win"/>
    <n v="1"/>
    <n v="0"/>
    <n v="0"/>
    <n v="1"/>
  </r>
  <r>
    <x v="0"/>
    <x v="1"/>
    <x v="1"/>
    <x v="26"/>
    <n v="36"/>
    <x v="0"/>
    <x v="1"/>
    <n v="1"/>
    <x v="0"/>
    <s v="Loss"/>
    <n v="0"/>
    <n v="1"/>
    <n v="0"/>
    <n v="1"/>
  </r>
  <r>
    <x v="0"/>
    <x v="1"/>
    <x v="1"/>
    <x v="26"/>
    <n v="36"/>
    <x v="2"/>
    <x v="1"/>
    <n v="0"/>
    <x v="0"/>
    <s v="Loss"/>
    <n v="0"/>
    <n v="1"/>
    <n v="0"/>
    <n v="1"/>
  </r>
  <r>
    <x v="0"/>
    <x v="0"/>
    <x v="1"/>
    <x v="26"/>
    <n v="37"/>
    <x v="1"/>
    <x v="0"/>
    <n v="6"/>
    <x v="2"/>
    <s v="Loss"/>
    <n v="0"/>
    <n v="1"/>
    <n v="0"/>
    <n v="1"/>
  </r>
  <r>
    <x v="0"/>
    <x v="0"/>
    <x v="1"/>
    <x v="26"/>
    <n v="37"/>
    <x v="0"/>
    <x v="1"/>
    <n v="8"/>
    <x v="0"/>
    <s v="Win"/>
    <n v="1"/>
    <n v="0"/>
    <n v="0"/>
    <n v="1"/>
  </r>
  <r>
    <x v="0"/>
    <x v="2"/>
    <x v="1"/>
    <x v="27"/>
    <n v="38"/>
    <x v="0"/>
    <x v="0"/>
    <n v="1"/>
    <x v="0"/>
    <s v="Loss"/>
    <n v="0"/>
    <n v="1"/>
    <n v="0"/>
    <n v="1"/>
  </r>
  <r>
    <x v="0"/>
    <x v="2"/>
    <x v="1"/>
    <x v="27"/>
    <n v="38"/>
    <x v="3"/>
    <x v="1"/>
    <n v="9"/>
    <x v="2"/>
    <s v="Win"/>
    <n v="1"/>
    <n v="0"/>
    <n v="0"/>
    <n v="1"/>
  </r>
  <r>
    <x v="0"/>
    <x v="2"/>
    <x v="1"/>
    <x v="27"/>
    <n v="38"/>
    <x v="3"/>
    <x v="1"/>
    <n v="9"/>
    <x v="0"/>
    <s v="Win"/>
    <n v="1"/>
    <n v="0"/>
    <n v="0"/>
    <n v="1"/>
  </r>
  <r>
    <x v="0"/>
    <x v="2"/>
    <x v="1"/>
    <x v="27"/>
    <n v="38"/>
    <x v="1"/>
    <x v="1"/>
    <n v="4"/>
    <x v="2"/>
    <s v="Win"/>
    <n v="1"/>
    <n v="0"/>
    <n v="0"/>
    <n v="1"/>
  </r>
  <r>
    <x v="0"/>
    <x v="2"/>
    <x v="1"/>
    <x v="27"/>
    <n v="38"/>
    <x v="1"/>
    <x v="0"/>
    <n v="4"/>
    <x v="3"/>
    <s v="Loss"/>
    <n v="0"/>
    <n v="1"/>
    <n v="0"/>
    <n v="1"/>
  </r>
  <r>
    <x v="0"/>
    <x v="2"/>
    <x v="1"/>
    <x v="27"/>
    <n v="38"/>
    <x v="0"/>
    <x v="0"/>
    <n v="1"/>
    <x v="3"/>
    <s v="Loss"/>
    <n v="0"/>
    <n v="1"/>
    <n v="0"/>
    <n v="1"/>
  </r>
  <r>
    <x v="0"/>
    <x v="0"/>
    <x v="1"/>
    <x v="28"/>
    <n v="39"/>
    <x v="1"/>
    <x v="1"/>
    <n v="6"/>
    <x v="2"/>
    <s v="Loss"/>
    <n v="0"/>
    <n v="1"/>
    <n v="0"/>
    <n v="1"/>
  </r>
  <r>
    <x v="0"/>
    <x v="0"/>
    <x v="1"/>
    <x v="28"/>
    <n v="39"/>
    <x v="0"/>
    <x v="0"/>
    <n v="15"/>
    <x v="0"/>
    <s v="Win"/>
    <n v="1"/>
    <n v="0"/>
    <n v="0"/>
    <n v="1"/>
  </r>
  <r>
    <x v="0"/>
    <x v="1"/>
    <x v="1"/>
    <x v="28"/>
    <n v="40"/>
    <x v="0"/>
    <x v="0"/>
    <n v="8"/>
    <x v="0"/>
    <s v="Win"/>
    <n v="1"/>
    <n v="0"/>
    <n v="0"/>
    <n v="1"/>
  </r>
  <r>
    <x v="0"/>
    <x v="1"/>
    <x v="1"/>
    <x v="28"/>
    <n v="40"/>
    <x v="1"/>
    <x v="1"/>
    <n v="6"/>
    <x v="2"/>
    <s v="Loss"/>
    <n v="0"/>
    <n v="1"/>
    <n v="0"/>
    <n v="1"/>
  </r>
  <r>
    <x v="0"/>
    <x v="2"/>
    <x v="1"/>
    <x v="28"/>
    <n v="41"/>
    <x v="1"/>
    <x v="1"/>
    <n v="2"/>
    <x v="2"/>
    <s v="Loss"/>
    <n v="0"/>
    <n v="1"/>
    <n v="0"/>
    <n v="1"/>
  </r>
  <r>
    <x v="0"/>
    <x v="2"/>
    <x v="1"/>
    <x v="28"/>
    <n v="41"/>
    <x v="0"/>
    <x v="0"/>
    <n v="4"/>
    <x v="0"/>
    <s v="Win"/>
    <n v="1"/>
    <n v="0"/>
    <n v="0"/>
    <n v="1"/>
  </r>
  <r>
    <x v="0"/>
    <x v="1"/>
    <x v="1"/>
    <x v="29"/>
    <n v="42"/>
    <x v="1"/>
    <x v="0"/>
    <n v="6"/>
    <x v="2"/>
    <s v="Win"/>
    <n v="1"/>
    <n v="0"/>
    <n v="0"/>
    <n v="1"/>
  </r>
  <r>
    <x v="0"/>
    <x v="1"/>
    <x v="1"/>
    <x v="29"/>
    <n v="42"/>
    <x v="0"/>
    <x v="1"/>
    <n v="5"/>
    <x v="0"/>
    <s v="Loss"/>
    <n v="0"/>
    <n v="1"/>
    <n v="0"/>
    <n v="1"/>
  </r>
  <r>
    <x v="0"/>
    <x v="0"/>
    <x v="1"/>
    <x v="30"/>
    <n v="43"/>
    <x v="3"/>
    <x v="1"/>
    <n v="4"/>
    <x v="0"/>
    <s v="Loss"/>
    <n v="0"/>
    <n v="1"/>
    <n v="0"/>
    <n v="1"/>
  </r>
  <r>
    <x v="0"/>
    <x v="0"/>
    <x v="1"/>
    <x v="30"/>
    <n v="43"/>
    <x v="0"/>
    <x v="1"/>
    <n v="8"/>
    <x v="0"/>
    <s v="Win"/>
    <n v="1"/>
    <n v="0"/>
    <n v="0"/>
    <n v="1"/>
  </r>
  <r>
    <x v="0"/>
    <x v="0"/>
    <x v="1"/>
    <x v="30"/>
    <n v="43"/>
    <x v="0"/>
    <x v="0"/>
    <n v="8"/>
    <x v="3"/>
    <s v="Win"/>
    <n v="1"/>
    <n v="0"/>
    <n v="0"/>
    <n v="1"/>
  </r>
  <r>
    <x v="0"/>
    <x v="0"/>
    <x v="1"/>
    <x v="30"/>
    <n v="43"/>
    <x v="1"/>
    <x v="0"/>
    <n v="7"/>
    <x v="3"/>
    <s v="Win"/>
    <n v="1"/>
    <n v="0"/>
    <n v="0"/>
    <n v="1"/>
  </r>
  <r>
    <x v="0"/>
    <x v="0"/>
    <x v="1"/>
    <x v="30"/>
    <n v="43"/>
    <x v="1"/>
    <x v="0"/>
    <n v="7"/>
    <x v="2"/>
    <s v="Loss"/>
    <n v="0"/>
    <n v="1"/>
    <n v="0"/>
    <n v="1"/>
  </r>
  <r>
    <x v="0"/>
    <x v="0"/>
    <x v="1"/>
    <x v="30"/>
    <n v="43"/>
    <x v="3"/>
    <x v="1"/>
    <n v="4"/>
    <x v="2"/>
    <s v="Loss"/>
    <n v="0"/>
    <n v="1"/>
    <n v="0"/>
    <n v="1"/>
  </r>
  <r>
    <x v="0"/>
    <x v="0"/>
    <x v="1"/>
    <x v="31"/>
    <n v="44"/>
    <x v="1"/>
    <x v="1"/>
    <n v="5"/>
    <x v="2"/>
    <s v="Loss"/>
    <n v="0"/>
    <n v="1"/>
    <n v="0"/>
    <n v="1"/>
  </r>
  <r>
    <x v="0"/>
    <x v="0"/>
    <x v="1"/>
    <x v="31"/>
    <n v="44"/>
    <x v="0"/>
    <x v="0"/>
    <n v="7"/>
    <x v="4"/>
    <s v="Win"/>
    <n v="1"/>
    <n v="0"/>
    <n v="0"/>
    <n v="1"/>
  </r>
  <r>
    <x v="0"/>
    <x v="0"/>
    <x v="1"/>
    <x v="31"/>
    <n v="44"/>
    <x v="1"/>
    <x v="0"/>
    <n v="5"/>
    <x v="4"/>
    <s v="Win"/>
    <n v="1"/>
    <n v="0"/>
    <n v="0"/>
    <n v="1"/>
  </r>
  <r>
    <x v="0"/>
    <x v="0"/>
    <x v="1"/>
    <x v="31"/>
    <n v="44"/>
    <x v="4"/>
    <x v="1"/>
    <n v="2"/>
    <x v="2"/>
    <s v="Loss"/>
    <n v="0"/>
    <n v="1"/>
    <n v="0"/>
    <n v="1"/>
  </r>
  <r>
    <x v="0"/>
    <x v="0"/>
    <x v="1"/>
    <x v="31"/>
    <n v="44"/>
    <x v="0"/>
    <x v="0"/>
    <n v="7"/>
    <x v="0"/>
    <s v="Win"/>
    <n v="1"/>
    <n v="0"/>
    <n v="0"/>
    <n v="1"/>
  </r>
  <r>
    <x v="0"/>
    <x v="0"/>
    <x v="1"/>
    <x v="31"/>
    <n v="44"/>
    <x v="4"/>
    <x v="1"/>
    <n v="2"/>
    <x v="0"/>
    <s v="Loss"/>
    <n v="0"/>
    <n v="1"/>
    <n v="0"/>
    <n v="1"/>
  </r>
  <r>
    <x v="1"/>
    <x v="0"/>
    <x v="1"/>
    <x v="31"/>
    <n v="45"/>
    <x v="0"/>
    <x v="1"/>
    <n v="7"/>
    <x v="0"/>
    <s v="Win"/>
    <n v="1"/>
    <n v="0"/>
    <n v="0"/>
    <n v="1"/>
  </r>
  <r>
    <x v="1"/>
    <x v="0"/>
    <x v="1"/>
    <x v="31"/>
    <n v="45"/>
    <x v="1"/>
    <x v="1"/>
    <n v="1"/>
    <x v="3"/>
    <s v="Win"/>
    <n v="1"/>
    <n v="0"/>
    <n v="0"/>
    <n v="1"/>
  </r>
  <r>
    <x v="1"/>
    <x v="0"/>
    <x v="1"/>
    <x v="31"/>
    <n v="45"/>
    <x v="1"/>
    <x v="0"/>
    <n v="1"/>
    <x v="2"/>
    <s v="Loss"/>
    <n v="0"/>
    <n v="1"/>
    <n v="0"/>
    <n v="1"/>
  </r>
  <r>
    <x v="1"/>
    <x v="0"/>
    <x v="1"/>
    <x v="31"/>
    <n v="45"/>
    <x v="3"/>
    <x v="0"/>
    <n v="0"/>
    <x v="0"/>
    <s v="Loss"/>
    <n v="0"/>
    <n v="1"/>
    <n v="0"/>
    <n v="1"/>
  </r>
  <r>
    <x v="1"/>
    <x v="0"/>
    <x v="1"/>
    <x v="31"/>
    <n v="45"/>
    <x v="3"/>
    <x v="0"/>
    <n v="0"/>
    <x v="2"/>
    <s v="Loss"/>
    <n v="0"/>
    <n v="1"/>
    <n v="0"/>
    <n v="1"/>
  </r>
  <r>
    <x v="1"/>
    <x v="0"/>
    <x v="1"/>
    <x v="31"/>
    <n v="45"/>
    <x v="0"/>
    <x v="1"/>
    <n v="7"/>
    <x v="3"/>
    <s v="Win"/>
    <n v="1"/>
    <n v="0"/>
    <n v="0"/>
    <n v="1"/>
  </r>
  <r>
    <x v="0"/>
    <x v="1"/>
    <x v="1"/>
    <x v="31"/>
    <n v="46"/>
    <x v="0"/>
    <x v="0"/>
    <n v="10"/>
    <x v="0"/>
    <s v="Win"/>
    <n v="1"/>
    <n v="0"/>
    <n v="0"/>
    <n v="1"/>
  </r>
  <r>
    <x v="0"/>
    <x v="1"/>
    <x v="1"/>
    <x v="31"/>
    <n v="46"/>
    <x v="1"/>
    <x v="1"/>
    <n v="2"/>
    <x v="2"/>
    <s v="Loss"/>
    <n v="0"/>
    <n v="1"/>
    <n v="0"/>
    <n v="1"/>
  </r>
  <r>
    <x v="0"/>
    <x v="0"/>
    <x v="1"/>
    <x v="31"/>
    <n v="47"/>
    <x v="1"/>
    <x v="0"/>
    <n v="3"/>
    <x v="3"/>
    <s v="Win"/>
    <n v="1"/>
    <n v="0"/>
    <n v="0"/>
    <n v="1"/>
  </r>
  <r>
    <x v="0"/>
    <x v="0"/>
    <x v="1"/>
    <x v="31"/>
    <n v="47"/>
    <x v="3"/>
    <x v="1"/>
    <n v="1"/>
    <x v="0"/>
    <s v="Loss"/>
    <n v="0"/>
    <n v="1"/>
    <n v="0"/>
    <n v="1"/>
  </r>
  <r>
    <x v="0"/>
    <x v="2"/>
    <x v="1"/>
    <x v="32"/>
    <n v="48"/>
    <x v="0"/>
    <x v="1"/>
    <n v="3"/>
    <x v="0"/>
    <s v="Loss"/>
    <n v="0"/>
    <n v="1"/>
    <n v="0"/>
    <n v="1"/>
  </r>
  <r>
    <x v="0"/>
    <x v="2"/>
    <x v="1"/>
    <x v="32"/>
    <n v="48"/>
    <x v="1"/>
    <x v="0"/>
    <n v="4"/>
    <x v="2"/>
    <s v="Win"/>
    <n v="1"/>
    <n v="0"/>
    <n v="0"/>
    <n v="1"/>
  </r>
  <r>
    <x v="0"/>
    <x v="1"/>
    <x v="1"/>
    <x v="32"/>
    <n v="49"/>
    <x v="0"/>
    <x v="0"/>
    <n v="7"/>
    <x v="0"/>
    <s v="Win"/>
    <n v="1"/>
    <n v="0"/>
    <n v="0"/>
    <n v="1"/>
  </r>
  <r>
    <x v="0"/>
    <x v="1"/>
    <x v="1"/>
    <x v="32"/>
    <n v="49"/>
    <x v="1"/>
    <x v="1"/>
    <n v="4"/>
    <x v="2"/>
    <s v="Loss"/>
    <n v="0"/>
    <n v="1"/>
    <n v="0"/>
    <n v="1"/>
  </r>
  <r>
    <x v="0"/>
    <x v="0"/>
    <x v="1"/>
    <x v="32"/>
    <n v="50"/>
    <x v="1"/>
    <x v="1"/>
    <n v="5"/>
    <x v="2"/>
    <s v="Win"/>
    <n v="1"/>
    <n v="0"/>
    <n v="0"/>
    <n v="1"/>
  </r>
  <r>
    <x v="0"/>
    <x v="0"/>
    <x v="1"/>
    <x v="32"/>
    <n v="50"/>
    <x v="0"/>
    <x v="0"/>
    <n v="3"/>
    <x v="0"/>
    <s v="Loss"/>
    <n v="0"/>
    <n v="1"/>
    <n v="0"/>
    <n v="1"/>
  </r>
  <r>
    <x v="0"/>
    <x v="0"/>
    <x v="1"/>
    <x v="32"/>
    <n v="51"/>
    <x v="0"/>
    <x v="1"/>
    <n v="6"/>
    <x v="0"/>
    <s v="Loss"/>
    <n v="0"/>
    <n v="1"/>
    <n v="0"/>
    <n v="1"/>
  </r>
  <r>
    <x v="0"/>
    <x v="0"/>
    <x v="1"/>
    <x v="32"/>
    <n v="51"/>
    <x v="1"/>
    <x v="0"/>
    <n v="7"/>
    <x v="2"/>
    <s v="Win"/>
    <n v="1"/>
    <n v="0"/>
    <n v="0"/>
    <n v="1"/>
  </r>
  <r>
    <x v="0"/>
    <x v="0"/>
    <x v="1"/>
    <x v="32"/>
    <n v="52"/>
    <x v="1"/>
    <x v="1"/>
    <n v="5"/>
    <x v="2"/>
    <s v="Loss"/>
    <n v="0"/>
    <n v="1"/>
    <n v="0"/>
    <n v="1"/>
  </r>
  <r>
    <x v="0"/>
    <x v="0"/>
    <x v="1"/>
    <x v="32"/>
    <n v="52"/>
    <x v="0"/>
    <x v="0"/>
    <n v="10"/>
    <x v="0"/>
    <s v="Win"/>
    <n v="1"/>
    <n v="0"/>
    <n v="0"/>
    <n v="1"/>
  </r>
  <r>
    <x v="0"/>
    <x v="0"/>
    <x v="1"/>
    <x v="33"/>
    <n v="53"/>
    <x v="0"/>
    <x v="0"/>
    <n v="10"/>
    <x v="0"/>
    <s v="Win"/>
    <n v="1"/>
    <n v="0"/>
    <n v="0"/>
    <n v="1"/>
  </r>
  <r>
    <x v="0"/>
    <x v="0"/>
    <x v="1"/>
    <x v="33"/>
    <n v="53"/>
    <x v="1"/>
    <x v="1"/>
    <n v="0"/>
    <x v="2"/>
    <s v="Loss"/>
    <n v="0"/>
    <n v="1"/>
    <n v="0"/>
    <n v="1"/>
  </r>
  <r>
    <x v="0"/>
    <x v="2"/>
    <x v="1"/>
    <x v="33"/>
    <n v="54"/>
    <x v="3"/>
    <x v="0"/>
    <n v="3"/>
    <x v="5"/>
    <s v="Win"/>
    <n v="1"/>
    <n v="0"/>
    <n v="0"/>
    <n v="1"/>
  </r>
  <r>
    <x v="0"/>
    <x v="2"/>
    <x v="1"/>
    <x v="33"/>
    <n v="54"/>
    <x v="2"/>
    <x v="0"/>
    <n v="0"/>
    <x v="3"/>
    <s v="Loss"/>
    <n v="0"/>
    <n v="1"/>
    <n v="0"/>
    <n v="1"/>
  </r>
  <r>
    <x v="0"/>
    <x v="2"/>
    <x v="1"/>
    <x v="33"/>
    <n v="54"/>
    <x v="2"/>
    <x v="0"/>
    <n v="0"/>
    <x v="0"/>
    <s v="Loss"/>
    <n v="0"/>
    <n v="1"/>
    <n v="0"/>
    <n v="1"/>
  </r>
  <r>
    <x v="0"/>
    <x v="2"/>
    <x v="1"/>
    <x v="33"/>
    <n v="54"/>
    <x v="1"/>
    <x v="0"/>
    <n v="3"/>
    <x v="2"/>
    <s v="Loss"/>
    <n v="0"/>
    <n v="1"/>
    <n v="0"/>
    <n v="1"/>
  </r>
  <r>
    <x v="0"/>
    <x v="2"/>
    <x v="1"/>
    <x v="33"/>
    <n v="54"/>
    <x v="2"/>
    <x v="0"/>
    <n v="0"/>
    <x v="2"/>
    <s v="Loss"/>
    <n v="0"/>
    <n v="1"/>
    <n v="0"/>
    <n v="1"/>
  </r>
  <r>
    <x v="0"/>
    <x v="2"/>
    <x v="1"/>
    <x v="33"/>
    <n v="54"/>
    <x v="5"/>
    <x v="1"/>
    <n v="1"/>
    <x v="3"/>
    <s v="Loss"/>
    <n v="0"/>
    <n v="1"/>
    <n v="0"/>
    <n v="1"/>
  </r>
  <r>
    <x v="0"/>
    <x v="2"/>
    <x v="1"/>
    <x v="33"/>
    <n v="54"/>
    <x v="5"/>
    <x v="1"/>
    <n v="1"/>
    <x v="1"/>
    <s v="Win"/>
    <n v="1"/>
    <n v="0"/>
    <n v="0"/>
    <n v="1"/>
  </r>
  <r>
    <x v="0"/>
    <x v="2"/>
    <x v="1"/>
    <x v="33"/>
    <n v="54"/>
    <x v="5"/>
    <x v="1"/>
    <n v="1"/>
    <x v="0"/>
    <s v="Loss"/>
    <n v="0"/>
    <n v="1"/>
    <n v="0"/>
    <n v="1"/>
  </r>
  <r>
    <x v="0"/>
    <x v="2"/>
    <x v="1"/>
    <x v="33"/>
    <n v="54"/>
    <x v="5"/>
    <x v="1"/>
    <n v="1"/>
    <x v="2"/>
    <s v="Loss"/>
    <n v="0"/>
    <n v="1"/>
    <n v="0"/>
    <n v="1"/>
  </r>
  <r>
    <x v="0"/>
    <x v="2"/>
    <x v="1"/>
    <x v="33"/>
    <n v="54"/>
    <x v="1"/>
    <x v="0"/>
    <n v="3"/>
    <x v="5"/>
    <s v="Win"/>
    <n v="1"/>
    <n v="0"/>
    <n v="0"/>
    <n v="1"/>
  </r>
  <r>
    <x v="0"/>
    <x v="2"/>
    <x v="1"/>
    <x v="33"/>
    <n v="54"/>
    <x v="1"/>
    <x v="0"/>
    <n v="3"/>
    <x v="3"/>
    <s v="Tie"/>
    <n v="0"/>
    <n v="0"/>
    <n v="1"/>
    <n v="1"/>
  </r>
  <r>
    <x v="0"/>
    <x v="2"/>
    <x v="1"/>
    <x v="33"/>
    <n v="54"/>
    <x v="1"/>
    <x v="1"/>
    <n v="3"/>
    <x v="1"/>
    <s v="Win"/>
    <n v="1"/>
    <n v="0"/>
    <n v="0"/>
    <n v="1"/>
  </r>
  <r>
    <x v="0"/>
    <x v="2"/>
    <x v="1"/>
    <x v="33"/>
    <n v="54"/>
    <x v="2"/>
    <x v="0"/>
    <n v="0"/>
    <x v="5"/>
    <s v="Loss"/>
    <n v="0"/>
    <n v="1"/>
    <n v="0"/>
    <n v="1"/>
  </r>
  <r>
    <x v="0"/>
    <x v="2"/>
    <x v="1"/>
    <x v="33"/>
    <n v="54"/>
    <x v="0"/>
    <x v="1"/>
    <n v="6"/>
    <x v="1"/>
    <s v="Win"/>
    <n v="1"/>
    <n v="0"/>
    <n v="0"/>
    <n v="1"/>
  </r>
  <r>
    <x v="0"/>
    <x v="2"/>
    <x v="1"/>
    <x v="33"/>
    <n v="54"/>
    <x v="3"/>
    <x v="1"/>
    <n v="3"/>
    <x v="1"/>
    <s v="Win"/>
    <n v="1"/>
    <n v="0"/>
    <n v="0"/>
    <n v="1"/>
  </r>
  <r>
    <x v="0"/>
    <x v="2"/>
    <x v="1"/>
    <x v="33"/>
    <n v="54"/>
    <x v="3"/>
    <x v="1"/>
    <n v="3"/>
    <x v="0"/>
    <s v="Tie"/>
    <n v="0"/>
    <n v="0"/>
    <n v="1"/>
    <n v="1"/>
  </r>
  <r>
    <x v="0"/>
    <x v="2"/>
    <x v="1"/>
    <x v="33"/>
    <n v="54"/>
    <x v="0"/>
    <x v="1"/>
    <n v="6"/>
    <x v="0"/>
    <s v="Win"/>
    <n v="1"/>
    <n v="0"/>
    <n v="0"/>
    <n v="1"/>
  </r>
  <r>
    <x v="0"/>
    <x v="2"/>
    <x v="1"/>
    <x v="33"/>
    <n v="54"/>
    <x v="0"/>
    <x v="0"/>
    <n v="6"/>
    <x v="3"/>
    <s v="Win"/>
    <n v="1"/>
    <n v="0"/>
    <n v="0"/>
    <n v="1"/>
  </r>
  <r>
    <x v="0"/>
    <x v="2"/>
    <x v="1"/>
    <x v="33"/>
    <n v="54"/>
    <x v="0"/>
    <x v="0"/>
    <n v="6"/>
    <x v="5"/>
    <s v="Win"/>
    <n v="1"/>
    <n v="0"/>
    <n v="0"/>
    <n v="1"/>
  </r>
  <r>
    <x v="0"/>
    <x v="2"/>
    <x v="1"/>
    <x v="33"/>
    <n v="54"/>
    <x v="3"/>
    <x v="1"/>
    <n v="3"/>
    <x v="2"/>
    <s v="Loss"/>
    <n v="0"/>
    <n v="1"/>
    <n v="0"/>
    <n v="1"/>
  </r>
  <r>
    <x v="0"/>
    <x v="0"/>
    <x v="1"/>
    <x v="34"/>
    <n v="55"/>
    <x v="0"/>
    <x v="0"/>
    <n v="9"/>
    <x v="0"/>
    <s v="Win"/>
    <n v="1"/>
    <n v="0"/>
    <n v="0"/>
    <n v="1"/>
  </r>
  <r>
    <x v="0"/>
    <x v="0"/>
    <x v="1"/>
    <x v="34"/>
    <n v="55"/>
    <x v="1"/>
    <x v="1"/>
    <n v="7"/>
    <x v="2"/>
    <s v="Loss"/>
    <n v="0"/>
    <n v="1"/>
    <n v="0"/>
    <n v="1"/>
  </r>
  <r>
    <x v="0"/>
    <x v="1"/>
    <x v="1"/>
    <x v="34"/>
    <n v="56"/>
    <x v="0"/>
    <x v="0"/>
    <n v="10"/>
    <x v="0"/>
    <s v="Win"/>
    <n v="1"/>
    <n v="0"/>
    <n v="0"/>
    <n v="1"/>
  </r>
  <r>
    <x v="0"/>
    <x v="1"/>
    <x v="1"/>
    <x v="34"/>
    <n v="56"/>
    <x v="1"/>
    <x v="1"/>
    <n v="3"/>
    <x v="2"/>
    <s v="Loss"/>
    <n v="0"/>
    <n v="1"/>
    <n v="0"/>
    <n v="1"/>
  </r>
  <r>
    <x v="0"/>
    <x v="0"/>
    <x v="1"/>
    <x v="35"/>
    <n v="57"/>
    <x v="6"/>
    <x v="1"/>
    <n v="0"/>
    <x v="0"/>
    <s v="Loss"/>
    <n v="0"/>
    <n v="1"/>
    <n v="0"/>
    <n v="1"/>
  </r>
  <r>
    <x v="0"/>
    <x v="0"/>
    <x v="1"/>
    <x v="35"/>
    <n v="57"/>
    <x v="6"/>
    <x v="1"/>
    <n v="0"/>
    <x v="2"/>
    <s v="Loss"/>
    <n v="0"/>
    <n v="1"/>
    <n v="0"/>
    <n v="1"/>
  </r>
  <r>
    <x v="0"/>
    <x v="0"/>
    <x v="1"/>
    <x v="35"/>
    <n v="57"/>
    <x v="1"/>
    <x v="0"/>
    <n v="7"/>
    <x v="2"/>
    <s v="Win"/>
    <n v="1"/>
    <n v="0"/>
    <n v="0"/>
    <n v="1"/>
  </r>
  <r>
    <x v="0"/>
    <x v="0"/>
    <x v="1"/>
    <x v="35"/>
    <n v="57"/>
    <x v="1"/>
    <x v="0"/>
    <n v="7"/>
    <x v="6"/>
    <s v="Win"/>
    <n v="1"/>
    <n v="0"/>
    <n v="0"/>
    <n v="1"/>
  </r>
  <r>
    <x v="0"/>
    <x v="0"/>
    <x v="1"/>
    <x v="35"/>
    <n v="57"/>
    <x v="0"/>
    <x v="1"/>
    <n v="5"/>
    <x v="0"/>
    <s v="Loss"/>
    <n v="0"/>
    <n v="1"/>
    <n v="0"/>
    <n v="1"/>
  </r>
  <r>
    <x v="0"/>
    <x v="0"/>
    <x v="1"/>
    <x v="35"/>
    <n v="57"/>
    <x v="0"/>
    <x v="0"/>
    <n v="5"/>
    <x v="6"/>
    <s v="Win"/>
    <n v="1"/>
    <n v="0"/>
    <n v="0"/>
    <n v="1"/>
  </r>
  <r>
    <x v="0"/>
    <x v="1"/>
    <x v="1"/>
    <x v="35"/>
    <n v="58"/>
    <x v="6"/>
    <x v="1"/>
    <n v="4"/>
    <x v="2"/>
    <s v="Loss"/>
    <n v="0"/>
    <n v="1"/>
    <n v="0"/>
    <n v="1"/>
  </r>
  <r>
    <x v="0"/>
    <x v="1"/>
    <x v="1"/>
    <x v="35"/>
    <n v="58"/>
    <x v="0"/>
    <x v="0"/>
    <n v="9"/>
    <x v="6"/>
    <s v="Win"/>
    <n v="1"/>
    <n v="0"/>
    <n v="0"/>
    <n v="1"/>
  </r>
  <r>
    <x v="0"/>
    <x v="1"/>
    <x v="1"/>
    <x v="35"/>
    <n v="58"/>
    <x v="0"/>
    <x v="0"/>
    <n v="9"/>
    <x v="0"/>
    <s v="Win"/>
    <n v="1"/>
    <n v="0"/>
    <n v="0"/>
    <n v="1"/>
  </r>
  <r>
    <x v="0"/>
    <x v="1"/>
    <x v="1"/>
    <x v="35"/>
    <n v="58"/>
    <x v="1"/>
    <x v="0"/>
    <n v="3"/>
    <x v="6"/>
    <s v="Loss"/>
    <n v="0"/>
    <n v="1"/>
    <n v="0"/>
    <n v="1"/>
  </r>
  <r>
    <x v="0"/>
    <x v="1"/>
    <x v="1"/>
    <x v="35"/>
    <n v="58"/>
    <x v="1"/>
    <x v="1"/>
    <n v="3"/>
    <x v="2"/>
    <s v="Loss"/>
    <n v="0"/>
    <n v="1"/>
    <n v="0"/>
    <n v="1"/>
  </r>
  <r>
    <x v="0"/>
    <x v="1"/>
    <x v="1"/>
    <x v="35"/>
    <n v="58"/>
    <x v="6"/>
    <x v="1"/>
    <n v="4"/>
    <x v="0"/>
    <s v="Win"/>
    <n v="1"/>
    <n v="0"/>
    <n v="0"/>
    <n v="1"/>
  </r>
  <r>
    <x v="0"/>
    <x v="2"/>
    <x v="1"/>
    <x v="35"/>
    <n v="59"/>
    <x v="1"/>
    <x v="1"/>
    <n v="1"/>
    <x v="2"/>
    <s v="Loss"/>
    <n v="0"/>
    <n v="1"/>
    <n v="0"/>
    <n v="1"/>
  </r>
  <r>
    <x v="0"/>
    <x v="2"/>
    <x v="1"/>
    <x v="35"/>
    <n v="59"/>
    <x v="0"/>
    <x v="0"/>
    <n v="12"/>
    <x v="0"/>
    <s v="Win"/>
    <n v="1"/>
    <n v="0"/>
    <n v="0"/>
    <n v="1"/>
  </r>
  <r>
    <x v="0"/>
    <x v="0"/>
    <x v="1"/>
    <x v="36"/>
    <n v="60"/>
    <x v="1"/>
    <x v="0"/>
    <n v="12"/>
    <x v="2"/>
    <s v="Win"/>
    <n v="1"/>
    <n v="0"/>
    <n v="0"/>
    <n v="1"/>
  </r>
  <r>
    <x v="0"/>
    <x v="0"/>
    <x v="1"/>
    <x v="36"/>
    <n v="60"/>
    <x v="0"/>
    <x v="1"/>
    <n v="5"/>
    <x v="0"/>
    <s v="Loss"/>
    <n v="0"/>
    <n v="1"/>
    <n v="0"/>
    <n v="1"/>
  </r>
  <r>
    <x v="0"/>
    <x v="1"/>
    <x v="1"/>
    <x v="36"/>
    <n v="61"/>
    <x v="0"/>
    <x v="0"/>
    <n v="13"/>
    <x v="0"/>
    <s v="Win"/>
    <n v="1"/>
    <n v="0"/>
    <n v="0"/>
    <n v="1"/>
  </r>
  <r>
    <x v="0"/>
    <x v="1"/>
    <x v="1"/>
    <x v="36"/>
    <n v="61"/>
    <x v="1"/>
    <x v="1"/>
    <n v="2"/>
    <x v="2"/>
    <s v="Loss"/>
    <n v="0"/>
    <n v="1"/>
    <n v="0"/>
    <n v="1"/>
  </r>
  <r>
    <x v="0"/>
    <x v="2"/>
    <x v="1"/>
    <x v="36"/>
    <n v="62"/>
    <x v="3"/>
    <x v="1"/>
    <n v="1"/>
    <x v="2"/>
    <s v="Loss"/>
    <n v="0"/>
    <n v="1"/>
    <n v="0"/>
    <n v="1"/>
  </r>
  <r>
    <x v="0"/>
    <x v="2"/>
    <x v="1"/>
    <x v="36"/>
    <n v="62"/>
    <x v="3"/>
    <x v="1"/>
    <n v="1"/>
    <x v="0"/>
    <s v="Loss"/>
    <n v="0"/>
    <n v="1"/>
    <n v="0"/>
    <n v="1"/>
  </r>
  <r>
    <x v="0"/>
    <x v="2"/>
    <x v="1"/>
    <x v="36"/>
    <n v="62"/>
    <x v="0"/>
    <x v="0"/>
    <n v="8"/>
    <x v="3"/>
    <s v="Win"/>
    <n v="1"/>
    <n v="0"/>
    <n v="0"/>
    <n v="1"/>
  </r>
  <r>
    <x v="0"/>
    <x v="2"/>
    <x v="1"/>
    <x v="36"/>
    <n v="62"/>
    <x v="1"/>
    <x v="0"/>
    <n v="2"/>
    <x v="2"/>
    <s v="Loss"/>
    <n v="0"/>
    <n v="1"/>
    <n v="0"/>
    <n v="1"/>
  </r>
  <r>
    <x v="0"/>
    <x v="2"/>
    <x v="1"/>
    <x v="36"/>
    <n v="62"/>
    <x v="1"/>
    <x v="0"/>
    <n v="2"/>
    <x v="3"/>
    <s v="Win"/>
    <n v="1"/>
    <n v="0"/>
    <n v="0"/>
    <n v="1"/>
  </r>
  <r>
    <x v="0"/>
    <x v="2"/>
    <x v="1"/>
    <x v="36"/>
    <n v="62"/>
    <x v="0"/>
    <x v="1"/>
    <n v="8"/>
    <x v="0"/>
    <s v="Win"/>
    <n v="1"/>
    <n v="0"/>
    <n v="0"/>
    <n v="1"/>
  </r>
  <r>
    <x v="0"/>
    <x v="0"/>
    <x v="1"/>
    <x v="37"/>
    <n v="63"/>
    <x v="0"/>
    <x v="0"/>
    <n v="9"/>
    <x v="0"/>
    <s v="Win"/>
    <n v="1"/>
    <n v="0"/>
    <n v="0"/>
    <n v="1"/>
  </r>
  <r>
    <x v="0"/>
    <x v="0"/>
    <x v="1"/>
    <x v="37"/>
    <n v="63"/>
    <x v="1"/>
    <x v="1"/>
    <n v="4"/>
    <x v="2"/>
    <s v="Loss"/>
    <n v="0"/>
    <n v="1"/>
    <n v="0"/>
    <n v="1"/>
  </r>
  <r>
    <x v="0"/>
    <x v="0"/>
    <x v="1"/>
    <x v="37"/>
    <n v="64"/>
    <x v="2"/>
    <x v="0"/>
    <n v="7"/>
    <x v="0"/>
    <s v="Loss"/>
    <n v="0"/>
    <n v="1"/>
    <n v="0"/>
    <n v="1"/>
  </r>
  <r>
    <x v="0"/>
    <x v="0"/>
    <x v="1"/>
    <x v="37"/>
    <n v="64"/>
    <x v="1"/>
    <x v="1"/>
    <n v="9"/>
    <x v="1"/>
    <s v="Win"/>
    <n v="1"/>
    <n v="0"/>
    <n v="0"/>
    <n v="1"/>
  </r>
  <r>
    <x v="0"/>
    <x v="0"/>
    <x v="1"/>
    <x v="37"/>
    <n v="65"/>
    <x v="1"/>
    <x v="1"/>
    <n v="3"/>
    <x v="2"/>
    <s v="Loss"/>
    <n v="0"/>
    <n v="1"/>
    <n v="0"/>
    <n v="1"/>
  </r>
  <r>
    <x v="0"/>
    <x v="0"/>
    <x v="1"/>
    <x v="37"/>
    <n v="65"/>
    <x v="3"/>
    <x v="0"/>
    <n v="4"/>
    <x v="0"/>
    <s v="Win"/>
    <n v="1"/>
    <n v="0"/>
    <n v="0"/>
    <n v="1"/>
  </r>
  <r>
    <x v="0"/>
    <x v="0"/>
    <x v="1"/>
    <x v="37"/>
    <n v="65"/>
    <x v="3"/>
    <x v="0"/>
    <n v="4"/>
    <x v="2"/>
    <s v="Loss"/>
    <n v="0"/>
    <n v="1"/>
    <n v="0"/>
    <n v="1"/>
  </r>
  <r>
    <x v="0"/>
    <x v="0"/>
    <x v="1"/>
    <x v="37"/>
    <n v="65"/>
    <x v="0"/>
    <x v="0"/>
    <n v="7"/>
    <x v="0"/>
    <s v="Win"/>
    <n v="1"/>
    <n v="0"/>
    <n v="0"/>
    <n v="1"/>
  </r>
  <r>
    <x v="0"/>
    <x v="0"/>
    <x v="1"/>
    <x v="37"/>
    <n v="65"/>
    <x v="1"/>
    <x v="1"/>
    <n v="3"/>
    <x v="3"/>
    <s v="Loss"/>
    <n v="0"/>
    <n v="1"/>
    <n v="0"/>
    <n v="1"/>
  </r>
  <r>
    <x v="0"/>
    <x v="0"/>
    <x v="1"/>
    <x v="37"/>
    <n v="65"/>
    <x v="0"/>
    <x v="1"/>
    <n v="7"/>
    <x v="3"/>
    <s v="Win"/>
    <n v="1"/>
    <n v="0"/>
    <n v="0"/>
    <n v="1"/>
  </r>
  <r>
    <x v="0"/>
    <x v="2"/>
    <x v="1"/>
    <x v="38"/>
    <n v="66"/>
    <x v="1"/>
    <x v="0"/>
    <n v="3"/>
    <x v="2"/>
    <s v="Loss"/>
    <n v="0"/>
    <n v="1"/>
    <n v="0"/>
    <n v="1"/>
  </r>
  <r>
    <x v="0"/>
    <x v="2"/>
    <x v="1"/>
    <x v="38"/>
    <n v="66"/>
    <x v="0"/>
    <x v="1"/>
    <n v="6"/>
    <x v="0"/>
    <s v="Win"/>
    <n v="1"/>
    <n v="0"/>
    <n v="0"/>
    <n v="1"/>
  </r>
  <r>
    <x v="0"/>
    <x v="1"/>
    <x v="1"/>
    <x v="38"/>
    <n v="67"/>
    <x v="0"/>
    <x v="0"/>
    <n v="11"/>
    <x v="0"/>
    <s v="Win"/>
    <n v="1"/>
    <n v="0"/>
    <n v="0"/>
    <n v="1"/>
  </r>
  <r>
    <x v="0"/>
    <x v="1"/>
    <x v="1"/>
    <x v="38"/>
    <n v="67"/>
    <x v="1"/>
    <x v="1"/>
    <n v="3"/>
    <x v="2"/>
    <s v="Loss"/>
    <n v="0"/>
    <n v="1"/>
    <n v="0"/>
    <n v="1"/>
  </r>
  <r>
    <x v="0"/>
    <x v="0"/>
    <x v="1"/>
    <x v="38"/>
    <n v="68"/>
    <x v="0"/>
    <x v="1"/>
    <n v="10"/>
    <x v="0"/>
    <s v="Win"/>
    <n v="1"/>
    <n v="0"/>
    <n v="0"/>
    <n v="1"/>
  </r>
  <r>
    <x v="0"/>
    <x v="0"/>
    <x v="1"/>
    <x v="38"/>
    <n v="68"/>
    <x v="0"/>
    <x v="0"/>
    <n v="10"/>
    <x v="1"/>
    <s v="Win"/>
    <n v="1"/>
    <n v="0"/>
    <n v="0"/>
    <n v="1"/>
  </r>
  <r>
    <x v="0"/>
    <x v="0"/>
    <x v="1"/>
    <x v="38"/>
    <n v="68"/>
    <x v="1"/>
    <x v="0"/>
    <n v="1"/>
    <x v="2"/>
    <s v="Loss"/>
    <n v="0"/>
    <n v="1"/>
    <n v="0"/>
    <n v="1"/>
  </r>
  <r>
    <x v="0"/>
    <x v="0"/>
    <x v="1"/>
    <x v="38"/>
    <n v="68"/>
    <x v="1"/>
    <x v="0"/>
    <n v="1"/>
    <x v="1"/>
    <s v="Loss"/>
    <n v="0"/>
    <n v="1"/>
    <n v="0"/>
    <n v="1"/>
  </r>
  <r>
    <x v="0"/>
    <x v="0"/>
    <x v="1"/>
    <x v="38"/>
    <n v="68"/>
    <x v="2"/>
    <x v="1"/>
    <n v="4"/>
    <x v="2"/>
    <s v="Loss"/>
    <n v="0"/>
    <n v="1"/>
    <n v="0"/>
    <n v="1"/>
  </r>
  <r>
    <x v="0"/>
    <x v="0"/>
    <x v="1"/>
    <x v="38"/>
    <n v="68"/>
    <x v="2"/>
    <x v="1"/>
    <n v="4"/>
    <x v="0"/>
    <s v="Win"/>
    <n v="1"/>
    <n v="0"/>
    <n v="0"/>
    <n v="1"/>
  </r>
  <r>
    <x v="0"/>
    <x v="0"/>
    <x v="1"/>
    <x v="38"/>
    <n v="69"/>
    <x v="1"/>
    <x v="0"/>
    <n v="5"/>
    <x v="1"/>
    <s v="Win"/>
    <n v="1"/>
    <n v="0"/>
    <n v="0"/>
    <n v="1"/>
  </r>
  <r>
    <x v="0"/>
    <x v="0"/>
    <x v="1"/>
    <x v="38"/>
    <n v="69"/>
    <x v="2"/>
    <x v="1"/>
    <n v="4"/>
    <x v="0"/>
    <s v="Loss"/>
    <n v="0"/>
    <n v="1"/>
    <n v="0"/>
    <n v="1"/>
  </r>
  <r>
    <x v="0"/>
    <x v="0"/>
    <x v="1"/>
    <x v="38"/>
    <n v="69"/>
    <x v="0"/>
    <x v="0"/>
    <n v="11"/>
    <x v="1"/>
    <s v="Win"/>
    <n v="1"/>
    <n v="0"/>
    <n v="0"/>
    <n v="1"/>
  </r>
  <r>
    <x v="0"/>
    <x v="0"/>
    <x v="1"/>
    <x v="38"/>
    <n v="69"/>
    <x v="0"/>
    <x v="0"/>
    <n v="11"/>
    <x v="0"/>
    <s v="Win"/>
    <n v="1"/>
    <n v="0"/>
    <n v="0"/>
    <n v="1"/>
  </r>
  <r>
    <x v="0"/>
    <x v="0"/>
    <x v="1"/>
    <x v="38"/>
    <n v="69"/>
    <x v="1"/>
    <x v="1"/>
    <n v="5"/>
    <x v="2"/>
    <s v="Loss"/>
    <n v="0"/>
    <n v="1"/>
    <n v="0"/>
    <n v="1"/>
  </r>
  <r>
    <x v="0"/>
    <x v="0"/>
    <x v="1"/>
    <x v="38"/>
    <n v="69"/>
    <x v="2"/>
    <x v="1"/>
    <n v="4"/>
    <x v="2"/>
    <s v="Loss"/>
    <n v="0"/>
    <n v="1"/>
    <n v="0"/>
    <n v="1"/>
  </r>
  <r>
    <x v="0"/>
    <x v="0"/>
    <x v="1"/>
    <x v="39"/>
    <n v="70"/>
    <x v="0"/>
    <x v="1"/>
    <n v="9"/>
    <x v="0"/>
    <s v="Win"/>
    <n v="1"/>
    <n v="0"/>
    <n v="0"/>
    <n v="1"/>
  </r>
  <r>
    <x v="0"/>
    <x v="0"/>
    <x v="1"/>
    <x v="39"/>
    <n v="70"/>
    <x v="1"/>
    <x v="0"/>
    <n v="7"/>
    <x v="2"/>
    <s v="Loss"/>
    <n v="0"/>
    <n v="1"/>
    <n v="0"/>
    <n v="1"/>
  </r>
  <r>
    <x v="0"/>
    <x v="1"/>
    <x v="1"/>
    <x v="39"/>
    <n v="71"/>
    <x v="1"/>
    <x v="1"/>
    <n v="8"/>
    <x v="2"/>
    <s v="Loss"/>
    <n v="0"/>
    <n v="1"/>
    <n v="0"/>
    <n v="1"/>
  </r>
  <r>
    <x v="0"/>
    <x v="1"/>
    <x v="1"/>
    <x v="39"/>
    <n v="71"/>
    <x v="0"/>
    <x v="0"/>
    <n v="13"/>
    <x v="0"/>
    <s v="Win"/>
    <n v="1"/>
    <n v="0"/>
    <n v="0"/>
    <n v="1"/>
  </r>
  <r>
    <x v="0"/>
    <x v="0"/>
    <x v="1"/>
    <x v="40"/>
    <n v="72"/>
    <x v="0"/>
    <x v="0"/>
    <n v="4"/>
    <x v="0"/>
    <s v="Win"/>
    <n v="1"/>
    <n v="0"/>
    <n v="0"/>
    <n v="1"/>
  </r>
  <r>
    <x v="0"/>
    <x v="0"/>
    <x v="1"/>
    <x v="40"/>
    <n v="72"/>
    <x v="0"/>
    <x v="1"/>
    <n v="4"/>
    <x v="3"/>
    <s v="Win"/>
    <n v="1"/>
    <n v="0"/>
    <n v="0"/>
    <n v="1"/>
  </r>
  <r>
    <x v="0"/>
    <x v="0"/>
    <x v="1"/>
    <x v="40"/>
    <n v="72"/>
    <x v="3"/>
    <x v="0"/>
    <n v="0"/>
    <x v="2"/>
    <s v="Loss"/>
    <n v="0"/>
    <n v="1"/>
    <n v="0"/>
    <n v="1"/>
  </r>
  <r>
    <x v="0"/>
    <x v="0"/>
    <x v="1"/>
    <x v="40"/>
    <n v="72"/>
    <x v="3"/>
    <x v="0"/>
    <n v="0"/>
    <x v="0"/>
    <s v="Loss"/>
    <n v="0"/>
    <n v="1"/>
    <n v="0"/>
    <n v="1"/>
  </r>
  <r>
    <x v="0"/>
    <x v="0"/>
    <x v="1"/>
    <x v="40"/>
    <n v="72"/>
    <x v="1"/>
    <x v="1"/>
    <n v="1"/>
    <x v="2"/>
    <s v="Loss"/>
    <n v="0"/>
    <n v="1"/>
    <n v="0"/>
    <n v="1"/>
  </r>
  <r>
    <x v="0"/>
    <x v="0"/>
    <x v="1"/>
    <x v="40"/>
    <n v="72"/>
    <x v="1"/>
    <x v="1"/>
    <n v="1"/>
    <x v="3"/>
    <s v="Win"/>
    <n v="1"/>
    <n v="0"/>
    <n v="0"/>
    <n v="1"/>
  </r>
  <r>
    <x v="0"/>
    <x v="1"/>
    <x v="1"/>
    <x v="40"/>
    <n v="73"/>
    <x v="0"/>
    <x v="1"/>
    <n v="2"/>
    <x v="0"/>
    <s v="Loss"/>
    <n v="0"/>
    <n v="1"/>
    <n v="0"/>
    <n v="1"/>
  </r>
  <r>
    <x v="0"/>
    <x v="1"/>
    <x v="1"/>
    <x v="40"/>
    <n v="73"/>
    <x v="1"/>
    <x v="0"/>
    <n v="10"/>
    <x v="2"/>
    <s v="Win"/>
    <n v="1"/>
    <n v="0"/>
    <n v="0"/>
    <n v="1"/>
  </r>
  <r>
    <x v="0"/>
    <x v="2"/>
    <x v="1"/>
    <x v="40"/>
    <n v="74"/>
    <x v="3"/>
    <x v="1"/>
    <n v="3"/>
    <x v="0"/>
    <s v="Win"/>
    <n v="1"/>
    <n v="0"/>
    <n v="0"/>
    <n v="1"/>
  </r>
  <r>
    <x v="0"/>
    <x v="2"/>
    <x v="1"/>
    <x v="40"/>
    <n v="74"/>
    <x v="0"/>
    <x v="0"/>
    <n v="7"/>
    <x v="3"/>
    <s v="Win"/>
    <n v="1"/>
    <n v="0"/>
    <n v="0"/>
    <n v="1"/>
  </r>
  <r>
    <x v="0"/>
    <x v="2"/>
    <x v="1"/>
    <x v="40"/>
    <n v="74"/>
    <x v="3"/>
    <x v="1"/>
    <n v="3"/>
    <x v="2"/>
    <s v="Loss"/>
    <n v="0"/>
    <n v="1"/>
    <n v="0"/>
    <n v="1"/>
  </r>
  <r>
    <x v="0"/>
    <x v="2"/>
    <x v="1"/>
    <x v="40"/>
    <n v="74"/>
    <x v="1"/>
    <x v="0"/>
    <n v="1"/>
    <x v="2"/>
    <s v="Loss"/>
    <n v="0"/>
    <n v="1"/>
    <n v="0"/>
    <n v="1"/>
  </r>
  <r>
    <x v="0"/>
    <x v="2"/>
    <x v="1"/>
    <x v="40"/>
    <n v="74"/>
    <x v="1"/>
    <x v="0"/>
    <n v="1"/>
    <x v="3"/>
    <s v="Loss"/>
    <n v="0"/>
    <n v="1"/>
    <n v="0"/>
    <n v="1"/>
  </r>
  <r>
    <x v="0"/>
    <x v="2"/>
    <x v="1"/>
    <x v="40"/>
    <n v="74"/>
    <x v="0"/>
    <x v="1"/>
    <n v="7"/>
    <x v="0"/>
    <s v="Win"/>
    <n v="1"/>
    <n v="0"/>
    <n v="0"/>
    <n v="1"/>
  </r>
  <r>
    <x v="0"/>
    <x v="0"/>
    <x v="1"/>
    <x v="40"/>
    <n v="75"/>
    <x v="1"/>
    <x v="1"/>
    <n v="8"/>
    <x v="2"/>
    <s v="Loss"/>
    <n v="0"/>
    <n v="1"/>
    <n v="0"/>
    <n v="1"/>
  </r>
  <r>
    <x v="0"/>
    <x v="0"/>
    <x v="1"/>
    <x v="40"/>
    <n v="75"/>
    <x v="0"/>
    <x v="0"/>
    <n v="10"/>
    <x v="0"/>
    <s v="Win"/>
    <n v="1"/>
    <n v="0"/>
    <n v="0"/>
    <n v="1"/>
  </r>
  <r>
    <x v="0"/>
    <x v="0"/>
    <x v="1"/>
    <x v="41"/>
    <n v="76"/>
    <x v="1"/>
    <x v="0"/>
    <n v="0"/>
    <x v="2"/>
    <s v="Loss"/>
    <n v="0"/>
    <n v="1"/>
    <n v="0"/>
    <n v="1"/>
  </r>
  <r>
    <x v="0"/>
    <x v="0"/>
    <x v="1"/>
    <x v="41"/>
    <n v="76"/>
    <x v="0"/>
    <x v="1"/>
    <n v="5"/>
    <x v="0"/>
    <s v="Win"/>
    <n v="1"/>
    <n v="0"/>
    <n v="0"/>
    <n v="1"/>
  </r>
  <r>
    <x v="0"/>
    <x v="0"/>
    <x v="1"/>
    <x v="41"/>
    <n v="77"/>
    <x v="1"/>
    <x v="1"/>
    <n v="5"/>
    <x v="2"/>
    <s v="Win"/>
    <n v="1"/>
    <n v="0"/>
    <n v="0"/>
    <n v="1"/>
  </r>
  <r>
    <x v="0"/>
    <x v="0"/>
    <x v="1"/>
    <x v="41"/>
    <n v="77"/>
    <x v="0"/>
    <x v="1"/>
    <n v="1"/>
    <x v="1"/>
    <s v="Loss"/>
    <n v="0"/>
    <n v="1"/>
    <n v="0"/>
    <n v="1"/>
  </r>
  <r>
    <x v="0"/>
    <x v="0"/>
    <x v="1"/>
    <x v="41"/>
    <n v="77"/>
    <x v="0"/>
    <x v="0"/>
    <n v="1"/>
    <x v="0"/>
    <s v="Loss"/>
    <n v="0"/>
    <n v="1"/>
    <n v="0"/>
    <n v="1"/>
  </r>
  <r>
    <x v="0"/>
    <x v="0"/>
    <x v="1"/>
    <x v="41"/>
    <n v="77"/>
    <x v="2"/>
    <x v="0"/>
    <n v="8"/>
    <x v="0"/>
    <s v="Win"/>
    <n v="1"/>
    <n v="0"/>
    <n v="0"/>
    <n v="1"/>
  </r>
  <r>
    <x v="0"/>
    <x v="0"/>
    <x v="1"/>
    <x v="41"/>
    <n v="77"/>
    <x v="1"/>
    <x v="1"/>
    <n v="5"/>
    <x v="1"/>
    <s v="Loss"/>
    <n v="0"/>
    <n v="1"/>
    <n v="0"/>
    <n v="1"/>
  </r>
  <r>
    <x v="0"/>
    <x v="0"/>
    <x v="1"/>
    <x v="41"/>
    <n v="77"/>
    <x v="2"/>
    <x v="0"/>
    <n v="8"/>
    <x v="2"/>
    <s v="Win"/>
    <n v="1"/>
    <n v="0"/>
    <n v="0"/>
    <n v="1"/>
  </r>
  <r>
    <x v="0"/>
    <x v="0"/>
    <x v="1"/>
    <x v="41"/>
    <n v="78"/>
    <x v="0"/>
    <x v="0"/>
    <n v="9"/>
    <x v="3"/>
    <s v="Win"/>
    <n v="1"/>
    <n v="0"/>
    <n v="0"/>
    <n v="1"/>
  </r>
  <r>
    <x v="0"/>
    <x v="0"/>
    <x v="1"/>
    <x v="41"/>
    <n v="78"/>
    <x v="3"/>
    <x v="1"/>
    <n v="4"/>
    <x v="2"/>
    <s v="Loss"/>
    <n v="0"/>
    <n v="1"/>
    <n v="0"/>
    <n v="1"/>
  </r>
  <r>
    <x v="0"/>
    <x v="0"/>
    <x v="1"/>
    <x v="41"/>
    <n v="79"/>
    <x v="3"/>
    <x v="1"/>
    <n v="5"/>
    <x v="0"/>
    <s v="Win"/>
    <n v="1"/>
    <n v="0"/>
    <n v="0"/>
    <n v="1"/>
  </r>
  <r>
    <x v="0"/>
    <x v="0"/>
    <x v="1"/>
    <x v="41"/>
    <n v="79"/>
    <x v="3"/>
    <x v="1"/>
    <n v="5"/>
    <x v="2"/>
    <s v="Loss"/>
    <n v="0"/>
    <n v="1"/>
    <n v="0"/>
    <n v="1"/>
  </r>
  <r>
    <x v="0"/>
    <x v="0"/>
    <x v="1"/>
    <x v="41"/>
    <n v="79"/>
    <x v="0"/>
    <x v="0"/>
    <n v="7"/>
    <x v="1"/>
    <s v="Win"/>
    <n v="1"/>
    <n v="0"/>
    <n v="0"/>
    <n v="1"/>
  </r>
  <r>
    <x v="0"/>
    <x v="0"/>
    <x v="1"/>
    <x v="41"/>
    <n v="79"/>
    <x v="0"/>
    <x v="0"/>
    <n v="7"/>
    <x v="0"/>
    <s v="Win"/>
    <n v="1"/>
    <n v="0"/>
    <n v="0"/>
    <n v="1"/>
  </r>
  <r>
    <x v="0"/>
    <x v="0"/>
    <x v="1"/>
    <x v="41"/>
    <n v="79"/>
    <x v="3"/>
    <x v="1"/>
    <n v="5"/>
    <x v="1"/>
    <s v="Win"/>
    <n v="1"/>
    <n v="0"/>
    <n v="0"/>
    <n v="1"/>
  </r>
  <r>
    <x v="0"/>
    <x v="0"/>
    <x v="1"/>
    <x v="41"/>
    <n v="79"/>
    <x v="1"/>
    <x v="1"/>
    <n v="1"/>
    <x v="2"/>
    <s v="Loss"/>
    <n v="0"/>
    <n v="1"/>
    <n v="0"/>
    <n v="1"/>
  </r>
  <r>
    <x v="0"/>
    <x v="0"/>
    <x v="1"/>
    <x v="41"/>
    <n v="79"/>
    <x v="1"/>
    <x v="0"/>
    <n v="1"/>
    <x v="1"/>
    <s v="Tie"/>
    <n v="0"/>
    <n v="0"/>
    <n v="1"/>
    <n v="1"/>
  </r>
  <r>
    <x v="0"/>
    <x v="0"/>
    <x v="1"/>
    <x v="41"/>
    <n v="79"/>
    <x v="1"/>
    <x v="0"/>
    <n v="1"/>
    <x v="3"/>
    <s v="Loss"/>
    <n v="0"/>
    <n v="1"/>
    <n v="0"/>
    <n v="1"/>
  </r>
  <r>
    <x v="0"/>
    <x v="0"/>
    <x v="1"/>
    <x v="41"/>
    <n v="79"/>
    <x v="2"/>
    <x v="1"/>
    <n v="1"/>
    <x v="2"/>
    <s v="Loss"/>
    <n v="0"/>
    <n v="1"/>
    <n v="0"/>
    <n v="1"/>
  </r>
  <r>
    <x v="0"/>
    <x v="0"/>
    <x v="1"/>
    <x v="41"/>
    <n v="79"/>
    <x v="2"/>
    <x v="1"/>
    <n v="1"/>
    <x v="0"/>
    <s v="Tie"/>
    <n v="0"/>
    <n v="0"/>
    <n v="1"/>
    <n v="1"/>
  </r>
  <r>
    <x v="0"/>
    <x v="0"/>
    <x v="1"/>
    <x v="41"/>
    <n v="79"/>
    <x v="0"/>
    <x v="0"/>
    <n v="7"/>
    <x v="3"/>
    <s v="Win"/>
    <n v="1"/>
    <n v="0"/>
    <n v="0"/>
    <n v="1"/>
  </r>
  <r>
    <x v="0"/>
    <x v="0"/>
    <x v="1"/>
    <x v="41"/>
    <n v="79"/>
    <x v="2"/>
    <x v="0"/>
    <n v="1"/>
    <x v="3"/>
    <s v="Loss"/>
    <n v="0"/>
    <n v="1"/>
    <n v="0"/>
    <n v="1"/>
  </r>
  <r>
    <x v="0"/>
    <x v="0"/>
    <x v="1"/>
    <x v="42"/>
    <n v="80"/>
    <x v="0"/>
    <x v="0"/>
    <n v="12"/>
    <x v="0"/>
    <s v="Win"/>
    <n v="1"/>
    <n v="0"/>
    <n v="0"/>
    <n v="1"/>
  </r>
  <r>
    <x v="0"/>
    <x v="0"/>
    <x v="1"/>
    <x v="42"/>
    <n v="80"/>
    <x v="0"/>
    <x v="0"/>
    <n v="12"/>
    <x v="1"/>
    <s v="Win"/>
    <n v="1"/>
    <n v="0"/>
    <n v="0"/>
    <n v="1"/>
  </r>
  <r>
    <x v="0"/>
    <x v="0"/>
    <x v="1"/>
    <x v="42"/>
    <n v="80"/>
    <x v="2"/>
    <x v="1"/>
    <n v="4"/>
    <x v="2"/>
    <s v="Loss"/>
    <n v="0"/>
    <n v="1"/>
    <n v="0"/>
    <n v="1"/>
  </r>
  <r>
    <x v="0"/>
    <x v="0"/>
    <x v="1"/>
    <x v="42"/>
    <n v="80"/>
    <x v="2"/>
    <x v="1"/>
    <n v="4"/>
    <x v="0"/>
    <s v="Win"/>
    <n v="1"/>
    <n v="0"/>
    <n v="0"/>
    <n v="1"/>
  </r>
  <r>
    <x v="0"/>
    <x v="0"/>
    <x v="1"/>
    <x v="42"/>
    <n v="80"/>
    <x v="1"/>
    <x v="1"/>
    <n v="3"/>
    <x v="2"/>
    <s v="Loss"/>
    <n v="0"/>
    <n v="1"/>
    <n v="0"/>
    <n v="1"/>
  </r>
  <r>
    <x v="0"/>
    <x v="0"/>
    <x v="1"/>
    <x v="42"/>
    <n v="80"/>
    <x v="1"/>
    <x v="0"/>
    <n v="3"/>
    <x v="1"/>
    <s v="Loss"/>
    <n v="0"/>
    <n v="1"/>
    <n v="0"/>
    <n v="1"/>
  </r>
  <r>
    <x v="0"/>
    <x v="1"/>
    <x v="1"/>
    <x v="42"/>
    <n v="81"/>
    <x v="0"/>
    <x v="0"/>
    <n v="6"/>
    <x v="0"/>
    <s v="Win"/>
    <n v="1"/>
    <n v="0"/>
    <n v="0"/>
    <n v="1"/>
  </r>
  <r>
    <x v="0"/>
    <x v="1"/>
    <x v="1"/>
    <x v="42"/>
    <n v="81"/>
    <x v="1"/>
    <x v="1"/>
    <n v="0"/>
    <x v="2"/>
    <s v="Loss"/>
    <n v="0"/>
    <n v="1"/>
    <n v="0"/>
    <n v="1"/>
  </r>
  <r>
    <x v="0"/>
    <x v="2"/>
    <x v="1"/>
    <x v="42"/>
    <n v="82"/>
    <x v="3"/>
    <x v="1"/>
    <n v="2"/>
    <x v="0"/>
    <s v="Loss"/>
    <n v="0"/>
    <n v="1"/>
    <n v="0"/>
    <n v="1"/>
  </r>
  <r>
    <x v="0"/>
    <x v="2"/>
    <x v="1"/>
    <x v="42"/>
    <n v="82"/>
    <x v="0"/>
    <x v="1"/>
    <n v="12"/>
    <x v="3"/>
    <s v="Win"/>
    <n v="1"/>
    <n v="0"/>
    <n v="0"/>
    <n v="1"/>
  </r>
  <r>
    <x v="0"/>
    <x v="2"/>
    <x v="1"/>
    <x v="42"/>
    <n v="82"/>
    <x v="0"/>
    <x v="1"/>
    <n v="12"/>
    <x v="0"/>
    <s v="Win"/>
    <n v="1"/>
    <n v="0"/>
    <n v="0"/>
    <n v="1"/>
  </r>
  <r>
    <x v="0"/>
    <x v="2"/>
    <x v="1"/>
    <x v="42"/>
    <n v="82"/>
    <x v="3"/>
    <x v="0"/>
    <n v="2"/>
    <x v="2"/>
    <s v="Loss"/>
    <n v="0"/>
    <n v="1"/>
    <n v="0"/>
    <n v="1"/>
  </r>
  <r>
    <x v="0"/>
    <x v="2"/>
    <x v="1"/>
    <x v="42"/>
    <n v="82"/>
    <x v="1"/>
    <x v="0"/>
    <n v="5"/>
    <x v="2"/>
    <s v="Loss"/>
    <n v="0"/>
    <n v="1"/>
    <n v="0"/>
    <n v="1"/>
  </r>
  <r>
    <x v="0"/>
    <x v="2"/>
    <x v="1"/>
    <x v="42"/>
    <n v="82"/>
    <x v="1"/>
    <x v="0"/>
    <n v="5"/>
    <x v="3"/>
    <s v="Win"/>
    <n v="1"/>
    <n v="0"/>
    <n v="0"/>
    <n v="1"/>
  </r>
  <r>
    <x v="0"/>
    <x v="0"/>
    <x v="1"/>
    <x v="42"/>
    <n v="83"/>
    <x v="1"/>
    <x v="1"/>
    <n v="5"/>
    <x v="2"/>
    <s v="Loss"/>
    <n v="0"/>
    <n v="1"/>
    <n v="0"/>
    <n v="1"/>
  </r>
  <r>
    <x v="0"/>
    <x v="0"/>
    <x v="1"/>
    <x v="42"/>
    <n v="83"/>
    <x v="0"/>
    <x v="0"/>
    <n v="12"/>
    <x v="0"/>
    <s v="Win"/>
    <n v="1"/>
    <n v="0"/>
    <n v="0"/>
    <n v="1"/>
  </r>
  <r>
    <x v="0"/>
    <x v="0"/>
    <x v="1"/>
    <x v="43"/>
    <n v="84"/>
    <x v="1"/>
    <x v="0"/>
    <n v="5"/>
    <x v="2"/>
    <s v="Loss"/>
    <n v="0"/>
    <n v="1"/>
    <n v="0"/>
    <n v="1"/>
  </r>
  <r>
    <x v="0"/>
    <x v="0"/>
    <x v="1"/>
    <x v="43"/>
    <n v="84"/>
    <x v="0"/>
    <x v="1"/>
    <n v="10"/>
    <x v="0"/>
    <s v="Win"/>
    <n v="1"/>
    <n v="0"/>
    <n v="0"/>
    <n v="1"/>
  </r>
  <r>
    <x v="0"/>
    <x v="1"/>
    <x v="1"/>
    <x v="43"/>
    <n v="85"/>
    <x v="0"/>
    <x v="1"/>
    <n v="10"/>
    <x v="0"/>
    <s v="Win"/>
    <n v="1"/>
    <n v="0"/>
    <n v="0"/>
    <n v="1"/>
  </r>
  <r>
    <x v="0"/>
    <x v="1"/>
    <x v="1"/>
    <x v="43"/>
    <n v="85"/>
    <x v="1"/>
    <x v="0"/>
    <n v="6"/>
    <x v="2"/>
    <s v="Loss"/>
    <n v="0"/>
    <n v="1"/>
    <n v="0"/>
    <n v="1"/>
  </r>
  <r>
    <x v="0"/>
    <x v="2"/>
    <x v="1"/>
    <x v="43"/>
    <n v="86"/>
    <x v="0"/>
    <x v="0"/>
    <n v="8"/>
    <x v="0"/>
    <s v="Win"/>
    <n v="1"/>
    <n v="0"/>
    <n v="0"/>
    <n v="1"/>
  </r>
  <r>
    <x v="0"/>
    <x v="2"/>
    <x v="1"/>
    <x v="43"/>
    <n v="86"/>
    <x v="1"/>
    <x v="1"/>
    <n v="4"/>
    <x v="2"/>
    <s v="Loss"/>
    <n v="0"/>
    <n v="1"/>
    <n v="0"/>
    <n v="1"/>
  </r>
  <r>
    <x v="0"/>
    <x v="2"/>
    <x v="1"/>
    <x v="43"/>
    <n v="87"/>
    <x v="0"/>
    <x v="1"/>
    <n v="4"/>
    <x v="0"/>
    <s v="Win"/>
    <n v="1"/>
    <n v="0"/>
    <n v="0"/>
    <n v="1"/>
  </r>
  <r>
    <x v="0"/>
    <x v="2"/>
    <x v="1"/>
    <x v="43"/>
    <n v="87"/>
    <x v="1"/>
    <x v="0"/>
    <n v="3"/>
    <x v="2"/>
    <s v="Loss"/>
    <n v="0"/>
    <n v="1"/>
    <n v="0"/>
    <n v="1"/>
  </r>
  <r>
    <x v="0"/>
    <x v="0"/>
    <x v="1"/>
    <x v="44"/>
    <n v="88"/>
    <x v="0"/>
    <x v="0"/>
    <n v="9"/>
    <x v="0"/>
    <s v="Win"/>
    <n v="1"/>
    <n v="0"/>
    <n v="0"/>
    <n v="1"/>
  </r>
  <r>
    <x v="0"/>
    <x v="0"/>
    <x v="1"/>
    <x v="44"/>
    <n v="88"/>
    <x v="1"/>
    <x v="1"/>
    <n v="8"/>
    <x v="2"/>
    <s v="Loss"/>
    <n v="0"/>
    <n v="1"/>
    <n v="0"/>
    <n v="1"/>
  </r>
  <r>
    <x v="0"/>
    <x v="1"/>
    <x v="1"/>
    <x v="44"/>
    <n v="89"/>
    <x v="1"/>
    <x v="0"/>
    <n v="4"/>
    <x v="4"/>
    <s v="Win"/>
    <n v="1"/>
    <n v="0"/>
    <n v="0"/>
    <n v="1"/>
  </r>
  <r>
    <x v="0"/>
    <x v="1"/>
    <x v="1"/>
    <x v="44"/>
    <n v="89"/>
    <x v="0"/>
    <x v="1"/>
    <n v="2"/>
    <x v="0"/>
    <s v="Loss"/>
    <n v="0"/>
    <n v="1"/>
    <n v="0"/>
    <n v="1"/>
  </r>
  <r>
    <x v="0"/>
    <x v="1"/>
    <x v="1"/>
    <x v="44"/>
    <n v="89"/>
    <x v="0"/>
    <x v="1"/>
    <n v="2"/>
    <x v="4"/>
    <s v="Tie"/>
    <n v="0"/>
    <n v="0"/>
    <n v="1"/>
    <n v="1"/>
  </r>
  <r>
    <x v="0"/>
    <x v="1"/>
    <x v="1"/>
    <x v="44"/>
    <n v="89"/>
    <x v="1"/>
    <x v="0"/>
    <n v="4"/>
    <x v="2"/>
    <s v="Win"/>
    <n v="1"/>
    <n v="0"/>
    <n v="0"/>
    <n v="1"/>
  </r>
  <r>
    <x v="0"/>
    <x v="1"/>
    <x v="1"/>
    <x v="44"/>
    <n v="89"/>
    <x v="4"/>
    <x v="0"/>
    <n v="2"/>
    <x v="2"/>
    <s v="Tie"/>
    <n v="0"/>
    <n v="0"/>
    <n v="1"/>
    <n v="1"/>
  </r>
  <r>
    <x v="0"/>
    <x v="1"/>
    <x v="1"/>
    <x v="44"/>
    <n v="89"/>
    <x v="4"/>
    <x v="1"/>
    <n v="2"/>
    <x v="0"/>
    <s v="Loss"/>
    <n v="0"/>
    <n v="1"/>
    <n v="0"/>
    <n v="1"/>
  </r>
  <r>
    <x v="0"/>
    <x v="0"/>
    <x v="1"/>
    <x v="45"/>
    <n v="90"/>
    <x v="0"/>
    <x v="1"/>
    <n v="2"/>
    <x v="0"/>
    <s v="Win"/>
    <n v="1"/>
    <n v="0"/>
    <n v="0"/>
    <n v="1"/>
  </r>
  <r>
    <x v="0"/>
    <x v="0"/>
    <x v="1"/>
    <x v="45"/>
    <n v="90"/>
    <x v="1"/>
    <x v="0"/>
    <n v="1"/>
    <x v="2"/>
    <s v="Loss"/>
    <n v="0"/>
    <n v="1"/>
    <n v="0"/>
    <n v="1"/>
  </r>
  <r>
    <x v="0"/>
    <x v="0"/>
    <x v="1"/>
    <x v="45"/>
    <n v="91"/>
    <x v="0"/>
    <x v="1"/>
    <n v="7"/>
    <x v="0"/>
    <s v="Loss"/>
    <n v="0"/>
    <n v="1"/>
    <n v="0"/>
    <n v="1"/>
  </r>
  <r>
    <x v="0"/>
    <x v="0"/>
    <x v="1"/>
    <x v="45"/>
    <n v="91"/>
    <x v="1"/>
    <x v="0"/>
    <n v="11"/>
    <x v="2"/>
    <s v="Win"/>
    <n v="1"/>
    <n v="0"/>
    <n v="0"/>
    <n v="1"/>
  </r>
  <r>
    <x v="0"/>
    <x v="0"/>
    <x v="1"/>
    <x v="46"/>
    <n v="92"/>
    <x v="0"/>
    <x v="0"/>
    <n v="7"/>
    <x v="0"/>
    <s v="Win"/>
    <n v="1"/>
    <n v="0"/>
    <n v="0"/>
    <n v="1"/>
  </r>
  <r>
    <x v="0"/>
    <x v="0"/>
    <x v="1"/>
    <x v="46"/>
    <n v="92"/>
    <x v="1"/>
    <x v="1"/>
    <n v="3"/>
    <x v="2"/>
    <s v="Loss"/>
    <n v="0"/>
    <n v="1"/>
    <n v="0"/>
    <n v="1"/>
  </r>
  <r>
    <x v="0"/>
    <x v="0"/>
    <x v="1"/>
    <x v="47"/>
    <n v="93"/>
    <x v="0"/>
    <x v="0"/>
    <n v="14"/>
    <x v="0"/>
    <s v="Win"/>
    <n v="1"/>
    <n v="0"/>
    <n v="0"/>
    <n v="1"/>
  </r>
  <r>
    <x v="0"/>
    <x v="0"/>
    <x v="1"/>
    <x v="47"/>
    <n v="93"/>
    <x v="1"/>
    <x v="1"/>
    <n v="1"/>
    <x v="2"/>
    <s v="Loss"/>
    <n v="0"/>
    <n v="1"/>
    <n v="0"/>
    <n v="1"/>
  </r>
  <r>
    <x v="0"/>
    <x v="1"/>
    <x v="1"/>
    <x v="47"/>
    <n v="94"/>
    <x v="1"/>
    <x v="0"/>
    <n v="8"/>
    <x v="2"/>
    <s v="Win"/>
    <n v="1"/>
    <n v="0"/>
    <n v="0"/>
    <n v="1"/>
  </r>
  <r>
    <x v="0"/>
    <x v="1"/>
    <x v="1"/>
    <x v="47"/>
    <n v="94"/>
    <x v="0"/>
    <x v="1"/>
    <n v="7"/>
    <x v="0"/>
    <s v="Loss"/>
    <n v="0"/>
    <n v="1"/>
    <n v="0"/>
    <n v="1"/>
  </r>
  <r>
    <x v="0"/>
    <x v="2"/>
    <x v="1"/>
    <x v="47"/>
    <n v="95"/>
    <x v="1"/>
    <x v="0"/>
    <n v="1"/>
    <x v="2"/>
    <s v="Loss"/>
    <n v="0"/>
    <n v="1"/>
    <n v="0"/>
    <n v="1"/>
  </r>
  <r>
    <x v="0"/>
    <x v="2"/>
    <x v="1"/>
    <x v="47"/>
    <n v="95"/>
    <x v="0"/>
    <x v="1"/>
    <n v="2"/>
    <x v="0"/>
    <s v="Win"/>
    <n v="1"/>
    <n v="0"/>
    <n v="0"/>
    <n v="1"/>
  </r>
  <r>
    <x v="0"/>
    <x v="0"/>
    <x v="1"/>
    <x v="48"/>
    <n v="96"/>
    <x v="1"/>
    <x v="0"/>
    <n v="3"/>
    <x v="2"/>
    <s v="Loss"/>
    <n v="0"/>
    <n v="1"/>
    <n v="0"/>
    <n v="1"/>
  </r>
  <r>
    <x v="0"/>
    <x v="0"/>
    <x v="1"/>
    <x v="48"/>
    <n v="96"/>
    <x v="0"/>
    <x v="1"/>
    <n v="5"/>
    <x v="0"/>
    <s v="Win"/>
    <n v="1"/>
    <n v="0"/>
    <n v="0"/>
    <n v="1"/>
  </r>
  <r>
    <x v="0"/>
    <x v="0"/>
    <x v="1"/>
    <x v="48"/>
    <n v="97"/>
    <x v="1"/>
    <x v="1"/>
    <n v="5"/>
    <x v="2"/>
    <s v="Loss"/>
    <n v="0"/>
    <n v="1"/>
    <n v="0"/>
    <n v="1"/>
  </r>
  <r>
    <x v="0"/>
    <x v="0"/>
    <x v="1"/>
    <x v="48"/>
    <n v="97"/>
    <x v="0"/>
    <x v="0"/>
    <n v="6"/>
    <x v="0"/>
    <s v="Win"/>
    <n v="1"/>
    <n v="0"/>
    <n v="0"/>
    <n v="1"/>
  </r>
  <r>
    <x v="0"/>
    <x v="0"/>
    <x v="1"/>
    <x v="49"/>
    <n v="98"/>
    <x v="0"/>
    <x v="0"/>
    <n v="11"/>
    <x v="0"/>
    <s v="Win"/>
    <n v="1"/>
    <n v="0"/>
    <n v="0"/>
    <n v="1"/>
  </r>
  <r>
    <x v="0"/>
    <x v="0"/>
    <x v="1"/>
    <x v="49"/>
    <n v="98"/>
    <x v="0"/>
    <x v="0"/>
    <n v="11"/>
    <x v="1"/>
    <s v="Win"/>
    <n v="1"/>
    <n v="0"/>
    <n v="0"/>
    <n v="1"/>
  </r>
  <r>
    <x v="0"/>
    <x v="0"/>
    <x v="1"/>
    <x v="49"/>
    <n v="98"/>
    <x v="1"/>
    <x v="1"/>
    <n v="2"/>
    <x v="2"/>
    <s v="Loss"/>
    <n v="0"/>
    <n v="1"/>
    <n v="0"/>
    <n v="1"/>
  </r>
  <r>
    <x v="0"/>
    <x v="0"/>
    <x v="1"/>
    <x v="49"/>
    <n v="98"/>
    <x v="1"/>
    <x v="0"/>
    <n v="2"/>
    <x v="1"/>
    <s v="Loss"/>
    <n v="0"/>
    <n v="1"/>
    <n v="0"/>
    <n v="1"/>
  </r>
  <r>
    <x v="0"/>
    <x v="0"/>
    <x v="1"/>
    <x v="49"/>
    <n v="98"/>
    <x v="2"/>
    <x v="1"/>
    <n v="3"/>
    <x v="2"/>
    <s v="Loss"/>
    <n v="0"/>
    <n v="1"/>
    <n v="0"/>
    <n v="1"/>
  </r>
  <r>
    <x v="0"/>
    <x v="0"/>
    <x v="1"/>
    <x v="49"/>
    <n v="98"/>
    <x v="2"/>
    <x v="1"/>
    <n v="3"/>
    <x v="0"/>
    <s v="Win"/>
    <n v="1"/>
    <n v="0"/>
    <n v="0"/>
    <n v="1"/>
  </r>
  <r>
    <x v="0"/>
    <x v="0"/>
    <x v="1"/>
    <x v="49"/>
    <n v="99"/>
    <x v="1"/>
    <x v="0"/>
    <n v="7"/>
    <x v="3"/>
    <s v="Win"/>
    <n v="1"/>
    <n v="0"/>
    <n v="0"/>
    <n v="1"/>
  </r>
  <r>
    <x v="0"/>
    <x v="0"/>
    <x v="1"/>
    <x v="49"/>
    <n v="99"/>
    <x v="2"/>
    <x v="1"/>
    <n v="9"/>
    <x v="3"/>
    <s v="Win"/>
    <n v="1"/>
    <n v="0"/>
    <n v="0"/>
    <n v="1"/>
  </r>
  <r>
    <x v="0"/>
    <x v="0"/>
    <x v="1"/>
    <x v="49"/>
    <n v="99"/>
    <x v="2"/>
    <x v="1"/>
    <n v="9"/>
    <x v="0"/>
    <s v="Win"/>
    <n v="1"/>
    <n v="0"/>
    <n v="0"/>
    <n v="1"/>
  </r>
  <r>
    <x v="0"/>
    <x v="0"/>
    <x v="1"/>
    <x v="49"/>
    <n v="99"/>
    <x v="2"/>
    <x v="1"/>
    <n v="9"/>
    <x v="2"/>
    <s v="Win"/>
    <n v="1"/>
    <n v="0"/>
    <n v="0"/>
    <n v="1"/>
  </r>
  <r>
    <x v="0"/>
    <x v="0"/>
    <x v="1"/>
    <x v="49"/>
    <n v="99"/>
    <x v="1"/>
    <x v="0"/>
    <n v="7"/>
    <x v="1"/>
    <s v="Loss"/>
    <n v="0"/>
    <n v="1"/>
    <n v="0"/>
    <n v="1"/>
  </r>
  <r>
    <x v="0"/>
    <x v="0"/>
    <x v="1"/>
    <x v="49"/>
    <n v="99"/>
    <x v="1"/>
    <x v="0"/>
    <n v="7"/>
    <x v="2"/>
    <s v="Win"/>
    <n v="1"/>
    <n v="0"/>
    <n v="0"/>
    <n v="1"/>
  </r>
  <r>
    <x v="0"/>
    <x v="0"/>
    <x v="1"/>
    <x v="49"/>
    <n v="99"/>
    <x v="3"/>
    <x v="0"/>
    <n v="5"/>
    <x v="1"/>
    <s v="Loss"/>
    <n v="0"/>
    <n v="1"/>
    <n v="0"/>
    <n v="1"/>
  </r>
  <r>
    <x v="0"/>
    <x v="0"/>
    <x v="1"/>
    <x v="49"/>
    <n v="99"/>
    <x v="3"/>
    <x v="1"/>
    <n v="5"/>
    <x v="2"/>
    <s v="Win"/>
    <n v="1"/>
    <n v="0"/>
    <n v="0"/>
    <n v="1"/>
  </r>
  <r>
    <x v="0"/>
    <x v="0"/>
    <x v="1"/>
    <x v="49"/>
    <n v="99"/>
    <x v="0"/>
    <x v="0"/>
    <n v="3"/>
    <x v="3"/>
    <s v="Loss"/>
    <n v="0"/>
    <n v="1"/>
    <n v="0"/>
    <n v="1"/>
  </r>
  <r>
    <x v="0"/>
    <x v="0"/>
    <x v="1"/>
    <x v="49"/>
    <n v="99"/>
    <x v="0"/>
    <x v="0"/>
    <n v="3"/>
    <x v="1"/>
    <s v="Loss"/>
    <n v="0"/>
    <n v="1"/>
    <n v="0"/>
    <n v="1"/>
  </r>
  <r>
    <x v="0"/>
    <x v="0"/>
    <x v="1"/>
    <x v="49"/>
    <n v="99"/>
    <x v="0"/>
    <x v="1"/>
    <n v="3"/>
    <x v="0"/>
    <s v="Loss"/>
    <n v="0"/>
    <n v="1"/>
    <n v="0"/>
    <n v="1"/>
  </r>
  <r>
    <x v="0"/>
    <x v="0"/>
    <x v="1"/>
    <x v="49"/>
    <n v="99"/>
    <x v="3"/>
    <x v="1"/>
    <n v="5"/>
    <x v="0"/>
    <s v="Loss"/>
    <n v="0"/>
    <n v="1"/>
    <n v="0"/>
    <n v="1"/>
  </r>
  <r>
    <x v="0"/>
    <x v="1"/>
    <x v="1"/>
    <x v="49"/>
    <n v="100"/>
    <x v="0"/>
    <x v="0"/>
    <n v="9"/>
    <x v="0"/>
    <s v="Win"/>
    <n v="1"/>
    <n v="0"/>
    <n v="0"/>
    <n v="1"/>
  </r>
  <r>
    <x v="0"/>
    <x v="1"/>
    <x v="1"/>
    <x v="49"/>
    <n v="100"/>
    <x v="1"/>
    <x v="1"/>
    <n v="7"/>
    <x v="2"/>
    <s v="Loss"/>
    <n v="0"/>
    <n v="1"/>
    <n v="0"/>
    <n v="1"/>
  </r>
  <r>
    <x v="0"/>
    <x v="0"/>
    <x v="1"/>
    <x v="50"/>
    <n v="101"/>
    <x v="1"/>
    <x v="0"/>
    <n v="9"/>
    <x v="1"/>
    <s v="Win"/>
    <n v="1"/>
    <n v="0"/>
    <n v="0"/>
    <n v="1"/>
  </r>
  <r>
    <x v="0"/>
    <x v="0"/>
    <x v="1"/>
    <x v="50"/>
    <n v="101"/>
    <x v="2"/>
    <x v="1"/>
    <n v="6"/>
    <x v="0"/>
    <s v="Loss"/>
    <n v="0"/>
    <n v="1"/>
    <n v="0"/>
    <n v="1"/>
  </r>
  <r>
    <x v="0"/>
    <x v="0"/>
    <x v="1"/>
    <x v="50"/>
    <n v="102"/>
    <x v="3"/>
    <x v="1"/>
    <n v="1"/>
    <x v="0"/>
    <s v="Loss"/>
    <n v="0"/>
    <n v="1"/>
    <n v="0"/>
    <n v="1"/>
  </r>
  <r>
    <x v="0"/>
    <x v="0"/>
    <x v="1"/>
    <x v="50"/>
    <n v="102"/>
    <x v="1"/>
    <x v="0"/>
    <n v="8"/>
    <x v="3"/>
    <s v="Win"/>
    <n v="1"/>
    <n v="0"/>
    <n v="0"/>
    <n v="1"/>
  </r>
  <r>
    <x v="0"/>
    <x v="0"/>
    <x v="1"/>
    <x v="51"/>
    <n v="103"/>
    <x v="1"/>
    <x v="0"/>
    <n v="12"/>
    <x v="1"/>
    <s v="Win"/>
    <n v="1"/>
    <n v="0"/>
    <n v="0"/>
    <n v="1"/>
  </r>
  <r>
    <x v="0"/>
    <x v="0"/>
    <x v="1"/>
    <x v="51"/>
    <n v="103"/>
    <x v="2"/>
    <x v="1"/>
    <n v="5"/>
    <x v="0"/>
    <s v="Loss"/>
    <n v="0"/>
    <n v="1"/>
    <n v="0"/>
    <n v="1"/>
  </r>
  <r>
    <x v="0"/>
    <x v="0"/>
    <x v="1"/>
    <x v="52"/>
    <n v="104"/>
    <x v="1"/>
    <x v="0"/>
    <n v="4"/>
    <x v="1"/>
    <s v="Win"/>
    <n v="1"/>
    <n v="0"/>
    <n v="0"/>
    <n v="1"/>
  </r>
  <r>
    <x v="0"/>
    <x v="0"/>
    <x v="1"/>
    <x v="52"/>
    <n v="104"/>
    <x v="2"/>
    <x v="1"/>
    <n v="1"/>
    <x v="0"/>
    <s v="Loss"/>
    <n v="0"/>
    <n v="1"/>
    <n v="0"/>
    <n v="1"/>
  </r>
  <r>
    <x v="0"/>
    <x v="0"/>
    <x v="1"/>
    <x v="53"/>
    <n v="105"/>
    <x v="2"/>
    <x v="1"/>
    <n v="1"/>
    <x v="0"/>
    <s v="Loss"/>
    <n v="0"/>
    <n v="1"/>
    <n v="0"/>
    <n v="1"/>
  </r>
  <r>
    <x v="0"/>
    <x v="0"/>
    <x v="1"/>
    <x v="53"/>
    <n v="105"/>
    <x v="1"/>
    <x v="0"/>
    <n v="3"/>
    <x v="1"/>
    <s v="Win"/>
    <n v="1"/>
    <n v="0"/>
    <n v="0"/>
    <n v="1"/>
  </r>
  <r>
    <x v="0"/>
    <x v="0"/>
    <x v="1"/>
    <x v="53"/>
    <n v="106"/>
    <x v="2"/>
    <x v="0"/>
    <n v="2"/>
    <x v="0"/>
    <s v="Loss"/>
    <n v="0"/>
    <n v="1"/>
    <n v="0"/>
    <n v="1"/>
  </r>
  <r>
    <x v="0"/>
    <x v="0"/>
    <x v="1"/>
    <x v="53"/>
    <n v="106"/>
    <x v="1"/>
    <x v="1"/>
    <n v="3"/>
    <x v="1"/>
    <s v="Win"/>
    <n v="1"/>
    <n v="0"/>
    <n v="0"/>
    <n v="1"/>
  </r>
  <r>
    <x v="0"/>
    <x v="0"/>
    <x v="1"/>
    <x v="54"/>
    <n v="107"/>
    <x v="0"/>
    <x v="0"/>
    <n v="6"/>
    <x v="0"/>
    <s v="Win"/>
    <n v="1"/>
    <n v="0"/>
    <n v="0"/>
    <n v="1"/>
  </r>
  <r>
    <x v="0"/>
    <x v="0"/>
    <x v="1"/>
    <x v="54"/>
    <n v="107"/>
    <x v="1"/>
    <x v="1"/>
    <n v="5"/>
    <x v="2"/>
    <s v="Loss"/>
    <n v="0"/>
    <n v="1"/>
    <n v="0"/>
    <n v="1"/>
  </r>
  <r>
    <x v="0"/>
    <x v="0"/>
    <x v="1"/>
    <x v="55"/>
    <n v="108"/>
    <x v="1"/>
    <x v="0"/>
    <n v="6"/>
    <x v="2"/>
    <s v="Loss"/>
    <n v="0"/>
    <n v="1"/>
    <n v="0"/>
    <n v="1"/>
  </r>
  <r>
    <x v="0"/>
    <x v="0"/>
    <x v="1"/>
    <x v="55"/>
    <n v="108"/>
    <x v="0"/>
    <x v="1"/>
    <n v="8"/>
    <x v="0"/>
    <s v="Win"/>
    <n v="1"/>
    <n v="0"/>
    <n v="0"/>
    <n v="1"/>
  </r>
  <r>
    <x v="0"/>
    <x v="0"/>
    <x v="1"/>
    <x v="56"/>
    <n v="109"/>
    <x v="1"/>
    <x v="1"/>
    <n v="8"/>
    <x v="2"/>
    <s v="Win"/>
    <n v="1"/>
    <n v="0"/>
    <n v="0"/>
    <n v="1"/>
  </r>
  <r>
    <x v="0"/>
    <x v="0"/>
    <x v="1"/>
    <x v="56"/>
    <n v="109"/>
    <x v="0"/>
    <x v="0"/>
    <n v="5"/>
    <x v="0"/>
    <s v="Loss"/>
    <n v="0"/>
    <n v="1"/>
    <n v="0"/>
    <n v="1"/>
  </r>
  <r>
    <x v="0"/>
    <x v="0"/>
    <x v="1"/>
    <x v="57"/>
    <n v="110"/>
    <x v="1"/>
    <x v="1"/>
    <n v="3"/>
    <x v="2"/>
    <s v="Loss"/>
    <n v="0"/>
    <n v="1"/>
    <n v="0"/>
    <n v="1"/>
  </r>
  <r>
    <x v="0"/>
    <x v="0"/>
    <x v="1"/>
    <x v="57"/>
    <n v="110"/>
    <x v="0"/>
    <x v="0"/>
    <n v="5"/>
    <x v="0"/>
    <s v="Win"/>
    <n v="1"/>
    <n v="0"/>
    <n v="0"/>
    <n v="1"/>
  </r>
  <r>
    <x v="0"/>
    <x v="0"/>
    <x v="1"/>
    <x v="58"/>
    <n v="111"/>
    <x v="1"/>
    <x v="0"/>
    <n v="4"/>
    <x v="2"/>
    <s v="Loss"/>
    <n v="0"/>
    <n v="1"/>
    <n v="0"/>
    <n v="1"/>
  </r>
  <r>
    <x v="0"/>
    <x v="0"/>
    <x v="1"/>
    <x v="58"/>
    <n v="111"/>
    <x v="0"/>
    <x v="1"/>
    <n v="7"/>
    <x v="0"/>
    <s v="Win"/>
    <n v="1"/>
    <n v="0"/>
    <n v="0"/>
    <n v="1"/>
  </r>
  <r>
    <x v="0"/>
    <x v="0"/>
    <x v="1"/>
    <x v="58"/>
    <n v="112"/>
    <x v="3"/>
    <x v="1"/>
    <n v="6"/>
    <x v="2"/>
    <s v="Win"/>
    <n v="1"/>
    <n v="0"/>
    <n v="0"/>
    <n v="1"/>
  </r>
  <r>
    <x v="0"/>
    <x v="0"/>
    <x v="1"/>
    <x v="58"/>
    <n v="112"/>
    <x v="1"/>
    <x v="1"/>
    <n v="1"/>
    <x v="2"/>
    <s v="Loss"/>
    <n v="0"/>
    <n v="1"/>
    <n v="0"/>
    <n v="1"/>
  </r>
  <r>
    <x v="0"/>
    <x v="0"/>
    <x v="1"/>
    <x v="58"/>
    <n v="112"/>
    <x v="0"/>
    <x v="0"/>
    <n v="3"/>
    <x v="0"/>
    <s v="Win"/>
    <n v="1"/>
    <n v="0"/>
    <n v="0"/>
    <n v="1"/>
  </r>
  <r>
    <x v="0"/>
    <x v="0"/>
    <x v="1"/>
    <x v="58"/>
    <n v="112"/>
    <x v="0"/>
    <x v="0"/>
    <n v="3"/>
    <x v="1"/>
    <s v="Loss"/>
    <n v="0"/>
    <n v="1"/>
    <n v="0"/>
    <n v="1"/>
  </r>
  <r>
    <x v="0"/>
    <x v="0"/>
    <x v="1"/>
    <x v="58"/>
    <n v="112"/>
    <x v="0"/>
    <x v="0"/>
    <n v="3"/>
    <x v="3"/>
    <s v="Loss"/>
    <n v="0"/>
    <n v="1"/>
    <n v="0"/>
    <n v="1"/>
  </r>
  <r>
    <x v="0"/>
    <x v="0"/>
    <x v="1"/>
    <x v="58"/>
    <n v="112"/>
    <x v="3"/>
    <x v="1"/>
    <n v="6"/>
    <x v="0"/>
    <s v="Win"/>
    <n v="1"/>
    <n v="0"/>
    <n v="0"/>
    <n v="1"/>
  </r>
  <r>
    <x v="0"/>
    <x v="0"/>
    <x v="1"/>
    <x v="58"/>
    <n v="112"/>
    <x v="3"/>
    <x v="1"/>
    <n v="6"/>
    <x v="1"/>
    <s v="Win"/>
    <n v="1"/>
    <n v="0"/>
    <n v="0"/>
    <n v="1"/>
  </r>
  <r>
    <x v="0"/>
    <x v="0"/>
    <x v="1"/>
    <x v="58"/>
    <n v="112"/>
    <x v="1"/>
    <x v="0"/>
    <n v="1"/>
    <x v="1"/>
    <s v="Loss"/>
    <n v="0"/>
    <n v="1"/>
    <n v="0"/>
    <n v="1"/>
  </r>
  <r>
    <x v="0"/>
    <x v="0"/>
    <x v="1"/>
    <x v="58"/>
    <n v="112"/>
    <x v="1"/>
    <x v="0"/>
    <n v="1"/>
    <x v="3"/>
    <s v="Loss"/>
    <n v="0"/>
    <n v="1"/>
    <n v="0"/>
    <n v="1"/>
  </r>
  <r>
    <x v="0"/>
    <x v="0"/>
    <x v="1"/>
    <x v="58"/>
    <n v="112"/>
    <x v="2"/>
    <x v="0"/>
    <n v="4"/>
    <x v="3"/>
    <s v="Loss"/>
    <n v="0"/>
    <n v="1"/>
    <n v="0"/>
    <n v="1"/>
  </r>
  <r>
    <x v="0"/>
    <x v="0"/>
    <x v="1"/>
    <x v="58"/>
    <n v="112"/>
    <x v="2"/>
    <x v="1"/>
    <n v="4"/>
    <x v="0"/>
    <s v="Win"/>
    <n v="1"/>
    <n v="0"/>
    <n v="0"/>
    <n v="1"/>
  </r>
  <r>
    <x v="0"/>
    <x v="0"/>
    <x v="1"/>
    <x v="58"/>
    <n v="112"/>
    <x v="2"/>
    <x v="1"/>
    <n v="4"/>
    <x v="2"/>
    <s v="Win"/>
    <n v="1"/>
    <n v="0"/>
    <n v="0"/>
    <n v="1"/>
  </r>
  <r>
    <x v="0"/>
    <x v="0"/>
    <x v="1"/>
    <x v="59"/>
    <n v="113"/>
    <x v="1"/>
    <x v="1"/>
    <n v="7"/>
    <x v="2"/>
    <s v="Loss"/>
    <n v="0"/>
    <n v="1"/>
    <n v="0"/>
    <n v="1"/>
  </r>
  <r>
    <x v="0"/>
    <x v="0"/>
    <x v="1"/>
    <x v="59"/>
    <n v="113"/>
    <x v="0"/>
    <x v="0"/>
    <n v="12"/>
    <x v="0"/>
    <s v="Win"/>
    <n v="1"/>
    <n v="0"/>
    <n v="0"/>
    <n v="1"/>
  </r>
  <r>
    <x v="0"/>
    <x v="0"/>
    <x v="1"/>
    <x v="59"/>
    <n v="114"/>
    <x v="0"/>
    <x v="0"/>
    <n v="0"/>
    <x v="0"/>
    <s v="Loss"/>
    <n v="0"/>
    <n v="1"/>
    <n v="0"/>
    <n v="1"/>
  </r>
  <r>
    <x v="0"/>
    <x v="0"/>
    <x v="1"/>
    <x v="59"/>
    <n v="114"/>
    <x v="0"/>
    <x v="0"/>
    <n v="0"/>
    <x v="1"/>
    <s v="Loss"/>
    <n v="0"/>
    <n v="1"/>
    <n v="0"/>
    <n v="1"/>
  </r>
  <r>
    <x v="0"/>
    <x v="0"/>
    <x v="1"/>
    <x v="59"/>
    <n v="114"/>
    <x v="2"/>
    <x v="1"/>
    <n v="1"/>
    <x v="0"/>
    <s v="Loss"/>
    <n v="0"/>
    <n v="1"/>
    <n v="0"/>
    <n v="1"/>
  </r>
  <r>
    <x v="0"/>
    <x v="0"/>
    <x v="1"/>
    <x v="59"/>
    <n v="114"/>
    <x v="2"/>
    <x v="1"/>
    <n v="1"/>
    <x v="2"/>
    <s v="Win"/>
    <n v="1"/>
    <n v="0"/>
    <n v="0"/>
    <n v="1"/>
  </r>
  <r>
    <x v="0"/>
    <x v="0"/>
    <x v="1"/>
    <x v="59"/>
    <n v="114"/>
    <x v="1"/>
    <x v="0"/>
    <n v="11"/>
    <x v="1"/>
    <s v="Win"/>
    <n v="1"/>
    <n v="0"/>
    <n v="0"/>
    <n v="1"/>
  </r>
  <r>
    <x v="0"/>
    <x v="0"/>
    <x v="1"/>
    <x v="59"/>
    <n v="114"/>
    <x v="1"/>
    <x v="1"/>
    <n v="11"/>
    <x v="2"/>
    <s v="Win"/>
    <n v="1"/>
    <n v="0"/>
    <n v="0"/>
    <n v="1"/>
  </r>
  <r>
    <x v="0"/>
    <x v="1"/>
    <x v="1"/>
    <x v="59"/>
    <n v="115"/>
    <x v="0"/>
    <x v="0"/>
    <n v="14"/>
    <x v="1"/>
    <s v="Win"/>
    <n v="1"/>
    <n v="0"/>
    <n v="0"/>
    <n v="1"/>
  </r>
  <r>
    <x v="0"/>
    <x v="1"/>
    <x v="1"/>
    <x v="59"/>
    <n v="115"/>
    <x v="0"/>
    <x v="0"/>
    <n v="14"/>
    <x v="0"/>
    <s v="Win"/>
    <n v="1"/>
    <n v="0"/>
    <n v="0"/>
    <n v="1"/>
  </r>
  <r>
    <x v="0"/>
    <x v="1"/>
    <x v="1"/>
    <x v="59"/>
    <n v="115"/>
    <x v="1"/>
    <x v="1"/>
    <n v="10"/>
    <x v="2"/>
    <s v="Loss"/>
    <n v="0"/>
    <n v="1"/>
    <n v="0"/>
    <n v="1"/>
  </r>
  <r>
    <x v="0"/>
    <x v="1"/>
    <x v="1"/>
    <x v="59"/>
    <n v="115"/>
    <x v="1"/>
    <x v="0"/>
    <n v="10"/>
    <x v="1"/>
    <s v="Win"/>
    <n v="1"/>
    <n v="0"/>
    <n v="0"/>
    <n v="1"/>
  </r>
  <r>
    <x v="0"/>
    <x v="1"/>
    <x v="1"/>
    <x v="59"/>
    <n v="115"/>
    <x v="2"/>
    <x v="1"/>
    <n v="2"/>
    <x v="2"/>
    <s v="Loss"/>
    <n v="0"/>
    <n v="1"/>
    <n v="0"/>
    <n v="1"/>
  </r>
  <r>
    <x v="0"/>
    <x v="1"/>
    <x v="1"/>
    <x v="59"/>
    <n v="115"/>
    <x v="2"/>
    <x v="1"/>
    <n v="2"/>
    <x v="0"/>
    <s v="Loss"/>
    <n v="0"/>
    <n v="1"/>
    <n v="0"/>
    <n v="1"/>
  </r>
  <r>
    <x v="0"/>
    <x v="0"/>
    <x v="1"/>
    <x v="60"/>
    <n v="116"/>
    <x v="1"/>
    <x v="0"/>
    <n v="10"/>
    <x v="2"/>
    <s v="Win"/>
    <n v="1"/>
    <n v="0"/>
    <n v="0"/>
    <n v="1"/>
  </r>
  <r>
    <x v="0"/>
    <x v="0"/>
    <x v="1"/>
    <x v="60"/>
    <n v="116"/>
    <x v="0"/>
    <x v="1"/>
    <n v="7"/>
    <x v="0"/>
    <s v="Loss"/>
    <n v="0"/>
    <n v="1"/>
    <n v="0"/>
    <n v="1"/>
  </r>
  <r>
    <x v="0"/>
    <x v="2"/>
    <x v="1"/>
    <x v="60"/>
    <n v="117"/>
    <x v="1"/>
    <x v="1"/>
    <n v="2"/>
    <x v="2"/>
    <s v="Loss"/>
    <n v="0"/>
    <n v="1"/>
    <n v="0"/>
    <n v="1"/>
  </r>
  <r>
    <x v="0"/>
    <x v="2"/>
    <x v="1"/>
    <x v="60"/>
    <n v="117"/>
    <x v="0"/>
    <x v="0"/>
    <n v="14"/>
    <x v="0"/>
    <s v="Win"/>
    <n v="1"/>
    <n v="0"/>
    <n v="0"/>
    <n v="1"/>
  </r>
  <r>
    <x v="0"/>
    <x v="1"/>
    <x v="1"/>
    <x v="60"/>
    <n v="118"/>
    <x v="1"/>
    <x v="0"/>
    <n v="5"/>
    <x v="2"/>
    <s v="Loss"/>
    <n v="0"/>
    <n v="1"/>
    <n v="0"/>
    <n v="1"/>
  </r>
  <r>
    <x v="0"/>
    <x v="1"/>
    <x v="1"/>
    <x v="60"/>
    <n v="118"/>
    <x v="0"/>
    <x v="1"/>
    <n v="9"/>
    <x v="0"/>
    <s v="Win"/>
    <n v="1"/>
    <n v="0"/>
    <n v="0"/>
    <n v="1"/>
  </r>
  <r>
    <x v="0"/>
    <x v="0"/>
    <x v="1"/>
    <x v="61"/>
    <n v="119"/>
    <x v="1"/>
    <x v="0"/>
    <n v="13"/>
    <x v="2"/>
    <s v="Win"/>
    <n v="1"/>
    <n v="0"/>
    <n v="0"/>
    <n v="1"/>
  </r>
  <r>
    <x v="0"/>
    <x v="0"/>
    <x v="1"/>
    <x v="61"/>
    <n v="119"/>
    <x v="0"/>
    <x v="1"/>
    <n v="8"/>
    <x v="0"/>
    <s v="Loss"/>
    <n v="0"/>
    <n v="1"/>
    <n v="0"/>
    <n v="1"/>
  </r>
  <r>
    <x v="0"/>
    <x v="0"/>
    <x v="1"/>
    <x v="61"/>
    <n v="120"/>
    <x v="1"/>
    <x v="1"/>
    <n v="8"/>
    <x v="2"/>
    <s v="Loss"/>
    <n v="0"/>
    <n v="1"/>
    <n v="0"/>
    <n v="1"/>
  </r>
  <r>
    <x v="0"/>
    <x v="0"/>
    <x v="1"/>
    <x v="61"/>
    <n v="120"/>
    <x v="0"/>
    <x v="0"/>
    <n v="12"/>
    <x v="0"/>
    <s v="Win"/>
    <n v="1"/>
    <n v="0"/>
    <n v="0"/>
    <n v="1"/>
  </r>
  <r>
    <x v="0"/>
    <x v="0"/>
    <x v="1"/>
    <x v="62"/>
    <n v="121"/>
    <x v="0"/>
    <x v="1"/>
    <n v="10"/>
    <x v="0"/>
    <s v="Win"/>
    <n v="1"/>
    <n v="0"/>
    <n v="0"/>
    <n v="1"/>
  </r>
  <r>
    <x v="0"/>
    <x v="0"/>
    <x v="1"/>
    <x v="62"/>
    <n v="121"/>
    <x v="1"/>
    <x v="0"/>
    <n v="6"/>
    <x v="2"/>
    <s v="Loss"/>
    <n v="0"/>
    <n v="1"/>
    <n v="0"/>
    <n v="1"/>
  </r>
  <r>
    <x v="0"/>
    <x v="1"/>
    <x v="1"/>
    <x v="62"/>
    <n v="122"/>
    <x v="0"/>
    <x v="0"/>
    <n v="7"/>
    <x v="0"/>
    <s v="Loss"/>
    <n v="0"/>
    <n v="1"/>
    <n v="0"/>
    <n v="1"/>
  </r>
  <r>
    <x v="0"/>
    <x v="1"/>
    <x v="1"/>
    <x v="62"/>
    <n v="122"/>
    <x v="1"/>
    <x v="1"/>
    <n v="11"/>
    <x v="2"/>
    <s v="Win"/>
    <n v="1"/>
    <n v="0"/>
    <n v="0"/>
    <n v="1"/>
  </r>
  <r>
    <x v="0"/>
    <x v="2"/>
    <x v="1"/>
    <x v="62"/>
    <n v="123"/>
    <x v="1"/>
    <x v="0"/>
    <n v="3"/>
    <x v="2"/>
    <s v="Loss"/>
    <n v="0"/>
    <n v="1"/>
    <n v="0"/>
    <n v="1"/>
  </r>
  <r>
    <x v="0"/>
    <x v="2"/>
    <x v="1"/>
    <x v="62"/>
    <n v="123"/>
    <x v="0"/>
    <x v="1"/>
    <n v="11"/>
    <x v="0"/>
    <s v="Win"/>
    <n v="1"/>
    <n v="0"/>
    <n v="0"/>
    <n v="1"/>
  </r>
  <r>
    <x v="0"/>
    <x v="0"/>
    <x v="1"/>
    <x v="63"/>
    <n v="124"/>
    <x v="7"/>
    <x v="1"/>
    <n v="2"/>
    <x v="0"/>
    <s v="Loss"/>
    <n v="0"/>
    <n v="1"/>
    <n v="0"/>
    <n v="1"/>
  </r>
  <r>
    <x v="0"/>
    <x v="0"/>
    <x v="1"/>
    <x v="63"/>
    <n v="124"/>
    <x v="1"/>
    <x v="0"/>
    <n v="12"/>
    <x v="7"/>
    <s v="Win"/>
    <n v="1"/>
    <n v="0"/>
    <n v="0"/>
    <n v="1"/>
  </r>
  <r>
    <x v="0"/>
    <x v="0"/>
    <x v="1"/>
    <x v="63"/>
    <n v="125"/>
    <x v="0"/>
    <x v="0"/>
    <n v="9"/>
    <x v="0"/>
    <s v="Loss"/>
    <n v="0"/>
    <n v="1"/>
    <n v="0"/>
    <n v="1"/>
  </r>
  <r>
    <x v="0"/>
    <x v="0"/>
    <x v="1"/>
    <x v="63"/>
    <n v="125"/>
    <x v="1"/>
    <x v="1"/>
    <n v="10"/>
    <x v="2"/>
    <s v="Win"/>
    <n v="1"/>
    <n v="0"/>
    <n v="0"/>
    <n v="1"/>
  </r>
  <r>
    <x v="0"/>
    <x v="0"/>
    <x v="1"/>
    <x v="64"/>
    <n v="126"/>
    <x v="0"/>
    <x v="1"/>
    <n v="9"/>
    <x v="0"/>
    <s v="Win"/>
    <n v="1"/>
    <n v="0"/>
    <n v="0"/>
    <n v="1"/>
  </r>
  <r>
    <x v="0"/>
    <x v="0"/>
    <x v="1"/>
    <x v="64"/>
    <n v="126"/>
    <x v="1"/>
    <x v="0"/>
    <n v="5"/>
    <x v="2"/>
    <s v="Loss"/>
    <n v="0"/>
    <n v="1"/>
    <n v="0"/>
    <n v="1"/>
  </r>
  <r>
    <x v="0"/>
    <x v="0"/>
    <x v="1"/>
    <x v="64"/>
    <n v="127"/>
    <x v="0"/>
    <x v="0"/>
    <n v="2"/>
    <x v="0"/>
    <s v="Loss"/>
    <n v="0"/>
    <n v="1"/>
    <n v="0"/>
    <n v="1"/>
  </r>
  <r>
    <x v="0"/>
    <x v="0"/>
    <x v="1"/>
    <x v="64"/>
    <n v="127"/>
    <x v="2"/>
    <x v="0"/>
    <n v="4"/>
    <x v="0"/>
    <s v="Loss"/>
    <n v="0"/>
    <n v="1"/>
    <n v="0"/>
    <n v="1"/>
  </r>
  <r>
    <x v="0"/>
    <x v="0"/>
    <x v="1"/>
    <x v="64"/>
    <n v="127"/>
    <x v="2"/>
    <x v="1"/>
    <n v="4"/>
    <x v="2"/>
    <s v="Win"/>
    <n v="1"/>
    <n v="0"/>
    <n v="0"/>
    <n v="1"/>
  </r>
  <r>
    <x v="0"/>
    <x v="0"/>
    <x v="1"/>
    <x v="64"/>
    <n v="127"/>
    <x v="0"/>
    <x v="0"/>
    <n v="2"/>
    <x v="1"/>
    <s v="Loss"/>
    <n v="0"/>
    <n v="1"/>
    <n v="0"/>
    <n v="1"/>
  </r>
  <r>
    <x v="0"/>
    <x v="0"/>
    <x v="1"/>
    <x v="64"/>
    <n v="127"/>
    <x v="1"/>
    <x v="1"/>
    <n v="11"/>
    <x v="2"/>
    <s v="Win"/>
    <n v="1"/>
    <n v="0"/>
    <n v="0"/>
    <n v="1"/>
  </r>
  <r>
    <x v="0"/>
    <x v="0"/>
    <x v="1"/>
    <x v="64"/>
    <n v="127"/>
    <x v="1"/>
    <x v="1"/>
    <n v="11"/>
    <x v="1"/>
    <s v="Win"/>
    <n v="1"/>
    <n v="0"/>
    <n v="0"/>
    <n v="1"/>
  </r>
  <r>
    <x v="0"/>
    <x v="0"/>
    <x v="1"/>
    <x v="64"/>
    <n v="128"/>
    <x v="0"/>
    <x v="1"/>
    <n v="7"/>
    <x v="0"/>
    <s v="Win"/>
    <n v="1"/>
    <n v="0"/>
    <n v="0"/>
    <n v="1"/>
  </r>
  <r>
    <x v="0"/>
    <x v="0"/>
    <x v="1"/>
    <x v="64"/>
    <n v="128"/>
    <x v="1"/>
    <x v="0"/>
    <n v="2"/>
    <x v="2"/>
    <s v="Loss"/>
    <n v="0"/>
    <n v="1"/>
    <n v="0"/>
    <n v="1"/>
  </r>
  <r>
    <x v="0"/>
    <x v="0"/>
    <x v="1"/>
    <x v="65"/>
    <n v="129"/>
    <x v="0"/>
    <x v="0"/>
    <n v="0"/>
    <x v="0"/>
    <s v="Loss"/>
    <n v="0"/>
    <n v="1"/>
    <n v="0"/>
    <n v="1"/>
  </r>
  <r>
    <x v="0"/>
    <x v="0"/>
    <x v="1"/>
    <x v="65"/>
    <n v="129"/>
    <x v="1"/>
    <x v="1"/>
    <n v="7"/>
    <x v="2"/>
    <s v="Win"/>
    <n v="1"/>
    <n v="0"/>
    <n v="0"/>
    <n v="1"/>
  </r>
  <r>
    <x v="0"/>
    <x v="0"/>
    <x v="1"/>
    <x v="65"/>
    <n v="130"/>
    <x v="1"/>
    <x v="0"/>
    <n v="0"/>
    <x v="2"/>
    <s v="Loss"/>
    <n v="0"/>
    <n v="1"/>
    <n v="0"/>
    <n v="1"/>
  </r>
  <r>
    <x v="0"/>
    <x v="0"/>
    <x v="1"/>
    <x v="65"/>
    <n v="130"/>
    <x v="1"/>
    <x v="1"/>
    <n v="0"/>
    <x v="7"/>
    <s v="Loss"/>
    <n v="0"/>
    <n v="1"/>
    <n v="0"/>
    <n v="1"/>
  </r>
  <r>
    <x v="0"/>
    <x v="0"/>
    <x v="1"/>
    <x v="65"/>
    <n v="130"/>
    <x v="7"/>
    <x v="0"/>
    <n v="1"/>
    <x v="0"/>
    <s v="Win"/>
    <n v="1"/>
    <n v="0"/>
    <n v="0"/>
    <n v="1"/>
  </r>
  <r>
    <x v="0"/>
    <x v="0"/>
    <x v="1"/>
    <x v="65"/>
    <n v="130"/>
    <x v="0"/>
    <x v="1"/>
    <n v="14"/>
    <x v="7"/>
    <s v="Win"/>
    <n v="1"/>
    <n v="0"/>
    <n v="0"/>
    <n v="1"/>
  </r>
  <r>
    <x v="0"/>
    <x v="0"/>
    <x v="1"/>
    <x v="65"/>
    <n v="130"/>
    <x v="7"/>
    <x v="0"/>
    <n v="1"/>
    <x v="2"/>
    <s v="Loss"/>
    <n v="0"/>
    <n v="1"/>
    <n v="0"/>
    <n v="1"/>
  </r>
  <r>
    <x v="0"/>
    <x v="0"/>
    <x v="1"/>
    <x v="65"/>
    <n v="130"/>
    <x v="0"/>
    <x v="1"/>
    <n v="14"/>
    <x v="0"/>
    <s v="Win"/>
    <n v="1"/>
    <n v="0"/>
    <n v="0"/>
    <n v="1"/>
  </r>
  <r>
    <x v="0"/>
    <x v="0"/>
    <x v="1"/>
    <x v="65"/>
    <n v="131"/>
    <x v="0"/>
    <x v="1"/>
    <n v="9"/>
    <x v="0"/>
    <s v="Win"/>
    <n v="1"/>
    <n v="0"/>
    <n v="0"/>
    <n v="1"/>
  </r>
  <r>
    <x v="0"/>
    <x v="0"/>
    <x v="1"/>
    <x v="65"/>
    <n v="131"/>
    <x v="1"/>
    <x v="0"/>
    <n v="7"/>
    <x v="2"/>
    <s v="Loss"/>
    <n v="0"/>
    <n v="1"/>
    <n v="0"/>
    <n v="1"/>
  </r>
  <r>
    <x v="0"/>
    <x v="0"/>
    <x v="1"/>
    <x v="66"/>
    <n v="132"/>
    <x v="1"/>
    <x v="0"/>
    <n v="4"/>
    <x v="2"/>
    <s v="Loss"/>
    <n v="0"/>
    <n v="1"/>
    <n v="0"/>
    <n v="1"/>
  </r>
  <r>
    <x v="0"/>
    <x v="0"/>
    <x v="1"/>
    <x v="66"/>
    <n v="132"/>
    <x v="0"/>
    <x v="1"/>
    <n v="10"/>
    <x v="0"/>
    <s v="Win"/>
    <n v="1"/>
    <n v="0"/>
    <n v="0"/>
    <n v="1"/>
  </r>
  <r>
    <x v="0"/>
    <x v="0"/>
    <x v="1"/>
    <x v="66"/>
    <n v="132"/>
    <x v="0"/>
    <x v="1"/>
    <n v="10"/>
    <x v="7"/>
    <s v="Win"/>
    <n v="1"/>
    <n v="0"/>
    <n v="0"/>
    <n v="1"/>
  </r>
  <r>
    <x v="0"/>
    <x v="0"/>
    <x v="1"/>
    <x v="66"/>
    <n v="132"/>
    <x v="7"/>
    <x v="0"/>
    <n v="4"/>
    <x v="2"/>
    <s v="Loss"/>
    <n v="0"/>
    <n v="1"/>
    <n v="0"/>
    <n v="1"/>
  </r>
  <r>
    <x v="0"/>
    <x v="0"/>
    <x v="1"/>
    <x v="66"/>
    <n v="132"/>
    <x v="7"/>
    <x v="1"/>
    <n v="4"/>
    <x v="0"/>
    <s v="Tie"/>
    <n v="0"/>
    <n v="0"/>
    <n v="1"/>
    <n v="1"/>
  </r>
  <r>
    <x v="0"/>
    <x v="0"/>
    <x v="1"/>
    <x v="66"/>
    <n v="132"/>
    <x v="1"/>
    <x v="0"/>
    <n v="4"/>
    <x v="7"/>
    <s v="Tie"/>
    <n v="0"/>
    <n v="0"/>
    <n v="1"/>
    <n v="1"/>
  </r>
  <r>
    <x v="0"/>
    <x v="0"/>
    <x v="1"/>
    <x v="66"/>
    <n v="133"/>
    <x v="0"/>
    <x v="0"/>
    <n v="10"/>
    <x v="0"/>
    <s v="Win"/>
    <n v="1"/>
    <n v="0"/>
    <n v="0"/>
    <n v="1"/>
  </r>
  <r>
    <x v="0"/>
    <x v="0"/>
    <x v="1"/>
    <x v="66"/>
    <n v="133"/>
    <x v="1"/>
    <x v="1"/>
    <n v="4"/>
    <x v="2"/>
    <s v="Loss"/>
    <n v="0"/>
    <n v="1"/>
    <n v="0"/>
    <n v="1"/>
  </r>
  <r>
    <x v="0"/>
    <x v="0"/>
    <x v="1"/>
    <x v="67"/>
    <n v="134"/>
    <x v="0"/>
    <x v="1"/>
    <n v="6"/>
    <x v="7"/>
    <s v="Win"/>
    <n v="1"/>
    <n v="0"/>
    <n v="0"/>
    <n v="1"/>
  </r>
  <r>
    <x v="0"/>
    <x v="0"/>
    <x v="1"/>
    <x v="67"/>
    <n v="134"/>
    <x v="7"/>
    <x v="0"/>
    <n v="3"/>
    <x v="2"/>
    <s v="Loss"/>
    <n v="0"/>
    <n v="1"/>
    <n v="0"/>
    <n v="1"/>
  </r>
  <r>
    <x v="0"/>
    <x v="0"/>
    <x v="1"/>
    <x v="67"/>
    <n v="135"/>
    <x v="0"/>
    <x v="0"/>
    <n v="16"/>
    <x v="0"/>
    <s v="Win"/>
    <n v="1"/>
    <n v="0"/>
    <n v="0"/>
    <n v="1"/>
  </r>
  <r>
    <x v="0"/>
    <x v="0"/>
    <x v="1"/>
    <x v="67"/>
    <n v="135"/>
    <x v="1"/>
    <x v="1"/>
    <n v="0"/>
    <x v="2"/>
    <s v="Loss"/>
    <n v="0"/>
    <n v="1"/>
    <n v="0"/>
    <n v="1"/>
  </r>
  <r>
    <x v="0"/>
    <x v="1"/>
    <x v="1"/>
    <x v="67"/>
    <n v="136"/>
    <x v="1"/>
    <x v="0"/>
    <n v="9"/>
    <x v="2"/>
    <s v="Win"/>
    <n v="1"/>
    <n v="0"/>
    <n v="0"/>
    <n v="1"/>
  </r>
  <r>
    <x v="0"/>
    <x v="1"/>
    <x v="1"/>
    <x v="67"/>
    <n v="136"/>
    <x v="0"/>
    <x v="1"/>
    <n v="4"/>
    <x v="0"/>
    <s v="Loss"/>
    <n v="0"/>
    <n v="1"/>
    <n v="0"/>
    <n v="1"/>
  </r>
  <r>
    <x v="0"/>
    <x v="0"/>
    <x v="1"/>
    <x v="68"/>
    <n v="137"/>
    <x v="0"/>
    <x v="0"/>
    <n v="5"/>
    <x v="0"/>
    <s v="Loss"/>
    <n v="0"/>
    <n v="1"/>
    <n v="0"/>
    <n v="1"/>
  </r>
  <r>
    <x v="0"/>
    <x v="0"/>
    <x v="1"/>
    <x v="68"/>
    <n v="137"/>
    <x v="7"/>
    <x v="0"/>
    <n v="1"/>
    <x v="2"/>
    <s v="Loss"/>
    <n v="0"/>
    <n v="1"/>
    <n v="0"/>
    <n v="1"/>
  </r>
  <r>
    <x v="0"/>
    <x v="0"/>
    <x v="1"/>
    <x v="68"/>
    <n v="137"/>
    <x v="7"/>
    <x v="0"/>
    <n v="1"/>
    <x v="0"/>
    <s v="Loss"/>
    <n v="0"/>
    <n v="1"/>
    <n v="0"/>
    <n v="1"/>
  </r>
  <r>
    <x v="0"/>
    <x v="0"/>
    <x v="1"/>
    <x v="68"/>
    <n v="137"/>
    <x v="1"/>
    <x v="1"/>
    <n v="9"/>
    <x v="2"/>
    <s v="Win"/>
    <n v="1"/>
    <n v="0"/>
    <n v="0"/>
    <n v="1"/>
  </r>
  <r>
    <x v="0"/>
    <x v="0"/>
    <x v="1"/>
    <x v="68"/>
    <n v="137"/>
    <x v="1"/>
    <x v="1"/>
    <n v="9"/>
    <x v="7"/>
    <s v="Win"/>
    <n v="1"/>
    <n v="0"/>
    <n v="0"/>
    <n v="1"/>
  </r>
  <r>
    <x v="0"/>
    <x v="0"/>
    <x v="1"/>
    <x v="68"/>
    <n v="137"/>
    <x v="0"/>
    <x v="1"/>
    <n v="5"/>
    <x v="7"/>
    <s v="Win"/>
    <n v="1"/>
    <n v="0"/>
    <n v="0"/>
    <n v="1"/>
  </r>
  <r>
    <x v="0"/>
    <x v="1"/>
    <x v="1"/>
    <x v="68"/>
    <n v="138"/>
    <x v="7"/>
    <x v="0"/>
    <n v="3"/>
    <x v="2"/>
    <s v="Loss"/>
    <n v="0"/>
    <n v="1"/>
    <n v="0"/>
    <n v="1"/>
  </r>
  <r>
    <x v="0"/>
    <x v="1"/>
    <x v="1"/>
    <x v="68"/>
    <n v="138"/>
    <x v="7"/>
    <x v="0"/>
    <n v="3"/>
    <x v="0"/>
    <s v="Tie"/>
    <n v="0"/>
    <n v="0"/>
    <n v="1"/>
    <n v="1"/>
  </r>
  <r>
    <x v="0"/>
    <x v="1"/>
    <x v="1"/>
    <x v="68"/>
    <n v="138"/>
    <x v="0"/>
    <x v="1"/>
    <n v="13"/>
    <x v="0"/>
    <s v="Win"/>
    <n v="1"/>
    <n v="0"/>
    <n v="0"/>
    <n v="1"/>
  </r>
  <r>
    <x v="0"/>
    <x v="1"/>
    <x v="1"/>
    <x v="68"/>
    <n v="138"/>
    <x v="1"/>
    <x v="0"/>
    <n v="3"/>
    <x v="2"/>
    <s v="Loss"/>
    <n v="0"/>
    <n v="1"/>
    <n v="0"/>
    <n v="1"/>
  </r>
  <r>
    <x v="0"/>
    <x v="1"/>
    <x v="1"/>
    <x v="68"/>
    <n v="138"/>
    <x v="1"/>
    <x v="1"/>
    <n v="3"/>
    <x v="7"/>
    <s v="Tie"/>
    <n v="0"/>
    <n v="0"/>
    <n v="1"/>
    <n v="1"/>
  </r>
  <r>
    <x v="0"/>
    <x v="1"/>
    <x v="1"/>
    <x v="68"/>
    <n v="138"/>
    <x v="0"/>
    <x v="1"/>
    <n v="13"/>
    <x v="7"/>
    <s v="Win"/>
    <n v="1"/>
    <n v="0"/>
    <n v="0"/>
    <n v="1"/>
  </r>
  <r>
    <x v="0"/>
    <x v="0"/>
    <x v="1"/>
    <x v="68"/>
    <n v="139"/>
    <x v="0"/>
    <x v="0"/>
    <n v="4"/>
    <x v="0"/>
    <s v="Tie"/>
    <n v="0"/>
    <n v="0"/>
    <n v="1"/>
    <n v="1"/>
  </r>
  <r>
    <x v="0"/>
    <x v="0"/>
    <x v="1"/>
    <x v="68"/>
    <n v="139"/>
    <x v="0"/>
    <x v="0"/>
    <n v="4"/>
    <x v="1"/>
    <s v="Loss"/>
    <n v="0"/>
    <n v="1"/>
    <n v="0"/>
    <n v="1"/>
  </r>
  <r>
    <x v="0"/>
    <x v="0"/>
    <x v="1"/>
    <x v="68"/>
    <n v="139"/>
    <x v="2"/>
    <x v="1"/>
    <n v="5"/>
    <x v="0"/>
    <s v="Win"/>
    <n v="1"/>
    <n v="0"/>
    <n v="0"/>
    <n v="1"/>
  </r>
  <r>
    <x v="0"/>
    <x v="0"/>
    <x v="1"/>
    <x v="68"/>
    <n v="139"/>
    <x v="2"/>
    <x v="1"/>
    <n v="5"/>
    <x v="2"/>
    <s v="Win"/>
    <n v="1"/>
    <n v="0"/>
    <n v="0"/>
    <n v="1"/>
  </r>
  <r>
    <x v="0"/>
    <x v="0"/>
    <x v="1"/>
    <x v="68"/>
    <n v="139"/>
    <x v="1"/>
    <x v="0"/>
    <n v="4"/>
    <x v="1"/>
    <s v="Loss"/>
    <n v="0"/>
    <n v="1"/>
    <n v="0"/>
    <n v="1"/>
  </r>
  <r>
    <x v="0"/>
    <x v="0"/>
    <x v="1"/>
    <x v="68"/>
    <n v="139"/>
    <x v="1"/>
    <x v="1"/>
    <n v="4"/>
    <x v="2"/>
    <s v="Tie"/>
    <n v="0"/>
    <n v="0"/>
    <n v="1"/>
    <n v="1"/>
  </r>
  <r>
    <x v="0"/>
    <x v="0"/>
    <x v="1"/>
    <x v="69"/>
    <n v="140"/>
    <x v="7"/>
    <x v="0"/>
    <n v="2"/>
    <x v="2"/>
    <s v="Loss"/>
    <n v="0"/>
    <n v="1"/>
    <n v="0"/>
    <n v="1"/>
  </r>
  <r>
    <x v="0"/>
    <x v="0"/>
    <x v="1"/>
    <x v="69"/>
    <n v="140"/>
    <x v="7"/>
    <x v="1"/>
    <n v="2"/>
    <x v="0"/>
    <s v="Loss"/>
    <n v="0"/>
    <n v="1"/>
    <n v="0"/>
    <n v="1"/>
  </r>
  <r>
    <x v="0"/>
    <x v="0"/>
    <x v="1"/>
    <x v="69"/>
    <n v="140"/>
    <x v="1"/>
    <x v="0"/>
    <n v="14"/>
    <x v="7"/>
    <s v="Win"/>
    <n v="1"/>
    <n v="0"/>
    <n v="0"/>
    <n v="1"/>
  </r>
  <r>
    <x v="0"/>
    <x v="0"/>
    <x v="1"/>
    <x v="69"/>
    <n v="140"/>
    <x v="1"/>
    <x v="0"/>
    <n v="14"/>
    <x v="2"/>
    <s v="Win"/>
    <n v="1"/>
    <n v="0"/>
    <n v="0"/>
    <n v="1"/>
  </r>
  <r>
    <x v="0"/>
    <x v="0"/>
    <x v="1"/>
    <x v="69"/>
    <n v="140"/>
    <x v="0"/>
    <x v="1"/>
    <n v="8"/>
    <x v="7"/>
    <s v="Win"/>
    <n v="1"/>
    <n v="0"/>
    <n v="0"/>
    <n v="1"/>
  </r>
  <r>
    <x v="0"/>
    <x v="0"/>
    <x v="1"/>
    <x v="69"/>
    <n v="140"/>
    <x v="0"/>
    <x v="1"/>
    <n v="8"/>
    <x v="0"/>
    <s v="Loss"/>
    <n v="0"/>
    <n v="1"/>
    <n v="0"/>
    <n v="1"/>
  </r>
  <r>
    <x v="0"/>
    <x v="1"/>
    <x v="1"/>
    <x v="69"/>
    <n v="141"/>
    <x v="2"/>
    <x v="1"/>
    <n v="5"/>
    <x v="0"/>
    <s v="Loss"/>
    <n v="0"/>
    <n v="1"/>
    <n v="0"/>
    <n v="1"/>
  </r>
  <r>
    <x v="0"/>
    <x v="1"/>
    <x v="1"/>
    <x v="69"/>
    <n v="141"/>
    <x v="2"/>
    <x v="1"/>
    <n v="5"/>
    <x v="2"/>
    <s v="Win"/>
    <n v="1"/>
    <n v="0"/>
    <n v="0"/>
    <n v="1"/>
  </r>
  <r>
    <x v="0"/>
    <x v="1"/>
    <x v="1"/>
    <x v="69"/>
    <n v="141"/>
    <x v="0"/>
    <x v="0"/>
    <n v="3"/>
    <x v="0"/>
    <s v="Loss"/>
    <n v="0"/>
    <n v="1"/>
    <n v="0"/>
    <n v="1"/>
  </r>
  <r>
    <x v="0"/>
    <x v="1"/>
    <x v="1"/>
    <x v="69"/>
    <n v="141"/>
    <x v="0"/>
    <x v="0"/>
    <n v="3"/>
    <x v="1"/>
    <s v="Loss"/>
    <n v="0"/>
    <n v="1"/>
    <n v="0"/>
    <n v="1"/>
  </r>
  <r>
    <x v="0"/>
    <x v="1"/>
    <x v="1"/>
    <x v="69"/>
    <n v="141"/>
    <x v="1"/>
    <x v="1"/>
    <n v="14"/>
    <x v="2"/>
    <s v="Win"/>
    <n v="1"/>
    <n v="0"/>
    <n v="0"/>
    <n v="1"/>
  </r>
  <r>
    <x v="0"/>
    <x v="1"/>
    <x v="1"/>
    <x v="69"/>
    <n v="141"/>
    <x v="1"/>
    <x v="0"/>
    <n v="14"/>
    <x v="1"/>
    <s v="Win"/>
    <n v="1"/>
    <n v="0"/>
    <n v="0"/>
    <n v="1"/>
  </r>
  <r>
    <x v="0"/>
    <x v="0"/>
    <x v="1"/>
    <x v="69"/>
    <n v="142"/>
    <x v="0"/>
    <x v="1"/>
    <n v="6"/>
    <x v="1"/>
    <s v="Win"/>
    <n v="1"/>
    <n v="0"/>
    <n v="0"/>
    <n v="1"/>
  </r>
  <r>
    <x v="0"/>
    <x v="0"/>
    <x v="1"/>
    <x v="69"/>
    <n v="142"/>
    <x v="1"/>
    <x v="0"/>
    <n v="8"/>
    <x v="2"/>
    <s v="Win"/>
    <n v="1"/>
    <n v="0"/>
    <n v="0"/>
    <n v="1"/>
  </r>
  <r>
    <x v="0"/>
    <x v="0"/>
    <x v="1"/>
    <x v="69"/>
    <n v="142"/>
    <x v="1"/>
    <x v="0"/>
    <n v="8"/>
    <x v="1"/>
    <s v="Win"/>
    <n v="1"/>
    <n v="0"/>
    <n v="0"/>
    <n v="1"/>
  </r>
  <r>
    <x v="0"/>
    <x v="0"/>
    <x v="1"/>
    <x v="69"/>
    <n v="142"/>
    <x v="2"/>
    <x v="0"/>
    <n v="4"/>
    <x v="2"/>
    <s v="Loss"/>
    <n v="0"/>
    <n v="1"/>
    <n v="0"/>
    <n v="1"/>
  </r>
  <r>
    <x v="0"/>
    <x v="0"/>
    <x v="1"/>
    <x v="69"/>
    <n v="142"/>
    <x v="0"/>
    <x v="1"/>
    <n v="6"/>
    <x v="0"/>
    <s v="Loss"/>
    <n v="0"/>
    <n v="1"/>
    <n v="0"/>
    <n v="1"/>
  </r>
  <r>
    <x v="0"/>
    <x v="0"/>
    <x v="1"/>
    <x v="69"/>
    <n v="142"/>
    <x v="2"/>
    <x v="1"/>
    <n v="4"/>
    <x v="0"/>
    <s v="Loss"/>
    <n v="0"/>
    <n v="1"/>
    <n v="0"/>
    <n v="1"/>
  </r>
  <r>
    <x v="0"/>
    <x v="0"/>
    <x v="1"/>
    <x v="70"/>
    <n v="143"/>
    <x v="2"/>
    <x v="1"/>
    <n v="3"/>
    <x v="0"/>
    <s v="Loss"/>
    <n v="0"/>
    <n v="1"/>
    <n v="0"/>
    <n v="1"/>
  </r>
  <r>
    <x v="0"/>
    <x v="0"/>
    <x v="1"/>
    <x v="70"/>
    <n v="143"/>
    <x v="0"/>
    <x v="1"/>
    <n v="4"/>
    <x v="0"/>
    <s v="Loss"/>
    <n v="0"/>
    <n v="1"/>
    <n v="0"/>
    <n v="1"/>
  </r>
  <r>
    <x v="0"/>
    <x v="0"/>
    <x v="1"/>
    <x v="70"/>
    <n v="143"/>
    <x v="2"/>
    <x v="1"/>
    <n v="3"/>
    <x v="2"/>
    <s v="Loss"/>
    <n v="0"/>
    <n v="1"/>
    <n v="0"/>
    <n v="1"/>
  </r>
  <r>
    <x v="0"/>
    <x v="0"/>
    <x v="1"/>
    <x v="70"/>
    <n v="143"/>
    <x v="1"/>
    <x v="0"/>
    <n v="10"/>
    <x v="7"/>
    <s v="Win"/>
    <n v="1"/>
    <n v="0"/>
    <n v="0"/>
    <n v="1"/>
  </r>
  <r>
    <x v="0"/>
    <x v="0"/>
    <x v="1"/>
    <x v="70"/>
    <n v="143"/>
    <x v="1"/>
    <x v="0"/>
    <n v="10"/>
    <x v="1"/>
    <s v="Win"/>
    <n v="1"/>
    <n v="0"/>
    <n v="0"/>
    <n v="1"/>
  </r>
  <r>
    <x v="0"/>
    <x v="0"/>
    <x v="1"/>
    <x v="70"/>
    <n v="143"/>
    <x v="1"/>
    <x v="0"/>
    <n v="10"/>
    <x v="2"/>
    <s v="Win"/>
    <n v="1"/>
    <n v="0"/>
    <n v="0"/>
    <n v="1"/>
  </r>
  <r>
    <x v="0"/>
    <x v="0"/>
    <x v="1"/>
    <x v="70"/>
    <n v="143"/>
    <x v="7"/>
    <x v="0"/>
    <n v="8"/>
    <x v="1"/>
    <s v="Win"/>
    <n v="1"/>
    <n v="0"/>
    <n v="0"/>
    <n v="1"/>
  </r>
  <r>
    <x v="0"/>
    <x v="0"/>
    <x v="1"/>
    <x v="70"/>
    <n v="143"/>
    <x v="7"/>
    <x v="1"/>
    <n v="8"/>
    <x v="0"/>
    <s v="Loss"/>
    <n v="0"/>
    <n v="1"/>
    <n v="0"/>
    <n v="1"/>
  </r>
  <r>
    <x v="0"/>
    <x v="0"/>
    <x v="1"/>
    <x v="70"/>
    <n v="143"/>
    <x v="0"/>
    <x v="0"/>
    <n v="4"/>
    <x v="1"/>
    <s v="Win"/>
    <n v="1"/>
    <n v="0"/>
    <n v="0"/>
    <n v="1"/>
  </r>
  <r>
    <x v="0"/>
    <x v="0"/>
    <x v="1"/>
    <x v="70"/>
    <n v="143"/>
    <x v="2"/>
    <x v="1"/>
    <n v="3"/>
    <x v="7"/>
    <s v="Loss"/>
    <n v="0"/>
    <n v="1"/>
    <n v="0"/>
    <n v="1"/>
  </r>
  <r>
    <x v="0"/>
    <x v="0"/>
    <x v="1"/>
    <x v="70"/>
    <n v="143"/>
    <x v="7"/>
    <x v="1"/>
    <n v="8"/>
    <x v="2"/>
    <s v="Win"/>
    <n v="1"/>
    <n v="0"/>
    <n v="0"/>
    <n v="1"/>
  </r>
  <r>
    <x v="0"/>
    <x v="0"/>
    <x v="1"/>
    <x v="70"/>
    <n v="143"/>
    <x v="0"/>
    <x v="0"/>
    <n v="4"/>
    <x v="7"/>
    <s v="Loss"/>
    <n v="0"/>
    <n v="1"/>
    <n v="0"/>
    <n v="1"/>
  </r>
  <r>
    <x v="0"/>
    <x v="0"/>
    <x v="1"/>
    <x v="70"/>
    <n v="144"/>
    <x v="0"/>
    <x v="0"/>
    <n v="17"/>
    <x v="0"/>
    <s v="Win"/>
    <n v="1"/>
    <n v="0"/>
    <n v="0"/>
    <n v="1"/>
  </r>
  <r>
    <x v="0"/>
    <x v="0"/>
    <x v="1"/>
    <x v="70"/>
    <n v="144"/>
    <x v="2"/>
    <x v="1"/>
    <n v="2"/>
    <x v="0"/>
    <s v="Loss"/>
    <n v="0"/>
    <n v="1"/>
    <n v="0"/>
    <n v="1"/>
  </r>
  <r>
    <x v="0"/>
    <x v="0"/>
    <x v="1"/>
    <x v="70"/>
    <n v="144"/>
    <x v="1"/>
    <x v="0"/>
    <n v="9"/>
    <x v="1"/>
    <s v="Win"/>
    <n v="1"/>
    <n v="0"/>
    <n v="0"/>
    <n v="1"/>
  </r>
  <r>
    <x v="0"/>
    <x v="0"/>
    <x v="1"/>
    <x v="70"/>
    <n v="144"/>
    <x v="0"/>
    <x v="0"/>
    <n v="17"/>
    <x v="1"/>
    <s v="Win"/>
    <n v="1"/>
    <n v="0"/>
    <n v="0"/>
    <n v="1"/>
  </r>
  <r>
    <x v="0"/>
    <x v="0"/>
    <x v="1"/>
    <x v="70"/>
    <n v="144"/>
    <x v="2"/>
    <x v="1"/>
    <n v="2"/>
    <x v="2"/>
    <s v="Loss"/>
    <n v="0"/>
    <n v="1"/>
    <n v="0"/>
    <n v="1"/>
  </r>
  <r>
    <x v="0"/>
    <x v="0"/>
    <x v="1"/>
    <x v="70"/>
    <n v="144"/>
    <x v="1"/>
    <x v="1"/>
    <n v="9"/>
    <x v="2"/>
    <s v="Loss"/>
    <n v="0"/>
    <n v="1"/>
    <n v="0"/>
    <n v="1"/>
  </r>
  <r>
    <x v="0"/>
    <x v="0"/>
    <x v="1"/>
    <x v="71"/>
    <n v="145"/>
    <x v="0"/>
    <x v="0"/>
    <n v="5"/>
    <x v="0"/>
    <s v="Win"/>
    <n v="1"/>
    <n v="0"/>
    <n v="0"/>
    <n v="1"/>
  </r>
  <r>
    <x v="0"/>
    <x v="0"/>
    <x v="1"/>
    <x v="71"/>
    <n v="145"/>
    <x v="0"/>
    <x v="0"/>
    <n v="5"/>
    <x v="7"/>
    <s v="Win"/>
    <n v="1"/>
    <n v="0"/>
    <n v="0"/>
    <n v="1"/>
  </r>
  <r>
    <x v="0"/>
    <x v="0"/>
    <x v="1"/>
    <x v="71"/>
    <n v="145"/>
    <x v="7"/>
    <x v="1"/>
    <n v="1"/>
    <x v="2"/>
    <s v="Loss"/>
    <n v="0"/>
    <n v="1"/>
    <n v="0"/>
    <n v="1"/>
  </r>
  <r>
    <x v="0"/>
    <x v="0"/>
    <x v="1"/>
    <x v="71"/>
    <n v="145"/>
    <x v="7"/>
    <x v="1"/>
    <n v="1"/>
    <x v="0"/>
    <s v="Loss"/>
    <n v="0"/>
    <n v="1"/>
    <n v="0"/>
    <n v="1"/>
  </r>
  <r>
    <x v="0"/>
    <x v="0"/>
    <x v="1"/>
    <x v="71"/>
    <n v="145"/>
    <x v="1"/>
    <x v="1"/>
    <n v="4"/>
    <x v="2"/>
    <s v="Loss"/>
    <n v="0"/>
    <n v="1"/>
    <n v="0"/>
    <n v="1"/>
  </r>
  <r>
    <x v="0"/>
    <x v="0"/>
    <x v="1"/>
    <x v="71"/>
    <n v="145"/>
    <x v="1"/>
    <x v="0"/>
    <n v="4"/>
    <x v="7"/>
    <s v="Win"/>
    <n v="1"/>
    <n v="0"/>
    <n v="0"/>
    <n v="1"/>
  </r>
  <r>
    <x v="0"/>
    <x v="1"/>
    <x v="1"/>
    <x v="71"/>
    <n v="146"/>
    <x v="1"/>
    <x v="1"/>
    <n v="13"/>
    <x v="2"/>
    <s v="Win"/>
    <n v="1"/>
    <n v="0"/>
    <n v="0"/>
    <n v="1"/>
  </r>
  <r>
    <x v="0"/>
    <x v="1"/>
    <x v="1"/>
    <x v="71"/>
    <n v="146"/>
    <x v="0"/>
    <x v="0"/>
    <n v="9"/>
    <x v="0"/>
    <s v="Loss"/>
    <n v="0"/>
    <n v="1"/>
    <n v="0"/>
    <n v="1"/>
  </r>
  <r>
    <x v="0"/>
    <x v="1"/>
    <x v="1"/>
    <x v="71"/>
    <n v="146"/>
    <x v="0"/>
    <x v="1"/>
    <n v="9"/>
    <x v="7"/>
    <s v="Win"/>
    <n v="1"/>
    <n v="0"/>
    <n v="0"/>
    <n v="1"/>
  </r>
  <r>
    <x v="0"/>
    <x v="1"/>
    <x v="1"/>
    <x v="71"/>
    <n v="146"/>
    <x v="7"/>
    <x v="0"/>
    <n v="3"/>
    <x v="2"/>
    <s v="Loss"/>
    <n v="0"/>
    <n v="1"/>
    <n v="0"/>
    <n v="1"/>
  </r>
  <r>
    <x v="0"/>
    <x v="1"/>
    <x v="1"/>
    <x v="71"/>
    <n v="146"/>
    <x v="7"/>
    <x v="0"/>
    <n v="3"/>
    <x v="0"/>
    <s v="Loss"/>
    <n v="0"/>
    <n v="1"/>
    <n v="0"/>
    <n v="1"/>
  </r>
  <r>
    <x v="0"/>
    <x v="1"/>
    <x v="1"/>
    <x v="71"/>
    <n v="146"/>
    <x v="1"/>
    <x v="1"/>
    <n v="13"/>
    <x v="7"/>
    <s v="Win"/>
    <n v="1"/>
    <n v="0"/>
    <n v="0"/>
    <n v="1"/>
  </r>
  <r>
    <x v="0"/>
    <x v="2"/>
    <x v="1"/>
    <x v="71"/>
    <n v="147"/>
    <x v="0"/>
    <x v="1"/>
    <n v="15"/>
    <x v="7"/>
    <s v="Win"/>
    <n v="1"/>
    <n v="0"/>
    <n v="0"/>
    <n v="1"/>
  </r>
  <r>
    <x v="0"/>
    <x v="2"/>
    <x v="1"/>
    <x v="71"/>
    <n v="147"/>
    <x v="7"/>
    <x v="0"/>
    <n v="3"/>
    <x v="2"/>
    <s v="Loss"/>
    <n v="0"/>
    <n v="1"/>
    <n v="0"/>
    <n v="1"/>
  </r>
  <r>
    <x v="0"/>
    <x v="2"/>
    <x v="1"/>
    <x v="71"/>
    <n v="147"/>
    <x v="7"/>
    <x v="1"/>
    <n v="3"/>
    <x v="0"/>
    <s v="Loss"/>
    <n v="0"/>
    <n v="1"/>
    <n v="0"/>
    <n v="1"/>
  </r>
  <r>
    <x v="0"/>
    <x v="2"/>
    <x v="1"/>
    <x v="71"/>
    <n v="147"/>
    <x v="1"/>
    <x v="0"/>
    <n v="4"/>
    <x v="7"/>
    <s v="Win"/>
    <n v="1"/>
    <n v="0"/>
    <n v="0"/>
    <n v="1"/>
  </r>
  <r>
    <x v="0"/>
    <x v="2"/>
    <x v="1"/>
    <x v="71"/>
    <n v="147"/>
    <x v="0"/>
    <x v="1"/>
    <n v="15"/>
    <x v="0"/>
    <s v="Win"/>
    <n v="1"/>
    <n v="0"/>
    <n v="0"/>
    <n v="1"/>
  </r>
  <r>
    <x v="0"/>
    <x v="2"/>
    <x v="1"/>
    <x v="71"/>
    <n v="147"/>
    <x v="1"/>
    <x v="0"/>
    <n v="4"/>
    <x v="2"/>
    <s v="Loss"/>
    <n v="0"/>
    <n v="1"/>
    <n v="0"/>
    <n v="1"/>
  </r>
  <r>
    <x v="0"/>
    <x v="0"/>
    <x v="2"/>
    <x v="72"/>
    <n v="148"/>
    <x v="0"/>
    <x v="0"/>
    <n v="1"/>
    <x v="7"/>
    <s v="Loss"/>
    <n v="0"/>
    <n v="1"/>
    <n v="0"/>
    <n v="1"/>
  </r>
  <r>
    <x v="0"/>
    <x v="0"/>
    <x v="2"/>
    <x v="72"/>
    <n v="148"/>
    <x v="0"/>
    <x v="0"/>
    <n v="1"/>
    <x v="1"/>
    <s v="Loss"/>
    <n v="0"/>
    <n v="1"/>
    <n v="0"/>
    <n v="1"/>
  </r>
  <r>
    <x v="0"/>
    <x v="0"/>
    <x v="2"/>
    <x v="72"/>
    <n v="148"/>
    <x v="7"/>
    <x v="1"/>
    <n v="4"/>
    <x v="2"/>
    <s v="Win"/>
    <n v="1"/>
    <n v="0"/>
    <n v="0"/>
    <n v="1"/>
  </r>
  <r>
    <x v="0"/>
    <x v="0"/>
    <x v="2"/>
    <x v="72"/>
    <n v="148"/>
    <x v="7"/>
    <x v="0"/>
    <n v="4"/>
    <x v="1"/>
    <s v="Loss"/>
    <n v="0"/>
    <n v="1"/>
    <n v="0"/>
    <n v="1"/>
  </r>
  <r>
    <x v="0"/>
    <x v="0"/>
    <x v="2"/>
    <x v="72"/>
    <n v="148"/>
    <x v="2"/>
    <x v="1"/>
    <n v="5"/>
    <x v="2"/>
    <s v="Win"/>
    <n v="1"/>
    <n v="0"/>
    <n v="0"/>
    <n v="1"/>
  </r>
  <r>
    <x v="0"/>
    <x v="0"/>
    <x v="2"/>
    <x v="72"/>
    <n v="148"/>
    <x v="2"/>
    <x v="1"/>
    <n v="5"/>
    <x v="7"/>
    <s v="Win"/>
    <n v="1"/>
    <n v="0"/>
    <n v="0"/>
    <n v="1"/>
  </r>
  <r>
    <x v="0"/>
    <x v="0"/>
    <x v="1"/>
    <x v="72"/>
    <n v="149"/>
    <x v="0"/>
    <x v="1"/>
    <n v="9"/>
    <x v="1"/>
    <s v="Win"/>
    <n v="1"/>
    <n v="0"/>
    <n v="0"/>
    <n v="1"/>
  </r>
  <r>
    <x v="0"/>
    <x v="0"/>
    <x v="1"/>
    <x v="72"/>
    <n v="149"/>
    <x v="0"/>
    <x v="1"/>
    <n v="9"/>
    <x v="7"/>
    <s v="Win"/>
    <n v="1"/>
    <n v="0"/>
    <n v="0"/>
    <n v="1"/>
  </r>
  <r>
    <x v="0"/>
    <x v="0"/>
    <x v="1"/>
    <x v="72"/>
    <n v="149"/>
    <x v="7"/>
    <x v="0"/>
    <n v="6"/>
    <x v="2"/>
    <s v="Loss"/>
    <n v="0"/>
    <n v="1"/>
    <n v="0"/>
    <n v="1"/>
  </r>
  <r>
    <x v="0"/>
    <x v="0"/>
    <x v="1"/>
    <x v="72"/>
    <n v="149"/>
    <x v="7"/>
    <x v="0"/>
    <n v="6"/>
    <x v="1"/>
    <s v="Win"/>
    <n v="1"/>
    <n v="0"/>
    <n v="0"/>
    <n v="1"/>
  </r>
  <r>
    <x v="0"/>
    <x v="0"/>
    <x v="1"/>
    <x v="72"/>
    <n v="149"/>
    <x v="2"/>
    <x v="0"/>
    <n v="5"/>
    <x v="2"/>
    <s v="Loss"/>
    <n v="0"/>
    <n v="1"/>
    <n v="0"/>
    <n v="1"/>
  </r>
  <r>
    <x v="0"/>
    <x v="0"/>
    <x v="1"/>
    <x v="72"/>
    <n v="149"/>
    <x v="2"/>
    <x v="1"/>
    <n v="5"/>
    <x v="7"/>
    <s v="Loss"/>
    <n v="0"/>
    <n v="1"/>
    <n v="0"/>
    <n v="1"/>
  </r>
  <r>
    <x v="0"/>
    <x v="0"/>
    <x v="1"/>
    <x v="72"/>
    <n v="150"/>
    <x v="7"/>
    <x v="1"/>
    <n v="11"/>
    <x v="2"/>
    <s v="Win"/>
    <n v="1"/>
    <n v="0"/>
    <n v="0"/>
    <n v="1"/>
  </r>
  <r>
    <x v="0"/>
    <x v="0"/>
    <x v="1"/>
    <x v="72"/>
    <n v="150"/>
    <x v="0"/>
    <x v="0"/>
    <n v="9"/>
    <x v="7"/>
    <s v="Loss"/>
    <n v="0"/>
    <n v="1"/>
    <n v="0"/>
    <n v="1"/>
  </r>
  <r>
    <x v="0"/>
    <x v="0"/>
    <x v="1"/>
    <x v="73"/>
    <n v="151"/>
    <x v="7"/>
    <x v="0"/>
    <n v="6"/>
    <x v="2"/>
    <s v="Loss"/>
    <n v="0"/>
    <n v="1"/>
    <n v="0"/>
    <n v="1"/>
  </r>
  <r>
    <x v="0"/>
    <x v="0"/>
    <x v="1"/>
    <x v="73"/>
    <n v="151"/>
    <x v="0"/>
    <x v="1"/>
    <n v="17"/>
    <x v="7"/>
    <s v="Win"/>
    <n v="1"/>
    <n v="0"/>
    <n v="0"/>
    <n v="1"/>
  </r>
  <r>
    <x v="0"/>
    <x v="1"/>
    <x v="1"/>
    <x v="73"/>
    <n v="152"/>
    <x v="0"/>
    <x v="0"/>
    <n v="11"/>
    <x v="7"/>
    <s v="Win"/>
    <n v="1"/>
    <n v="0"/>
    <n v="0"/>
    <n v="1"/>
  </r>
  <r>
    <x v="0"/>
    <x v="1"/>
    <x v="1"/>
    <x v="73"/>
    <n v="152"/>
    <x v="7"/>
    <x v="1"/>
    <n v="5"/>
    <x v="2"/>
    <s v="Loss"/>
    <n v="0"/>
    <n v="1"/>
    <n v="0"/>
    <n v="1"/>
  </r>
  <r>
    <x v="0"/>
    <x v="0"/>
    <x v="1"/>
    <x v="74"/>
    <n v="153"/>
    <x v="7"/>
    <x v="0"/>
    <n v="10"/>
    <x v="2"/>
    <s v="Win"/>
    <n v="1"/>
    <n v="0"/>
    <n v="0"/>
    <n v="1"/>
  </r>
  <r>
    <x v="0"/>
    <x v="0"/>
    <x v="1"/>
    <x v="74"/>
    <n v="153"/>
    <x v="0"/>
    <x v="1"/>
    <n v="4"/>
    <x v="7"/>
    <s v="Loss"/>
    <n v="0"/>
    <n v="1"/>
    <n v="0"/>
    <n v="1"/>
  </r>
  <r>
    <x v="0"/>
    <x v="1"/>
    <x v="1"/>
    <x v="74"/>
    <n v="154"/>
    <x v="0"/>
    <x v="0"/>
    <n v="5"/>
    <x v="7"/>
    <s v="Win"/>
    <n v="1"/>
    <n v="0"/>
    <n v="0"/>
    <n v="1"/>
  </r>
  <r>
    <x v="0"/>
    <x v="1"/>
    <x v="1"/>
    <x v="74"/>
    <n v="154"/>
    <x v="7"/>
    <x v="1"/>
    <n v="2"/>
    <x v="2"/>
    <s v="Loss"/>
    <n v="0"/>
    <n v="1"/>
    <n v="0"/>
    <n v="1"/>
  </r>
  <r>
    <x v="0"/>
    <x v="0"/>
    <x v="1"/>
    <x v="74"/>
    <n v="155"/>
    <x v="0"/>
    <x v="1"/>
    <n v="9"/>
    <x v="7"/>
    <s v="Win"/>
    <n v="1"/>
    <n v="0"/>
    <n v="0"/>
    <n v="1"/>
  </r>
  <r>
    <x v="0"/>
    <x v="0"/>
    <x v="1"/>
    <x v="74"/>
    <n v="155"/>
    <x v="7"/>
    <x v="0"/>
    <n v="1"/>
    <x v="2"/>
    <s v="Loss"/>
    <n v="0"/>
    <n v="1"/>
    <n v="0"/>
    <n v="1"/>
  </r>
  <r>
    <x v="0"/>
    <x v="0"/>
    <x v="1"/>
    <x v="75"/>
    <n v="156"/>
    <x v="0"/>
    <x v="0"/>
    <n v="13"/>
    <x v="7"/>
    <s v="Win"/>
    <n v="1"/>
    <n v="0"/>
    <n v="0"/>
    <n v="1"/>
  </r>
  <r>
    <x v="0"/>
    <x v="0"/>
    <x v="1"/>
    <x v="75"/>
    <n v="156"/>
    <x v="7"/>
    <x v="1"/>
    <n v="1"/>
    <x v="2"/>
    <s v="Loss"/>
    <n v="0"/>
    <n v="1"/>
    <n v="0"/>
    <n v="1"/>
  </r>
  <r>
    <x v="0"/>
    <x v="2"/>
    <x v="1"/>
    <x v="75"/>
    <n v="157"/>
    <x v="7"/>
    <x v="0"/>
    <n v="3"/>
    <x v="2"/>
    <s v="Loss"/>
    <n v="0"/>
    <n v="1"/>
    <n v="0"/>
    <n v="1"/>
  </r>
  <r>
    <x v="0"/>
    <x v="2"/>
    <x v="1"/>
    <x v="75"/>
    <n v="157"/>
    <x v="0"/>
    <x v="1"/>
    <n v="4"/>
    <x v="7"/>
    <s v="Win"/>
    <n v="1"/>
    <n v="0"/>
    <n v="0"/>
    <n v="1"/>
  </r>
  <r>
    <x v="0"/>
    <x v="1"/>
    <x v="1"/>
    <x v="75"/>
    <n v="158"/>
    <x v="7"/>
    <x v="0"/>
    <n v="0"/>
    <x v="2"/>
    <s v="Loss"/>
    <n v="0"/>
    <n v="1"/>
    <n v="0"/>
    <n v="1"/>
  </r>
  <r>
    <x v="0"/>
    <x v="1"/>
    <x v="1"/>
    <x v="75"/>
    <n v="158"/>
    <x v="0"/>
    <x v="1"/>
    <n v="6"/>
    <x v="7"/>
    <s v="Win"/>
    <n v="1"/>
    <n v="0"/>
    <n v="0"/>
    <n v="1"/>
  </r>
  <r>
    <x v="0"/>
    <x v="0"/>
    <x v="1"/>
    <x v="76"/>
    <n v="159"/>
    <x v="7"/>
    <x v="0"/>
    <n v="6"/>
    <x v="2"/>
    <s v="Loss"/>
    <n v="0"/>
    <n v="1"/>
    <n v="0"/>
    <n v="1"/>
  </r>
  <r>
    <x v="0"/>
    <x v="0"/>
    <x v="1"/>
    <x v="76"/>
    <n v="159"/>
    <x v="0"/>
    <x v="1"/>
    <n v="12"/>
    <x v="7"/>
    <s v="Win"/>
    <n v="1"/>
    <n v="0"/>
    <n v="0"/>
    <n v="1"/>
  </r>
  <r>
    <x v="0"/>
    <x v="0"/>
    <x v="1"/>
    <x v="76"/>
    <n v="160"/>
    <x v="0"/>
    <x v="0"/>
    <n v="3"/>
    <x v="7"/>
    <s v="Win"/>
    <n v="1"/>
    <n v="0"/>
    <n v="0"/>
    <n v="1"/>
  </r>
  <r>
    <x v="0"/>
    <x v="0"/>
    <x v="1"/>
    <x v="76"/>
    <n v="160"/>
    <x v="7"/>
    <x v="1"/>
    <n v="1"/>
    <x v="2"/>
    <s v="Loss"/>
    <n v="0"/>
    <n v="1"/>
    <n v="0"/>
    <n v="1"/>
  </r>
  <r>
    <x v="0"/>
    <x v="0"/>
    <x v="1"/>
    <x v="76"/>
    <n v="161"/>
    <x v="0"/>
    <x v="1"/>
    <n v="15"/>
    <x v="7"/>
    <s v="Win"/>
    <n v="1"/>
    <n v="0"/>
    <n v="0"/>
    <n v="1"/>
  </r>
  <r>
    <x v="0"/>
    <x v="0"/>
    <x v="1"/>
    <x v="76"/>
    <n v="161"/>
    <x v="7"/>
    <x v="0"/>
    <n v="1"/>
    <x v="2"/>
    <s v="Loss"/>
    <n v="0"/>
    <n v="1"/>
    <n v="0"/>
    <n v="1"/>
  </r>
  <r>
    <x v="0"/>
    <x v="0"/>
    <x v="1"/>
    <x v="77"/>
    <n v="162"/>
    <x v="7"/>
    <x v="1"/>
    <n v="6"/>
    <x v="2"/>
    <s v="Loss"/>
    <n v="0"/>
    <n v="1"/>
    <n v="0"/>
    <n v="1"/>
  </r>
  <r>
    <x v="0"/>
    <x v="0"/>
    <x v="1"/>
    <x v="77"/>
    <n v="162"/>
    <x v="0"/>
    <x v="0"/>
    <n v="9"/>
    <x v="7"/>
    <s v="Win"/>
    <n v="1"/>
    <n v="0"/>
    <n v="0"/>
    <n v="1"/>
  </r>
  <r>
    <x v="0"/>
    <x v="0"/>
    <x v="1"/>
    <x v="77"/>
    <n v="163"/>
    <x v="7"/>
    <x v="0"/>
    <n v="7"/>
    <x v="2"/>
    <s v="Win"/>
    <n v="1"/>
    <n v="0"/>
    <n v="0"/>
    <n v="1"/>
  </r>
  <r>
    <x v="0"/>
    <x v="0"/>
    <x v="1"/>
    <x v="77"/>
    <n v="163"/>
    <x v="0"/>
    <x v="1"/>
    <n v="6"/>
    <x v="7"/>
    <s v="Loss"/>
    <n v="0"/>
    <n v="1"/>
    <n v="0"/>
    <n v="1"/>
  </r>
  <r>
    <x v="0"/>
    <x v="0"/>
    <x v="1"/>
    <x v="77"/>
    <n v="164"/>
    <x v="0"/>
    <x v="0"/>
    <n v="2"/>
    <x v="7"/>
    <s v="Loss"/>
    <n v="0"/>
    <n v="1"/>
    <n v="0"/>
    <n v="1"/>
  </r>
  <r>
    <x v="0"/>
    <x v="0"/>
    <x v="1"/>
    <x v="77"/>
    <n v="164"/>
    <x v="7"/>
    <x v="1"/>
    <n v="4"/>
    <x v="2"/>
    <s v="Win"/>
    <n v="1"/>
    <n v="0"/>
    <n v="0"/>
    <n v="1"/>
  </r>
  <r>
    <x v="0"/>
    <x v="0"/>
    <x v="1"/>
    <x v="78"/>
    <n v="165"/>
    <x v="0"/>
    <x v="0"/>
    <n v="4"/>
    <x v="0"/>
    <s v="Win"/>
    <n v="1"/>
    <n v="0"/>
    <n v="0"/>
    <n v="1"/>
  </r>
  <r>
    <x v="0"/>
    <x v="0"/>
    <x v="1"/>
    <x v="78"/>
    <n v="165"/>
    <x v="1"/>
    <x v="0"/>
    <n v="0"/>
    <x v="7"/>
    <s v="Loss"/>
    <n v="0"/>
    <n v="1"/>
    <n v="0"/>
    <n v="1"/>
  </r>
  <r>
    <x v="0"/>
    <x v="0"/>
    <x v="1"/>
    <x v="78"/>
    <n v="165"/>
    <x v="1"/>
    <x v="1"/>
    <n v="0"/>
    <x v="2"/>
    <s v="Loss"/>
    <n v="0"/>
    <n v="1"/>
    <n v="0"/>
    <n v="1"/>
  </r>
  <r>
    <x v="0"/>
    <x v="0"/>
    <x v="1"/>
    <x v="78"/>
    <n v="165"/>
    <x v="7"/>
    <x v="1"/>
    <n v="9"/>
    <x v="0"/>
    <s v="Win"/>
    <n v="1"/>
    <n v="0"/>
    <n v="0"/>
    <n v="1"/>
  </r>
  <r>
    <x v="0"/>
    <x v="0"/>
    <x v="1"/>
    <x v="78"/>
    <n v="165"/>
    <x v="7"/>
    <x v="1"/>
    <n v="9"/>
    <x v="2"/>
    <s v="Win"/>
    <n v="1"/>
    <n v="0"/>
    <n v="0"/>
    <n v="1"/>
  </r>
  <r>
    <x v="0"/>
    <x v="0"/>
    <x v="1"/>
    <x v="78"/>
    <n v="165"/>
    <x v="0"/>
    <x v="0"/>
    <n v="4"/>
    <x v="7"/>
    <s v="Loss"/>
    <n v="0"/>
    <n v="1"/>
    <n v="0"/>
    <n v="1"/>
  </r>
  <r>
    <x v="0"/>
    <x v="1"/>
    <x v="1"/>
    <x v="78"/>
    <n v="166"/>
    <x v="7"/>
    <x v="0"/>
    <n v="8"/>
    <x v="0"/>
    <s v="Win"/>
    <n v="1"/>
    <n v="0"/>
    <n v="0"/>
    <n v="1"/>
  </r>
  <r>
    <x v="0"/>
    <x v="1"/>
    <x v="1"/>
    <x v="78"/>
    <n v="166"/>
    <x v="0"/>
    <x v="1"/>
    <n v="5"/>
    <x v="7"/>
    <s v="Loss"/>
    <n v="0"/>
    <n v="1"/>
    <n v="0"/>
    <n v="1"/>
  </r>
  <r>
    <x v="0"/>
    <x v="1"/>
    <x v="1"/>
    <x v="78"/>
    <n v="166"/>
    <x v="1"/>
    <x v="1"/>
    <n v="3"/>
    <x v="7"/>
    <s v="Loss"/>
    <n v="0"/>
    <n v="1"/>
    <n v="0"/>
    <n v="1"/>
  </r>
  <r>
    <x v="0"/>
    <x v="1"/>
    <x v="1"/>
    <x v="78"/>
    <n v="166"/>
    <x v="0"/>
    <x v="1"/>
    <n v="5"/>
    <x v="0"/>
    <s v="Win"/>
    <n v="1"/>
    <n v="0"/>
    <n v="0"/>
    <n v="1"/>
  </r>
  <r>
    <x v="0"/>
    <x v="1"/>
    <x v="1"/>
    <x v="78"/>
    <n v="166"/>
    <x v="1"/>
    <x v="0"/>
    <n v="3"/>
    <x v="2"/>
    <s v="Loss"/>
    <n v="0"/>
    <n v="1"/>
    <n v="0"/>
    <n v="1"/>
  </r>
  <r>
    <x v="0"/>
    <x v="1"/>
    <x v="1"/>
    <x v="78"/>
    <n v="166"/>
    <x v="7"/>
    <x v="0"/>
    <n v="8"/>
    <x v="2"/>
    <s v="Win"/>
    <n v="1"/>
    <n v="0"/>
    <n v="0"/>
    <n v="1"/>
  </r>
  <r>
    <x v="0"/>
    <x v="2"/>
    <x v="1"/>
    <x v="78"/>
    <n v="167"/>
    <x v="0"/>
    <x v="0"/>
    <n v="8"/>
    <x v="7"/>
    <s v="Win"/>
    <n v="1"/>
    <n v="0"/>
    <n v="0"/>
    <n v="1"/>
  </r>
  <r>
    <x v="0"/>
    <x v="2"/>
    <x v="1"/>
    <x v="78"/>
    <n v="167"/>
    <x v="7"/>
    <x v="1"/>
    <n v="2"/>
    <x v="2"/>
    <s v="Loss"/>
    <n v="0"/>
    <n v="1"/>
    <n v="0"/>
    <n v="1"/>
  </r>
  <r>
    <x v="0"/>
    <x v="0"/>
    <x v="1"/>
    <x v="79"/>
    <n v="168"/>
    <x v="1"/>
    <x v="1"/>
    <n v="3"/>
    <x v="2"/>
    <s v="Loss"/>
    <n v="0"/>
    <n v="1"/>
    <n v="0"/>
    <n v="1"/>
  </r>
  <r>
    <x v="0"/>
    <x v="0"/>
    <x v="1"/>
    <x v="79"/>
    <n v="168"/>
    <x v="1"/>
    <x v="1"/>
    <n v="3"/>
    <x v="7"/>
    <s v="Win"/>
    <n v="1"/>
    <n v="0"/>
    <n v="0"/>
    <n v="1"/>
  </r>
  <r>
    <x v="0"/>
    <x v="0"/>
    <x v="1"/>
    <x v="79"/>
    <n v="168"/>
    <x v="7"/>
    <x v="0"/>
    <n v="0"/>
    <x v="0"/>
    <s v="Loss"/>
    <n v="0"/>
    <n v="1"/>
    <n v="0"/>
    <n v="1"/>
  </r>
  <r>
    <x v="0"/>
    <x v="0"/>
    <x v="1"/>
    <x v="79"/>
    <n v="168"/>
    <x v="7"/>
    <x v="0"/>
    <n v="0"/>
    <x v="2"/>
    <s v="Loss"/>
    <n v="0"/>
    <n v="1"/>
    <n v="0"/>
    <n v="1"/>
  </r>
  <r>
    <x v="0"/>
    <x v="0"/>
    <x v="1"/>
    <x v="79"/>
    <n v="168"/>
    <x v="0"/>
    <x v="0"/>
    <n v="11"/>
    <x v="0"/>
    <s v="Win"/>
    <n v="1"/>
    <n v="0"/>
    <n v="0"/>
    <n v="1"/>
  </r>
  <r>
    <x v="0"/>
    <x v="0"/>
    <x v="1"/>
    <x v="79"/>
    <n v="168"/>
    <x v="0"/>
    <x v="1"/>
    <n v="11"/>
    <x v="7"/>
    <s v="Win"/>
    <n v="1"/>
    <n v="0"/>
    <n v="0"/>
    <n v="1"/>
  </r>
  <r>
    <x v="0"/>
    <x v="0"/>
    <x v="1"/>
    <x v="79"/>
    <n v="169"/>
    <x v="1"/>
    <x v="0"/>
    <n v="1"/>
    <x v="7"/>
    <s v="Loss"/>
    <n v="0"/>
    <n v="1"/>
    <n v="0"/>
    <n v="1"/>
  </r>
  <r>
    <x v="0"/>
    <x v="0"/>
    <x v="1"/>
    <x v="79"/>
    <n v="169"/>
    <x v="7"/>
    <x v="1"/>
    <n v="2"/>
    <x v="0"/>
    <s v="Win"/>
    <n v="1"/>
    <n v="0"/>
    <n v="0"/>
    <n v="1"/>
  </r>
  <r>
    <x v="0"/>
    <x v="0"/>
    <x v="1"/>
    <x v="79"/>
    <n v="169"/>
    <x v="1"/>
    <x v="1"/>
    <n v="1"/>
    <x v="2"/>
    <s v="Loss"/>
    <n v="0"/>
    <n v="1"/>
    <n v="0"/>
    <n v="1"/>
  </r>
  <r>
    <x v="0"/>
    <x v="0"/>
    <x v="1"/>
    <x v="79"/>
    <n v="169"/>
    <x v="7"/>
    <x v="1"/>
    <n v="2"/>
    <x v="2"/>
    <s v="Loss"/>
    <n v="0"/>
    <n v="1"/>
    <n v="0"/>
    <n v="1"/>
  </r>
  <r>
    <x v="0"/>
    <x v="0"/>
    <x v="1"/>
    <x v="79"/>
    <n v="169"/>
    <x v="0"/>
    <x v="0"/>
    <n v="8"/>
    <x v="7"/>
    <s v="Win"/>
    <n v="1"/>
    <n v="0"/>
    <n v="0"/>
    <n v="1"/>
  </r>
  <r>
    <x v="0"/>
    <x v="0"/>
    <x v="1"/>
    <x v="79"/>
    <n v="169"/>
    <x v="0"/>
    <x v="0"/>
    <n v="8"/>
    <x v="0"/>
    <s v="Win"/>
    <n v="1"/>
    <n v="0"/>
    <n v="0"/>
    <n v="1"/>
  </r>
  <r>
    <x v="0"/>
    <x v="0"/>
    <x v="1"/>
    <x v="80"/>
    <n v="170"/>
    <x v="0"/>
    <x v="0"/>
    <n v="4"/>
    <x v="0"/>
    <s v="Loss"/>
    <n v="0"/>
    <n v="1"/>
    <n v="0"/>
    <n v="1"/>
  </r>
  <r>
    <x v="0"/>
    <x v="0"/>
    <x v="1"/>
    <x v="80"/>
    <n v="170"/>
    <x v="0"/>
    <x v="0"/>
    <n v="4"/>
    <x v="7"/>
    <s v="Win"/>
    <n v="1"/>
    <n v="0"/>
    <n v="0"/>
    <n v="1"/>
  </r>
  <r>
    <x v="0"/>
    <x v="0"/>
    <x v="1"/>
    <x v="80"/>
    <n v="170"/>
    <x v="7"/>
    <x v="1"/>
    <n v="3"/>
    <x v="2"/>
    <s v="Loss"/>
    <n v="0"/>
    <n v="1"/>
    <n v="0"/>
    <n v="1"/>
  </r>
  <r>
    <x v="0"/>
    <x v="0"/>
    <x v="1"/>
    <x v="80"/>
    <n v="170"/>
    <x v="7"/>
    <x v="1"/>
    <n v="3"/>
    <x v="0"/>
    <s v="Loss"/>
    <n v="0"/>
    <n v="1"/>
    <n v="0"/>
    <n v="1"/>
  </r>
  <r>
    <x v="0"/>
    <x v="0"/>
    <x v="1"/>
    <x v="80"/>
    <n v="170"/>
    <x v="1"/>
    <x v="1"/>
    <n v="9"/>
    <x v="2"/>
    <s v="Win"/>
    <n v="1"/>
    <n v="0"/>
    <n v="0"/>
    <n v="1"/>
  </r>
  <r>
    <x v="0"/>
    <x v="0"/>
    <x v="1"/>
    <x v="80"/>
    <n v="170"/>
    <x v="1"/>
    <x v="0"/>
    <n v="9"/>
    <x v="7"/>
    <s v="Win"/>
    <n v="1"/>
    <n v="0"/>
    <n v="0"/>
    <n v="1"/>
  </r>
  <r>
    <x v="0"/>
    <x v="0"/>
    <x v="1"/>
    <x v="80"/>
    <n v="171"/>
    <x v="0"/>
    <x v="0"/>
    <n v="5"/>
    <x v="0"/>
    <s v="Loss"/>
    <n v="0"/>
    <n v="1"/>
    <n v="0"/>
    <n v="1"/>
  </r>
  <r>
    <x v="0"/>
    <x v="0"/>
    <x v="1"/>
    <x v="80"/>
    <n v="171"/>
    <x v="1"/>
    <x v="1"/>
    <n v="6"/>
    <x v="7"/>
    <s v="Win"/>
    <n v="1"/>
    <n v="0"/>
    <n v="0"/>
    <n v="1"/>
  </r>
  <r>
    <x v="0"/>
    <x v="0"/>
    <x v="1"/>
    <x v="80"/>
    <n v="171"/>
    <x v="1"/>
    <x v="1"/>
    <n v="6"/>
    <x v="2"/>
    <s v="Win"/>
    <n v="1"/>
    <n v="0"/>
    <n v="0"/>
    <n v="1"/>
  </r>
  <r>
    <x v="0"/>
    <x v="0"/>
    <x v="1"/>
    <x v="80"/>
    <n v="171"/>
    <x v="7"/>
    <x v="0"/>
    <n v="1"/>
    <x v="0"/>
    <s v="Loss"/>
    <n v="0"/>
    <n v="1"/>
    <n v="0"/>
    <n v="1"/>
  </r>
  <r>
    <x v="0"/>
    <x v="0"/>
    <x v="1"/>
    <x v="80"/>
    <n v="171"/>
    <x v="0"/>
    <x v="1"/>
    <n v="5"/>
    <x v="7"/>
    <s v="Win"/>
    <n v="1"/>
    <n v="0"/>
    <n v="0"/>
    <n v="1"/>
  </r>
  <r>
    <x v="0"/>
    <x v="0"/>
    <x v="1"/>
    <x v="80"/>
    <n v="171"/>
    <x v="7"/>
    <x v="0"/>
    <n v="1"/>
    <x v="2"/>
    <s v="Loss"/>
    <n v="0"/>
    <n v="1"/>
    <n v="0"/>
    <n v="1"/>
  </r>
  <r>
    <x v="0"/>
    <x v="0"/>
    <x v="1"/>
    <x v="80"/>
    <n v="172"/>
    <x v="7"/>
    <x v="0"/>
    <n v="0"/>
    <x v="2"/>
    <s v="Loss"/>
    <n v="0"/>
    <n v="1"/>
    <n v="0"/>
    <n v="1"/>
  </r>
  <r>
    <x v="0"/>
    <x v="0"/>
    <x v="1"/>
    <x v="80"/>
    <n v="172"/>
    <x v="0"/>
    <x v="1"/>
    <n v="12"/>
    <x v="7"/>
    <s v="Win"/>
    <n v="1"/>
    <n v="0"/>
    <n v="0"/>
    <n v="1"/>
  </r>
  <r>
    <x v="0"/>
    <x v="0"/>
    <x v="1"/>
    <x v="81"/>
    <n v="173"/>
    <x v="7"/>
    <x v="1"/>
    <n v="0"/>
    <x v="0"/>
    <s v="Loss"/>
    <n v="0"/>
    <n v="1"/>
    <n v="0"/>
    <n v="1"/>
  </r>
  <r>
    <x v="0"/>
    <x v="0"/>
    <x v="1"/>
    <x v="81"/>
    <n v="173"/>
    <x v="1"/>
    <x v="0"/>
    <n v="1"/>
    <x v="7"/>
    <s v="Win"/>
    <n v="1"/>
    <n v="0"/>
    <n v="0"/>
    <n v="1"/>
  </r>
  <r>
    <x v="0"/>
    <x v="0"/>
    <x v="1"/>
    <x v="81"/>
    <n v="174"/>
    <x v="7"/>
    <x v="0"/>
    <n v="3"/>
    <x v="0"/>
    <s v="Loss"/>
    <n v="0"/>
    <n v="1"/>
    <n v="0"/>
    <n v="1"/>
  </r>
  <r>
    <x v="0"/>
    <x v="0"/>
    <x v="1"/>
    <x v="81"/>
    <n v="174"/>
    <x v="1"/>
    <x v="1"/>
    <n v="5"/>
    <x v="7"/>
    <s v="Win"/>
    <n v="1"/>
    <n v="0"/>
    <n v="0"/>
    <n v="1"/>
  </r>
  <r>
    <x v="0"/>
    <x v="1"/>
    <x v="1"/>
    <x v="81"/>
    <n v="175"/>
    <x v="1"/>
    <x v="1"/>
    <n v="4"/>
    <x v="7"/>
    <s v="Win"/>
    <n v="1"/>
    <n v="0"/>
    <n v="0"/>
    <n v="1"/>
  </r>
  <r>
    <x v="0"/>
    <x v="1"/>
    <x v="1"/>
    <x v="81"/>
    <n v="175"/>
    <x v="7"/>
    <x v="0"/>
    <n v="1"/>
    <x v="0"/>
    <s v="Loss"/>
    <n v="0"/>
    <n v="1"/>
    <n v="0"/>
    <n v="1"/>
  </r>
  <r>
    <x v="0"/>
    <x v="0"/>
    <x v="1"/>
    <x v="82"/>
    <n v="176"/>
    <x v="1"/>
    <x v="1"/>
    <n v="6"/>
    <x v="2"/>
    <s v="Loss"/>
    <n v="0"/>
    <n v="1"/>
    <n v="0"/>
    <n v="1"/>
  </r>
  <r>
    <x v="0"/>
    <x v="0"/>
    <x v="1"/>
    <x v="82"/>
    <n v="176"/>
    <x v="0"/>
    <x v="0"/>
    <n v="8"/>
    <x v="0"/>
    <s v="Win"/>
    <n v="1"/>
    <n v="0"/>
    <n v="0"/>
    <n v="1"/>
  </r>
  <r>
    <x v="0"/>
    <x v="1"/>
    <x v="1"/>
    <x v="82"/>
    <n v="177"/>
    <x v="1"/>
    <x v="0"/>
    <n v="7"/>
    <x v="2"/>
    <s v="Win"/>
    <n v="1"/>
    <n v="0"/>
    <n v="0"/>
    <n v="1"/>
  </r>
  <r>
    <x v="0"/>
    <x v="1"/>
    <x v="1"/>
    <x v="82"/>
    <n v="177"/>
    <x v="0"/>
    <x v="1"/>
    <n v="3"/>
    <x v="0"/>
    <s v="Loss"/>
    <n v="0"/>
    <n v="1"/>
    <n v="0"/>
    <n v="1"/>
  </r>
  <r>
    <x v="0"/>
    <x v="0"/>
    <x v="1"/>
    <x v="83"/>
    <n v="178"/>
    <x v="0"/>
    <x v="0"/>
    <n v="9"/>
    <x v="0"/>
    <s v="Win"/>
    <n v="1"/>
    <n v="0"/>
    <n v="0"/>
    <n v="1"/>
  </r>
  <r>
    <x v="0"/>
    <x v="0"/>
    <x v="1"/>
    <x v="83"/>
    <n v="178"/>
    <x v="0"/>
    <x v="0"/>
    <n v="9"/>
    <x v="1"/>
    <s v="Win"/>
    <n v="1"/>
    <n v="0"/>
    <n v="0"/>
    <n v="1"/>
  </r>
  <r>
    <x v="0"/>
    <x v="0"/>
    <x v="1"/>
    <x v="83"/>
    <n v="178"/>
    <x v="1"/>
    <x v="1"/>
    <n v="5"/>
    <x v="2"/>
    <s v="Loss"/>
    <n v="0"/>
    <n v="1"/>
    <n v="0"/>
    <n v="1"/>
  </r>
  <r>
    <x v="0"/>
    <x v="0"/>
    <x v="1"/>
    <x v="83"/>
    <n v="178"/>
    <x v="1"/>
    <x v="0"/>
    <n v="5"/>
    <x v="1"/>
    <s v="Win"/>
    <n v="1"/>
    <n v="0"/>
    <n v="0"/>
    <n v="1"/>
  </r>
  <r>
    <x v="0"/>
    <x v="0"/>
    <x v="1"/>
    <x v="83"/>
    <n v="178"/>
    <x v="2"/>
    <x v="1"/>
    <n v="2"/>
    <x v="2"/>
    <s v="Loss"/>
    <n v="0"/>
    <n v="1"/>
    <n v="0"/>
    <n v="1"/>
  </r>
  <r>
    <x v="0"/>
    <x v="0"/>
    <x v="1"/>
    <x v="83"/>
    <n v="178"/>
    <x v="2"/>
    <x v="1"/>
    <n v="2"/>
    <x v="0"/>
    <s v="Loss"/>
    <n v="0"/>
    <n v="1"/>
    <n v="0"/>
    <n v="1"/>
  </r>
  <r>
    <x v="0"/>
    <x v="0"/>
    <x v="1"/>
    <x v="83"/>
    <n v="179"/>
    <x v="0"/>
    <x v="1"/>
    <n v="6"/>
    <x v="0"/>
    <s v="Win"/>
    <n v="1"/>
    <n v="0"/>
    <n v="0"/>
    <n v="1"/>
  </r>
  <r>
    <x v="0"/>
    <x v="0"/>
    <x v="1"/>
    <x v="83"/>
    <n v="179"/>
    <x v="1"/>
    <x v="0"/>
    <n v="3"/>
    <x v="2"/>
    <s v="Loss"/>
    <n v="0"/>
    <n v="1"/>
    <n v="0"/>
    <n v="1"/>
  </r>
  <r>
    <x v="0"/>
    <x v="0"/>
    <x v="1"/>
    <x v="84"/>
    <n v="180"/>
    <x v="1"/>
    <x v="1"/>
    <n v="5"/>
    <x v="1"/>
    <s v="Loss"/>
    <n v="0"/>
    <n v="1"/>
    <n v="0"/>
    <n v="1"/>
  </r>
  <r>
    <x v="0"/>
    <x v="0"/>
    <x v="1"/>
    <x v="84"/>
    <n v="180"/>
    <x v="2"/>
    <x v="0"/>
    <n v="8"/>
    <x v="0"/>
    <s v="Win"/>
    <n v="1"/>
    <n v="0"/>
    <n v="0"/>
    <n v="1"/>
  </r>
  <r>
    <x v="0"/>
    <x v="0"/>
    <x v="1"/>
    <x v="85"/>
    <n v="181"/>
    <x v="2"/>
    <x v="1"/>
    <n v="0"/>
    <x v="0"/>
    <s v="Loss"/>
    <n v="0"/>
    <n v="1"/>
    <n v="0"/>
    <n v="1"/>
  </r>
  <r>
    <x v="0"/>
    <x v="0"/>
    <x v="1"/>
    <x v="85"/>
    <n v="181"/>
    <x v="1"/>
    <x v="0"/>
    <n v="4"/>
    <x v="1"/>
    <s v="Win"/>
    <n v="1"/>
    <n v="0"/>
    <n v="0"/>
    <n v="1"/>
  </r>
  <r>
    <x v="0"/>
    <x v="0"/>
    <x v="1"/>
    <x v="85"/>
    <n v="182"/>
    <x v="7"/>
    <x v="0"/>
    <n v="3"/>
    <x v="0"/>
    <s v="Loss"/>
    <n v="0"/>
    <n v="1"/>
    <n v="0"/>
    <n v="1"/>
  </r>
  <r>
    <x v="0"/>
    <x v="0"/>
    <x v="1"/>
    <x v="85"/>
    <n v="182"/>
    <x v="1"/>
    <x v="1"/>
    <n v="4"/>
    <x v="7"/>
    <s v="Win"/>
    <n v="1"/>
    <n v="0"/>
    <n v="0"/>
    <n v="1"/>
  </r>
  <r>
    <x v="0"/>
    <x v="0"/>
    <x v="1"/>
    <x v="85"/>
    <n v="183"/>
    <x v="7"/>
    <x v="1"/>
    <n v="3"/>
    <x v="0"/>
    <s v="Loss"/>
    <n v="0"/>
    <n v="1"/>
    <n v="0"/>
    <n v="1"/>
  </r>
  <r>
    <x v="0"/>
    <x v="0"/>
    <x v="1"/>
    <x v="85"/>
    <n v="183"/>
    <x v="1"/>
    <x v="0"/>
    <n v="5"/>
    <x v="7"/>
    <s v="Win"/>
    <n v="1"/>
    <n v="0"/>
    <n v="0"/>
    <n v="1"/>
  </r>
  <r>
    <x v="0"/>
    <x v="0"/>
    <x v="1"/>
    <x v="86"/>
    <n v="184"/>
    <x v="1"/>
    <x v="0"/>
    <n v="8"/>
    <x v="1"/>
    <s v="Win"/>
    <n v="1"/>
    <n v="0"/>
    <n v="0"/>
    <n v="1"/>
  </r>
  <r>
    <x v="0"/>
    <x v="0"/>
    <x v="1"/>
    <x v="86"/>
    <n v="184"/>
    <x v="2"/>
    <x v="1"/>
    <n v="2"/>
    <x v="0"/>
    <s v="Loss"/>
    <n v="0"/>
    <n v="1"/>
    <n v="0"/>
    <n v="1"/>
  </r>
  <r>
    <x v="0"/>
    <x v="0"/>
    <x v="1"/>
    <x v="87"/>
    <n v="185"/>
    <x v="1"/>
    <x v="1"/>
    <n v="6"/>
    <x v="2"/>
    <s v="Loss"/>
    <n v="0"/>
    <n v="1"/>
    <n v="0"/>
    <n v="1"/>
  </r>
  <r>
    <x v="0"/>
    <x v="0"/>
    <x v="1"/>
    <x v="87"/>
    <n v="185"/>
    <x v="0"/>
    <x v="0"/>
    <n v="11"/>
    <x v="0"/>
    <s v="Win"/>
    <n v="1"/>
    <n v="0"/>
    <n v="0"/>
    <n v="1"/>
  </r>
  <r>
    <x v="0"/>
    <x v="0"/>
    <x v="3"/>
    <x v="87"/>
    <n v="186"/>
    <x v="1"/>
    <x v="0"/>
    <n v="7"/>
    <x v="2"/>
    <s v="Loss"/>
    <n v="0"/>
    <n v="1"/>
    <n v="0"/>
    <n v="1"/>
  </r>
  <r>
    <x v="0"/>
    <x v="0"/>
    <x v="3"/>
    <x v="87"/>
    <n v="186"/>
    <x v="0"/>
    <x v="1"/>
    <n v="10"/>
    <x v="0"/>
    <s v="Win"/>
    <n v="1"/>
    <n v="0"/>
    <n v="0"/>
    <n v="1"/>
  </r>
  <r>
    <x v="0"/>
    <x v="0"/>
    <x v="3"/>
    <x v="87"/>
    <n v="187"/>
    <x v="0"/>
    <x v="1"/>
    <n v="13"/>
    <x v="0"/>
    <s v="Win"/>
    <n v="1"/>
    <n v="0"/>
    <n v="0"/>
    <n v="1"/>
  </r>
  <r>
    <x v="0"/>
    <x v="0"/>
    <x v="3"/>
    <x v="87"/>
    <n v="187"/>
    <x v="1"/>
    <x v="0"/>
    <n v="4"/>
    <x v="2"/>
    <s v="Loss"/>
    <n v="0"/>
    <n v="1"/>
    <n v="0"/>
    <n v="1"/>
  </r>
  <r>
    <x v="0"/>
    <x v="0"/>
    <x v="3"/>
    <x v="87"/>
    <n v="188"/>
    <x v="0"/>
    <x v="0"/>
    <n v="8"/>
    <x v="0"/>
    <s v="Win"/>
    <n v="1"/>
    <n v="0"/>
    <n v="0"/>
    <n v="1"/>
  </r>
  <r>
    <x v="0"/>
    <x v="0"/>
    <x v="3"/>
    <x v="87"/>
    <n v="188"/>
    <x v="1"/>
    <x v="1"/>
    <n v="6"/>
    <x v="2"/>
    <s v="Loss"/>
    <n v="0"/>
    <n v="1"/>
    <n v="0"/>
    <n v="1"/>
  </r>
  <r>
    <x v="0"/>
    <x v="0"/>
    <x v="3"/>
    <x v="88"/>
    <n v="189"/>
    <x v="0"/>
    <x v="1"/>
    <n v="16"/>
    <x v="0"/>
    <s v="Win"/>
    <n v="1"/>
    <n v="0"/>
    <n v="0"/>
    <n v="1"/>
  </r>
  <r>
    <x v="0"/>
    <x v="0"/>
    <x v="3"/>
    <x v="88"/>
    <n v="189"/>
    <x v="1"/>
    <x v="0"/>
    <n v="6"/>
    <x v="2"/>
    <s v="Loss"/>
    <n v="0"/>
    <n v="1"/>
    <n v="0"/>
    <n v="1"/>
  </r>
  <r>
    <x v="0"/>
    <x v="0"/>
    <x v="3"/>
    <x v="88"/>
    <n v="190"/>
    <x v="1"/>
    <x v="1"/>
    <n v="5"/>
    <x v="2"/>
    <s v="Loss"/>
    <n v="0"/>
    <n v="1"/>
    <n v="0"/>
    <n v="1"/>
  </r>
  <r>
    <x v="0"/>
    <x v="0"/>
    <x v="3"/>
    <x v="88"/>
    <n v="190"/>
    <x v="0"/>
    <x v="0"/>
    <n v="9"/>
    <x v="0"/>
    <s v="Win"/>
    <n v="1"/>
    <n v="0"/>
    <n v="0"/>
    <n v="1"/>
  </r>
  <r>
    <x v="0"/>
    <x v="0"/>
    <x v="3"/>
    <x v="88"/>
    <n v="191"/>
    <x v="0"/>
    <x v="1"/>
    <n v="5"/>
    <x v="0"/>
    <s v="Loss"/>
    <n v="0"/>
    <n v="1"/>
    <n v="0"/>
    <n v="1"/>
  </r>
  <r>
    <x v="0"/>
    <x v="0"/>
    <x v="3"/>
    <x v="88"/>
    <n v="191"/>
    <x v="1"/>
    <x v="0"/>
    <n v="7"/>
    <x v="2"/>
    <s v="Win"/>
    <n v="1"/>
    <n v="0"/>
    <n v="0"/>
    <n v="1"/>
  </r>
  <r>
    <x v="0"/>
    <x v="1"/>
    <x v="3"/>
    <x v="89"/>
    <n v="192"/>
    <x v="0"/>
    <x v="0"/>
    <n v="8"/>
    <x v="0"/>
    <s v="Loss"/>
    <n v="0"/>
    <n v="1"/>
    <n v="0"/>
    <n v="1"/>
  </r>
  <r>
    <x v="0"/>
    <x v="1"/>
    <x v="3"/>
    <x v="89"/>
    <n v="192"/>
    <x v="1"/>
    <x v="1"/>
    <n v="9"/>
    <x v="2"/>
    <s v="Win"/>
    <n v="1"/>
    <n v="0"/>
    <n v="0"/>
    <n v="1"/>
  </r>
  <r>
    <x v="0"/>
    <x v="0"/>
    <x v="3"/>
    <x v="89"/>
    <n v="193"/>
    <x v="1"/>
    <x v="1"/>
    <n v="10"/>
    <x v="2"/>
    <s v="Win"/>
    <n v="1"/>
    <n v="0"/>
    <n v="0"/>
    <n v="1"/>
  </r>
  <r>
    <x v="0"/>
    <x v="0"/>
    <x v="3"/>
    <x v="89"/>
    <n v="193"/>
    <x v="0"/>
    <x v="0"/>
    <n v="8"/>
    <x v="0"/>
    <s v="Loss"/>
    <n v="0"/>
    <n v="1"/>
    <n v="0"/>
    <n v="1"/>
  </r>
  <r>
    <x v="0"/>
    <x v="0"/>
    <x v="3"/>
    <x v="89"/>
    <n v="194"/>
    <x v="0"/>
    <x v="1"/>
    <n v="9"/>
    <x v="0"/>
    <s v="Win"/>
    <n v="1"/>
    <n v="0"/>
    <n v="0"/>
    <n v="1"/>
  </r>
  <r>
    <x v="0"/>
    <x v="0"/>
    <x v="3"/>
    <x v="89"/>
    <n v="194"/>
    <x v="1"/>
    <x v="0"/>
    <n v="7"/>
    <x v="2"/>
    <s v="Loss"/>
    <n v="0"/>
    <n v="1"/>
    <n v="0"/>
    <n v="1"/>
  </r>
  <r>
    <x v="0"/>
    <x v="0"/>
    <x v="3"/>
    <x v="90"/>
    <n v="195"/>
    <x v="0"/>
    <x v="1"/>
    <n v="6"/>
    <x v="0"/>
    <s v="Win"/>
    <n v="1"/>
    <n v="0"/>
    <n v="0"/>
    <n v="1"/>
  </r>
  <r>
    <x v="0"/>
    <x v="0"/>
    <x v="3"/>
    <x v="90"/>
    <n v="195"/>
    <x v="1"/>
    <x v="0"/>
    <n v="5"/>
    <x v="2"/>
    <s v="Loss"/>
    <n v="0"/>
    <n v="1"/>
    <n v="0"/>
    <n v="1"/>
  </r>
  <r>
    <x v="0"/>
    <x v="0"/>
    <x v="3"/>
    <x v="90"/>
    <n v="196"/>
    <x v="0"/>
    <x v="0"/>
    <n v="13"/>
    <x v="0"/>
    <s v="Win"/>
    <n v="1"/>
    <n v="0"/>
    <n v="0"/>
    <n v="1"/>
  </r>
  <r>
    <x v="0"/>
    <x v="0"/>
    <x v="3"/>
    <x v="90"/>
    <n v="196"/>
    <x v="1"/>
    <x v="1"/>
    <n v="3"/>
    <x v="2"/>
    <s v="Loss"/>
    <n v="0"/>
    <n v="1"/>
    <n v="0"/>
    <n v="1"/>
  </r>
  <r>
    <x v="0"/>
    <x v="0"/>
    <x v="3"/>
    <x v="91"/>
    <n v="197"/>
    <x v="0"/>
    <x v="0"/>
    <n v="18"/>
    <x v="0"/>
    <s v="Win"/>
    <n v="1"/>
    <n v="0"/>
    <n v="0"/>
    <n v="1"/>
  </r>
  <r>
    <x v="0"/>
    <x v="0"/>
    <x v="3"/>
    <x v="91"/>
    <n v="197"/>
    <x v="1"/>
    <x v="1"/>
    <n v="11"/>
    <x v="2"/>
    <s v="Loss"/>
    <n v="0"/>
    <n v="1"/>
    <n v="0"/>
    <n v="1"/>
  </r>
  <r>
    <x v="0"/>
    <x v="0"/>
    <x v="3"/>
    <x v="91"/>
    <n v="198"/>
    <x v="0"/>
    <x v="1"/>
    <n v="9"/>
    <x v="0"/>
    <s v="Loss"/>
    <n v="0"/>
    <n v="1"/>
    <n v="0"/>
    <n v="1"/>
  </r>
  <r>
    <x v="0"/>
    <x v="0"/>
    <x v="3"/>
    <x v="91"/>
    <n v="198"/>
    <x v="1"/>
    <x v="0"/>
    <n v="16"/>
    <x v="2"/>
    <s v="Win"/>
    <n v="1"/>
    <n v="0"/>
    <n v="0"/>
    <n v="1"/>
  </r>
  <r>
    <x v="0"/>
    <x v="0"/>
    <x v="3"/>
    <x v="91"/>
    <n v="199"/>
    <x v="0"/>
    <x v="0"/>
    <n v="9"/>
    <x v="0"/>
    <s v="Win"/>
    <n v="1"/>
    <n v="0"/>
    <n v="0"/>
    <n v="1"/>
  </r>
  <r>
    <x v="0"/>
    <x v="0"/>
    <x v="3"/>
    <x v="91"/>
    <n v="199"/>
    <x v="1"/>
    <x v="1"/>
    <n v="7"/>
    <x v="2"/>
    <s v="Loss"/>
    <n v="0"/>
    <n v="1"/>
    <n v="0"/>
    <n v="1"/>
  </r>
  <r>
    <x v="0"/>
    <x v="0"/>
    <x v="3"/>
    <x v="92"/>
    <n v="200"/>
    <x v="1"/>
    <x v="0"/>
    <n v="7"/>
    <x v="2"/>
    <s v="Loss"/>
    <n v="0"/>
    <n v="1"/>
    <n v="0"/>
    <n v="1"/>
  </r>
  <r>
    <x v="0"/>
    <x v="0"/>
    <x v="3"/>
    <x v="92"/>
    <n v="200"/>
    <x v="0"/>
    <x v="1"/>
    <n v="14"/>
    <x v="0"/>
    <s v="Win"/>
    <n v="1"/>
    <n v="0"/>
    <n v="0"/>
    <n v="1"/>
  </r>
  <r>
    <x v="0"/>
    <x v="3"/>
    <x v="3"/>
    <x v="93"/>
    <n v="201"/>
    <x v="0"/>
    <x v="1"/>
    <n v="9"/>
    <x v="0"/>
    <s v="Win"/>
    <n v="1"/>
    <n v="0"/>
    <n v="0"/>
    <n v="1"/>
  </r>
  <r>
    <x v="0"/>
    <x v="3"/>
    <x v="3"/>
    <x v="93"/>
    <n v="201"/>
    <x v="1"/>
    <x v="0"/>
    <n v="6"/>
    <x v="2"/>
    <s v="Loss"/>
    <n v="0"/>
    <n v="1"/>
    <n v="0"/>
    <n v="1"/>
  </r>
  <r>
    <x v="0"/>
    <x v="3"/>
    <x v="3"/>
    <x v="94"/>
    <n v="202"/>
    <x v="1"/>
    <x v="1"/>
    <n v="12"/>
    <x v="2"/>
    <s v="Loss"/>
    <n v="0"/>
    <n v="1"/>
    <n v="0"/>
    <n v="1"/>
  </r>
  <r>
    <x v="0"/>
    <x v="3"/>
    <x v="3"/>
    <x v="94"/>
    <n v="202"/>
    <x v="3"/>
    <x v="1"/>
    <n v="4"/>
    <x v="0"/>
    <s v="Loss"/>
    <n v="0"/>
    <n v="1"/>
    <n v="0"/>
    <n v="1"/>
  </r>
  <r>
    <x v="0"/>
    <x v="3"/>
    <x v="3"/>
    <x v="94"/>
    <n v="202"/>
    <x v="1"/>
    <x v="0"/>
    <n v="12"/>
    <x v="3"/>
    <s v="Win"/>
    <n v="1"/>
    <n v="0"/>
    <n v="0"/>
    <n v="1"/>
  </r>
  <r>
    <x v="0"/>
    <x v="3"/>
    <x v="3"/>
    <x v="94"/>
    <n v="202"/>
    <x v="0"/>
    <x v="0"/>
    <n v="19"/>
    <x v="3"/>
    <s v="Win"/>
    <n v="1"/>
    <n v="0"/>
    <n v="0"/>
    <n v="1"/>
  </r>
  <r>
    <x v="0"/>
    <x v="3"/>
    <x v="3"/>
    <x v="94"/>
    <n v="202"/>
    <x v="0"/>
    <x v="0"/>
    <n v="19"/>
    <x v="0"/>
    <s v="Win"/>
    <n v="1"/>
    <n v="0"/>
    <n v="0"/>
    <n v="1"/>
  </r>
  <r>
    <x v="0"/>
    <x v="3"/>
    <x v="3"/>
    <x v="94"/>
    <n v="202"/>
    <x v="3"/>
    <x v="1"/>
    <n v="4"/>
    <x v="2"/>
    <s v="Loss"/>
    <n v="0"/>
    <n v="1"/>
    <n v="0"/>
    <n v="1"/>
  </r>
  <r>
    <x v="0"/>
    <x v="3"/>
    <x v="3"/>
    <x v="94"/>
    <n v="203"/>
    <x v="0"/>
    <x v="1"/>
    <n v="18"/>
    <x v="0"/>
    <s v="Win"/>
    <n v="1"/>
    <n v="0"/>
    <n v="0"/>
    <n v="1"/>
  </r>
  <r>
    <x v="0"/>
    <x v="3"/>
    <x v="3"/>
    <x v="94"/>
    <n v="203"/>
    <x v="0"/>
    <x v="0"/>
    <n v="18"/>
    <x v="4"/>
    <s v="Win"/>
    <n v="1"/>
    <n v="0"/>
    <n v="0"/>
    <n v="1"/>
  </r>
  <r>
    <x v="0"/>
    <x v="3"/>
    <x v="3"/>
    <x v="94"/>
    <n v="203"/>
    <x v="1"/>
    <x v="0"/>
    <n v="13"/>
    <x v="2"/>
    <s v="Loss"/>
    <n v="0"/>
    <n v="1"/>
    <n v="0"/>
    <n v="1"/>
  </r>
  <r>
    <x v="0"/>
    <x v="3"/>
    <x v="3"/>
    <x v="94"/>
    <n v="203"/>
    <x v="1"/>
    <x v="0"/>
    <n v="13"/>
    <x v="4"/>
    <s v="Win"/>
    <n v="1"/>
    <n v="0"/>
    <n v="0"/>
    <n v="1"/>
  </r>
  <r>
    <x v="0"/>
    <x v="3"/>
    <x v="3"/>
    <x v="94"/>
    <n v="203"/>
    <x v="4"/>
    <x v="1"/>
    <n v="1"/>
    <x v="2"/>
    <s v="Loss"/>
    <n v="0"/>
    <n v="1"/>
    <n v="0"/>
    <n v="1"/>
  </r>
  <r>
    <x v="0"/>
    <x v="3"/>
    <x v="3"/>
    <x v="94"/>
    <n v="203"/>
    <x v="4"/>
    <x v="1"/>
    <n v="1"/>
    <x v="0"/>
    <s v="Loss"/>
    <n v="0"/>
    <n v="1"/>
    <n v="0"/>
    <n v="1"/>
  </r>
  <r>
    <x v="0"/>
    <x v="3"/>
    <x v="3"/>
    <x v="95"/>
    <n v="204"/>
    <x v="1"/>
    <x v="1"/>
    <n v="14"/>
    <x v="2"/>
    <s v="Loss"/>
    <n v="0"/>
    <n v="1"/>
    <n v="0"/>
    <n v="1"/>
  </r>
  <r>
    <x v="0"/>
    <x v="3"/>
    <x v="3"/>
    <x v="95"/>
    <n v="204"/>
    <x v="0"/>
    <x v="0"/>
    <n v="18"/>
    <x v="0"/>
    <s v="Win"/>
    <n v="1"/>
    <n v="0"/>
    <n v="0"/>
    <n v="1"/>
  </r>
  <r>
    <x v="0"/>
    <x v="3"/>
    <x v="3"/>
    <x v="96"/>
    <n v="205"/>
    <x v="0"/>
    <x v="0"/>
    <n v="8"/>
    <x v="0"/>
    <s v="Loss"/>
    <n v="0"/>
    <n v="1"/>
    <n v="0"/>
    <n v="1"/>
  </r>
  <r>
    <x v="0"/>
    <x v="3"/>
    <x v="3"/>
    <x v="96"/>
    <n v="205"/>
    <x v="1"/>
    <x v="1"/>
    <n v="9"/>
    <x v="2"/>
    <s v="Win"/>
    <n v="1"/>
    <n v="0"/>
    <n v="0"/>
    <n v="1"/>
  </r>
  <r>
    <x v="0"/>
    <x v="3"/>
    <x v="3"/>
    <x v="97"/>
    <n v="206"/>
    <x v="0"/>
    <x v="1"/>
    <n v="8"/>
    <x v="0"/>
    <s v="Win"/>
    <n v="1"/>
    <n v="0"/>
    <n v="0"/>
    <n v="1"/>
  </r>
  <r>
    <x v="0"/>
    <x v="3"/>
    <x v="3"/>
    <x v="97"/>
    <n v="206"/>
    <x v="1"/>
    <x v="0"/>
    <n v="3"/>
    <x v="2"/>
    <s v="Loss"/>
    <n v="0"/>
    <n v="1"/>
    <n v="0"/>
    <n v="1"/>
  </r>
  <r>
    <x v="0"/>
    <x v="3"/>
    <x v="3"/>
    <x v="98"/>
    <n v="207"/>
    <x v="0"/>
    <x v="0"/>
    <n v="12"/>
    <x v="0"/>
    <s v="Win"/>
    <n v="1"/>
    <n v="0"/>
    <n v="0"/>
    <n v="1"/>
  </r>
  <r>
    <x v="0"/>
    <x v="3"/>
    <x v="3"/>
    <x v="98"/>
    <n v="207"/>
    <x v="1"/>
    <x v="1"/>
    <n v="9"/>
    <x v="2"/>
    <s v="Loss"/>
    <n v="0"/>
    <n v="1"/>
    <n v="0"/>
    <n v="1"/>
  </r>
  <r>
    <x v="0"/>
    <x v="3"/>
    <x v="3"/>
    <x v="99"/>
    <n v="208"/>
    <x v="0"/>
    <x v="0"/>
    <n v="10"/>
    <x v="0"/>
    <s v="Loss"/>
    <n v="0"/>
    <n v="1"/>
    <n v="0"/>
    <n v="1"/>
  </r>
  <r>
    <x v="0"/>
    <x v="3"/>
    <x v="3"/>
    <x v="99"/>
    <n v="208"/>
    <x v="1"/>
    <x v="1"/>
    <n v="12"/>
    <x v="2"/>
    <s v="Win"/>
    <n v="1"/>
    <n v="0"/>
    <n v="0"/>
    <n v="1"/>
  </r>
  <r>
    <x v="0"/>
    <x v="3"/>
    <x v="3"/>
    <x v="100"/>
    <n v="209"/>
    <x v="0"/>
    <x v="0"/>
    <n v="10"/>
    <x v="0"/>
    <s v="Win"/>
    <n v="1"/>
    <n v="0"/>
    <n v="0"/>
    <n v="1"/>
  </r>
  <r>
    <x v="0"/>
    <x v="3"/>
    <x v="3"/>
    <x v="100"/>
    <n v="209"/>
    <x v="1"/>
    <x v="1"/>
    <n v="9"/>
    <x v="2"/>
    <s v="Loss"/>
    <n v="0"/>
    <n v="1"/>
    <n v="0"/>
    <n v="1"/>
  </r>
  <r>
    <x v="0"/>
    <x v="3"/>
    <x v="3"/>
    <x v="101"/>
    <n v="210"/>
    <x v="1"/>
    <x v="1"/>
    <n v="11"/>
    <x v="2"/>
    <s v="Loss"/>
    <n v="0"/>
    <n v="1"/>
    <n v="0"/>
    <n v="1"/>
  </r>
  <r>
    <x v="0"/>
    <x v="3"/>
    <x v="3"/>
    <x v="101"/>
    <n v="210"/>
    <x v="0"/>
    <x v="0"/>
    <n v="15"/>
    <x v="0"/>
    <s v="Win"/>
    <n v="1"/>
    <n v="0"/>
    <n v="0"/>
    <n v="1"/>
  </r>
  <r>
    <x v="0"/>
    <x v="3"/>
    <x v="3"/>
    <x v="102"/>
    <n v="211"/>
    <x v="0"/>
    <x v="0"/>
    <n v="17"/>
    <x v="0"/>
    <s v="Win"/>
    <n v="1"/>
    <n v="0"/>
    <n v="0"/>
    <n v="1"/>
  </r>
  <r>
    <x v="0"/>
    <x v="3"/>
    <x v="3"/>
    <x v="102"/>
    <n v="211"/>
    <x v="0"/>
    <x v="0"/>
    <n v="17"/>
    <x v="4"/>
    <s v="Win"/>
    <n v="1"/>
    <n v="0"/>
    <n v="0"/>
    <n v="1"/>
  </r>
  <r>
    <x v="0"/>
    <x v="3"/>
    <x v="3"/>
    <x v="102"/>
    <n v="211"/>
    <x v="1"/>
    <x v="1"/>
    <n v="11"/>
    <x v="2"/>
    <s v="Loss"/>
    <n v="0"/>
    <n v="1"/>
    <n v="0"/>
    <n v="1"/>
  </r>
  <r>
    <x v="0"/>
    <x v="3"/>
    <x v="3"/>
    <x v="102"/>
    <n v="211"/>
    <x v="1"/>
    <x v="0"/>
    <n v="11"/>
    <x v="4"/>
    <s v="Win"/>
    <n v="1"/>
    <n v="0"/>
    <n v="0"/>
    <n v="1"/>
  </r>
  <r>
    <x v="0"/>
    <x v="3"/>
    <x v="3"/>
    <x v="102"/>
    <n v="211"/>
    <x v="4"/>
    <x v="1"/>
    <n v="10"/>
    <x v="2"/>
    <s v="Loss"/>
    <n v="0"/>
    <n v="1"/>
    <n v="0"/>
    <n v="1"/>
  </r>
  <r>
    <x v="0"/>
    <x v="3"/>
    <x v="3"/>
    <x v="102"/>
    <n v="211"/>
    <x v="4"/>
    <x v="1"/>
    <n v="10"/>
    <x v="0"/>
    <s v="Loss"/>
    <n v="0"/>
    <n v="1"/>
    <n v="0"/>
    <n v="1"/>
  </r>
  <r>
    <x v="0"/>
    <x v="3"/>
    <x v="3"/>
    <x v="103"/>
    <n v="212"/>
    <x v="1"/>
    <x v="1"/>
    <n v="9"/>
    <x v="2"/>
    <s v="Loss"/>
    <n v="0"/>
    <n v="1"/>
    <n v="0"/>
    <n v="1"/>
  </r>
  <r>
    <x v="0"/>
    <x v="3"/>
    <x v="3"/>
    <x v="103"/>
    <n v="212"/>
    <x v="0"/>
    <x v="0"/>
    <n v="15"/>
    <x v="0"/>
    <s v="Win"/>
    <n v="1"/>
    <n v="0"/>
    <n v="0"/>
    <n v="1"/>
  </r>
  <r>
    <x v="0"/>
    <x v="3"/>
    <x v="3"/>
    <x v="104"/>
    <n v="213"/>
    <x v="0"/>
    <x v="0"/>
    <n v="14"/>
    <x v="1"/>
    <s v="Win"/>
    <n v="1"/>
    <n v="0"/>
    <n v="0"/>
    <n v="1"/>
  </r>
  <r>
    <x v="0"/>
    <x v="3"/>
    <x v="3"/>
    <x v="104"/>
    <n v="213"/>
    <x v="0"/>
    <x v="1"/>
    <n v="14"/>
    <x v="0"/>
    <s v="Win"/>
    <n v="1"/>
    <n v="0"/>
    <n v="0"/>
    <n v="1"/>
  </r>
  <r>
    <x v="0"/>
    <x v="3"/>
    <x v="3"/>
    <x v="104"/>
    <n v="213"/>
    <x v="2"/>
    <x v="1"/>
    <n v="8"/>
    <x v="2"/>
    <s v="Loss"/>
    <n v="0"/>
    <n v="1"/>
    <n v="0"/>
    <n v="1"/>
  </r>
  <r>
    <x v="0"/>
    <x v="3"/>
    <x v="3"/>
    <x v="104"/>
    <n v="213"/>
    <x v="1"/>
    <x v="0"/>
    <n v="9"/>
    <x v="1"/>
    <s v="Win"/>
    <n v="1"/>
    <n v="0"/>
    <n v="0"/>
    <n v="1"/>
  </r>
  <r>
    <x v="0"/>
    <x v="3"/>
    <x v="3"/>
    <x v="104"/>
    <n v="213"/>
    <x v="1"/>
    <x v="0"/>
    <n v="9"/>
    <x v="2"/>
    <s v="Loss"/>
    <n v="0"/>
    <n v="1"/>
    <n v="0"/>
    <n v="1"/>
  </r>
  <r>
    <x v="0"/>
    <x v="3"/>
    <x v="3"/>
    <x v="104"/>
    <n v="213"/>
    <x v="2"/>
    <x v="1"/>
    <n v="8"/>
    <x v="0"/>
    <s v="Loss"/>
    <n v="0"/>
    <n v="1"/>
    <n v="0"/>
    <n v="1"/>
  </r>
  <r>
    <x v="0"/>
    <x v="3"/>
    <x v="3"/>
    <x v="105"/>
    <n v="214"/>
    <x v="0"/>
    <x v="0"/>
    <n v="8"/>
    <x v="0"/>
    <s v="Loss"/>
    <n v="0"/>
    <n v="1"/>
    <n v="0"/>
    <n v="1"/>
  </r>
  <r>
    <x v="0"/>
    <x v="3"/>
    <x v="3"/>
    <x v="105"/>
    <n v="214"/>
    <x v="1"/>
    <x v="1"/>
    <n v="9"/>
    <x v="2"/>
    <s v="Win"/>
    <n v="1"/>
    <n v="0"/>
    <n v="0"/>
    <n v="1"/>
  </r>
  <r>
    <x v="0"/>
    <x v="3"/>
    <x v="3"/>
    <x v="106"/>
    <n v="215"/>
    <x v="0"/>
    <x v="0"/>
    <n v="14"/>
    <x v="0"/>
    <s v="Win"/>
    <n v="1"/>
    <n v="0"/>
    <n v="0"/>
    <n v="1"/>
  </r>
  <r>
    <x v="0"/>
    <x v="3"/>
    <x v="3"/>
    <x v="106"/>
    <n v="215"/>
    <x v="1"/>
    <x v="1"/>
    <n v="8"/>
    <x v="2"/>
    <s v="Loss"/>
    <n v="0"/>
    <n v="1"/>
    <n v="0"/>
    <n v="1"/>
  </r>
  <r>
    <x v="0"/>
    <x v="3"/>
    <x v="3"/>
    <x v="107"/>
    <n v="216"/>
    <x v="0"/>
    <x v="0"/>
    <n v="17"/>
    <x v="0"/>
    <s v="Win"/>
    <n v="1"/>
    <n v="0"/>
    <n v="0"/>
    <n v="1"/>
  </r>
  <r>
    <x v="0"/>
    <x v="3"/>
    <x v="3"/>
    <x v="107"/>
    <n v="216"/>
    <x v="1"/>
    <x v="1"/>
    <n v="10"/>
    <x v="2"/>
    <s v="Loss"/>
    <n v="0"/>
    <n v="1"/>
    <n v="0"/>
    <n v="1"/>
  </r>
  <r>
    <x v="0"/>
    <x v="3"/>
    <x v="3"/>
    <x v="108"/>
    <n v="217"/>
    <x v="0"/>
    <x v="1"/>
    <n v="12"/>
    <x v="0"/>
    <s v="Win"/>
    <n v="1"/>
    <n v="0"/>
    <n v="0"/>
    <n v="1"/>
  </r>
  <r>
    <x v="0"/>
    <x v="3"/>
    <x v="3"/>
    <x v="108"/>
    <n v="217"/>
    <x v="1"/>
    <x v="0"/>
    <n v="6"/>
    <x v="2"/>
    <s v="Loss"/>
    <n v="0"/>
    <n v="1"/>
    <n v="0"/>
    <n v="1"/>
  </r>
  <r>
    <x v="0"/>
    <x v="3"/>
    <x v="3"/>
    <x v="109"/>
    <n v="218"/>
    <x v="0"/>
    <x v="0"/>
    <n v="8"/>
    <x v="0"/>
    <s v="Loss"/>
    <n v="0"/>
    <n v="1"/>
    <n v="0"/>
    <n v="1"/>
  </r>
  <r>
    <x v="0"/>
    <x v="3"/>
    <x v="3"/>
    <x v="109"/>
    <n v="218"/>
    <x v="1"/>
    <x v="1"/>
    <n v="10"/>
    <x v="2"/>
    <s v="Win"/>
    <n v="1"/>
    <n v="0"/>
    <n v="0"/>
    <n v="1"/>
  </r>
  <r>
    <x v="0"/>
    <x v="3"/>
    <x v="3"/>
    <x v="110"/>
    <n v="219"/>
    <x v="0"/>
    <x v="1"/>
    <n v="16"/>
    <x v="0"/>
    <s v="Win"/>
    <n v="1"/>
    <n v="0"/>
    <n v="0"/>
    <n v="1"/>
  </r>
  <r>
    <x v="0"/>
    <x v="3"/>
    <x v="3"/>
    <x v="110"/>
    <n v="219"/>
    <x v="1"/>
    <x v="0"/>
    <n v="10"/>
    <x v="2"/>
    <s v="Loss"/>
    <n v="0"/>
    <n v="1"/>
    <n v="0"/>
    <n v="1"/>
  </r>
  <r>
    <x v="0"/>
    <x v="3"/>
    <x v="3"/>
    <x v="111"/>
    <n v="220"/>
    <x v="0"/>
    <x v="1"/>
    <n v="8"/>
    <x v="0"/>
    <s v="Loss"/>
    <n v="0"/>
    <n v="1"/>
    <n v="0"/>
    <n v="1"/>
  </r>
  <r>
    <x v="0"/>
    <x v="3"/>
    <x v="3"/>
    <x v="111"/>
    <n v="220"/>
    <x v="1"/>
    <x v="0"/>
    <n v="10"/>
    <x v="2"/>
    <s v="Win"/>
    <n v="1"/>
    <n v="0"/>
    <n v="0"/>
    <n v="1"/>
  </r>
  <r>
    <x v="0"/>
    <x v="3"/>
    <x v="3"/>
    <x v="112"/>
    <n v="221"/>
    <x v="0"/>
    <x v="0"/>
    <n v="8"/>
    <x v="0"/>
    <s v="Win"/>
    <n v="1"/>
    <n v="0"/>
    <n v="0"/>
    <n v="1"/>
  </r>
  <r>
    <x v="0"/>
    <x v="3"/>
    <x v="3"/>
    <x v="112"/>
    <n v="221"/>
    <x v="1"/>
    <x v="1"/>
    <n v="6"/>
    <x v="2"/>
    <s v="Loss"/>
    <n v="0"/>
    <n v="1"/>
    <n v="0"/>
    <n v="1"/>
  </r>
  <r>
    <x v="0"/>
    <x v="3"/>
    <x v="3"/>
    <x v="113"/>
    <n v="222"/>
    <x v="0"/>
    <x v="1"/>
    <n v="14"/>
    <x v="0"/>
    <s v="Win"/>
    <n v="1"/>
    <n v="0"/>
    <n v="0"/>
    <n v="1"/>
  </r>
  <r>
    <x v="0"/>
    <x v="3"/>
    <x v="3"/>
    <x v="113"/>
    <n v="222"/>
    <x v="1"/>
    <x v="0"/>
    <n v="12"/>
    <x v="2"/>
    <s v="Loss"/>
    <n v="0"/>
    <n v="1"/>
    <n v="0"/>
    <n v="1"/>
  </r>
  <r>
    <x v="0"/>
    <x v="3"/>
    <x v="3"/>
    <x v="114"/>
    <n v="223"/>
    <x v="0"/>
    <x v="1"/>
    <n v="12"/>
    <x v="0"/>
    <s v="Win"/>
    <n v="1"/>
    <n v="0"/>
    <n v="0"/>
    <n v="1"/>
  </r>
  <r>
    <x v="0"/>
    <x v="3"/>
    <x v="3"/>
    <x v="114"/>
    <n v="223"/>
    <x v="1"/>
    <x v="0"/>
    <n v="11"/>
    <x v="2"/>
    <s v="Loss"/>
    <n v="0"/>
    <n v="1"/>
    <n v="0"/>
    <n v="1"/>
  </r>
  <r>
    <x v="0"/>
    <x v="3"/>
    <x v="3"/>
    <x v="115"/>
    <n v="224"/>
    <x v="0"/>
    <x v="1"/>
    <n v="14"/>
    <x v="0"/>
    <s v="Win"/>
    <n v="1"/>
    <n v="0"/>
    <n v="0"/>
    <n v="1"/>
  </r>
  <r>
    <x v="0"/>
    <x v="3"/>
    <x v="3"/>
    <x v="115"/>
    <n v="224"/>
    <x v="1"/>
    <x v="0"/>
    <n v="8"/>
    <x v="2"/>
    <s v="Loss"/>
    <n v="0"/>
    <n v="1"/>
    <n v="0"/>
    <n v="1"/>
  </r>
  <r>
    <x v="0"/>
    <x v="3"/>
    <x v="3"/>
    <x v="116"/>
    <n v="225"/>
    <x v="0"/>
    <x v="1"/>
    <n v="7"/>
    <x v="0"/>
    <s v="Loss"/>
    <n v="0"/>
    <n v="1"/>
    <n v="0"/>
    <n v="1"/>
  </r>
  <r>
    <x v="0"/>
    <x v="3"/>
    <x v="3"/>
    <x v="116"/>
    <n v="225"/>
    <x v="1"/>
    <x v="0"/>
    <n v="10"/>
    <x v="2"/>
    <s v="Win"/>
    <n v="1"/>
    <n v="0"/>
    <n v="0"/>
    <n v="1"/>
  </r>
  <r>
    <x v="0"/>
    <x v="3"/>
    <x v="3"/>
    <x v="117"/>
    <n v="226"/>
    <x v="0"/>
    <x v="1"/>
    <n v="5"/>
    <x v="0"/>
    <s v="Loss"/>
    <n v="0"/>
    <n v="1"/>
    <n v="0"/>
    <n v="1"/>
  </r>
  <r>
    <x v="0"/>
    <x v="3"/>
    <x v="3"/>
    <x v="117"/>
    <n v="226"/>
    <x v="0"/>
    <x v="1"/>
    <n v="5"/>
    <x v="7"/>
    <s v="Win"/>
    <n v="1"/>
    <n v="0"/>
    <n v="0"/>
    <n v="1"/>
  </r>
  <r>
    <x v="0"/>
    <x v="3"/>
    <x v="3"/>
    <x v="117"/>
    <n v="226"/>
    <x v="7"/>
    <x v="0"/>
    <n v="3"/>
    <x v="2"/>
    <s v="Loss"/>
    <n v="0"/>
    <n v="1"/>
    <n v="0"/>
    <n v="1"/>
  </r>
  <r>
    <x v="0"/>
    <x v="3"/>
    <x v="3"/>
    <x v="117"/>
    <n v="226"/>
    <x v="7"/>
    <x v="0"/>
    <n v="3"/>
    <x v="0"/>
    <s v="Loss"/>
    <n v="0"/>
    <n v="1"/>
    <n v="0"/>
    <n v="1"/>
  </r>
  <r>
    <x v="0"/>
    <x v="3"/>
    <x v="3"/>
    <x v="117"/>
    <n v="226"/>
    <x v="1"/>
    <x v="0"/>
    <n v="12"/>
    <x v="2"/>
    <s v="Win"/>
    <n v="1"/>
    <n v="0"/>
    <n v="0"/>
    <n v="1"/>
  </r>
  <r>
    <x v="0"/>
    <x v="3"/>
    <x v="3"/>
    <x v="117"/>
    <n v="226"/>
    <x v="1"/>
    <x v="1"/>
    <n v="12"/>
    <x v="7"/>
    <s v="Win"/>
    <n v="1"/>
    <n v="0"/>
    <n v="0"/>
    <n v="1"/>
  </r>
  <r>
    <x v="0"/>
    <x v="3"/>
    <x v="3"/>
    <x v="118"/>
    <n v="227"/>
    <x v="1"/>
    <x v="1"/>
    <n v="12"/>
    <x v="2"/>
    <s v="Win"/>
    <n v="1"/>
    <n v="0"/>
    <n v="0"/>
    <n v="1"/>
  </r>
  <r>
    <x v="0"/>
    <x v="3"/>
    <x v="3"/>
    <x v="118"/>
    <n v="227"/>
    <x v="0"/>
    <x v="0"/>
    <n v="11"/>
    <x v="0"/>
    <s v="Loss"/>
    <n v="0"/>
    <n v="1"/>
    <n v="0"/>
    <n v="1"/>
  </r>
  <r>
    <x v="0"/>
    <x v="3"/>
    <x v="3"/>
    <x v="119"/>
    <n v="228"/>
    <x v="0"/>
    <x v="0"/>
    <n v="15"/>
    <x v="0"/>
    <s v="Win"/>
    <n v="1"/>
    <n v="0"/>
    <n v="0"/>
    <n v="1"/>
  </r>
  <r>
    <x v="0"/>
    <x v="3"/>
    <x v="3"/>
    <x v="119"/>
    <n v="228"/>
    <x v="1"/>
    <x v="1"/>
    <n v="11"/>
    <x v="2"/>
    <s v="Loss"/>
    <n v="0"/>
    <n v="1"/>
    <n v="0"/>
    <n v="1"/>
  </r>
  <r>
    <x v="0"/>
    <x v="3"/>
    <x v="3"/>
    <x v="120"/>
    <n v="229"/>
    <x v="0"/>
    <x v="0"/>
    <n v="15"/>
    <x v="0"/>
    <s v="Win"/>
    <n v="1"/>
    <n v="0"/>
    <n v="0"/>
    <n v="1"/>
  </r>
  <r>
    <x v="0"/>
    <x v="3"/>
    <x v="3"/>
    <x v="120"/>
    <n v="229"/>
    <x v="1"/>
    <x v="1"/>
    <n v="10"/>
    <x v="2"/>
    <s v="Loss"/>
    <n v="0"/>
    <n v="1"/>
    <n v="0"/>
    <n v="1"/>
  </r>
  <r>
    <x v="0"/>
    <x v="3"/>
    <x v="3"/>
    <x v="121"/>
    <n v="230"/>
    <x v="0"/>
    <x v="0"/>
    <n v="9"/>
    <x v="0"/>
    <s v="Loss"/>
    <n v="0"/>
    <n v="1"/>
    <n v="0"/>
    <n v="1"/>
  </r>
  <r>
    <x v="0"/>
    <x v="3"/>
    <x v="3"/>
    <x v="121"/>
    <n v="230"/>
    <x v="1"/>
    <x v="1"/>
    <n v="10"/>
    <x v="2"/>
    <s v="Win"/>
    <n v="1"/>
    <n v="0"/>
    <n v="0"/>
    <n v="1"/>
  </r>
  <r>
    <x v="0"/>
    <x v="3"/>
    <x v="3"/>
    <x v="122"/>
    <n v="231"/>
    <x v="0"/>
    <x v="0"/>
    <n v="16"/>
    <x v="0"/>
    <s v="Win"/>
    <n v="1"/>
    <n v="0"/>
    <n v="0"/>
    <n v="1"/>
  </r>
  <r>
    <x v="0"/>
    <x v="3"/>
    <x v="3"/>
    <x v="122"/>
    <n v="231"/>
    <x v="1"/>
    <x v="1"/>
    <n v="7"/>
    <x v="2"/>
    <s v="Loss"/>
    <n v="0"/>
    <n v="1"/>
    <n v="0"/>
    <n v="1"/>
  </r>
  <r>
    <x v="0"/>
    <x v="3"/>
    <x v="3"/>
    <x v="123"/>
    <n v="232"/>
    <x v="0"/>
    <x v="1"/>
    <n v="11"/>
    <x v="0"/>
    <s v="Win"/>
    <n v="1"/>
    <n v="0"/>
    <n v="0"/>
    <n v="1"/>
  </r>
  <r>
    <x v="0"/>
    <x v="3"/>
    <x v="3"/>
    <x v="123"/>
    <n v="232"/>
    <x v="1"/>
    <x v="0"/>
    <n v="6"/>
    <x v="2"/>
    <s v="Loss"/>
    <n v="0"/>
    <n v="1"/>
    <n v="0"/>
    <n v="1"/>
  </r>
  <r>
    <x v="0"/>
    <x v="3"/>
    <x v="3"/>
    <x v="124"/>
    <n v="233"/>
    <x v="0"/>
    <x v="1"/>
    <n v="7"/>
    <x v="0"/>
    <s v="Loss"/>
    <n v="0"/>
    <n v="1"/>
    <n v="0"/>
    <n v="1"/>
  </r>
  <r>
    <x v="0"/>
    <x v="3"/>
    <x v="3"/>
    <x v="124"/>
    <n v="233"/>
    <x v="0"/>
    <x v="0"/>
    <n v="7"/>
    <x v="1"/>
    <s v="Loss"/>
    <n v="0"/>
    <n v="1"/>
    <n v="0"/>
    <n v="1"/>
  </r>
  <r>
    <x v="0"/>
    <x v="3"/>
    <x v="3"/>
    <x v="124"/>
    <n v="233"/>
    <x v="1"/>
    <x v="0"/>
    <n v="9"/>
    <x v="2"/>
    <s v="Win"/>
    <n v="1"/>
    <n v="0"/>
    <n v="0"/>
    <n v="1"/>
  </r>
  <r>
    <x v="0"/>
    <x v="3"/>
    <x v="3"/>
    <x v="124"/>
    <n v="233"/>
    <x v="1"/>
    <x v="0"/>
    <n v="9"/>
    <x v="1"/>
    <s v="Win"/>
    <n v="1"/>
    <n v="0"/>
    <n v="0"/>
    <n v="1"/>
  </r>
  <r>
    <x v="0"/>
    <x v="3"/>
    <x v="3"/>
    <x v="124"/>
    <n v="233"/>
    <x v="2"/>
    <x v="1"/>
    <n v="8"/>
    <x v="2"/>
    <s v="Win"/>
    <n v="1"/>
    <n v="0"/>
    <n v="0"/>
    <n v="1"/>
  </r>
  <r>
    <x v="0"/>
    <x v="3"/>
    <x v="3"/>
    <x v="124"/>
    <n v="233"/>
    <x v="2"/>
    <x v="1"/>
    <n v="8"/>
    <x v="0"/>
    <s v="Loss"/>
    <n v="0"/>
    <n v="1"/>
    <n v="0"/>
    <n v="1"/>
  </r>
  <r>
    <x v="0"/>
    <x v="3"/>
    <x v="3"/>
    <x v="125"/>
    <n v="234"/>
    <x v="0"/>
    <x v="1"/>
    <n v="10"/>
    <x v="0"/>
    <s v="Loss"/>
    <n v="0"/>
    <n v="1"/>
    <n v="0"/>
    <n v="1"/>
  </r>
  <r>
    <x v="0"/>
    <x v="3"/>
    <x v="3"/>
    <x v="125"/>
    <n v="234"/>
    <x v="1"/>
    <x v="0"/>
    <n v="13"/>
    <x v="2"/>
    <s v="Win"/>
    <n v="1"/>
    <n v="0"/>
    <n v="0"/>
    <n v="1"/>
  </r>
  <r>
    <x v="0"/>
    <x v="3"/>
    <x v="3"/>
    <x v="126"/>
    <n v="235"/>
    <x v="0"/>
    <x v="0"/>
    <n v="11"/>
    <x v="0"/>
    <s v="Win"/>
    <n v="1"/>
    <n v="0"/>
    <n v="0"/>
    <n v="1"/>
  </r>
  <r>
    <x v="0"/>
    <x v="3"/>
    <x v="3"/>
    <x v="126"/>
    <n v="235"/>
    <x v="0"/>
    <x v="0"/>
    <n v="11"/>
    <x v="1"/>
    <s v="Win"/>
    <n v="1"/>
    <n v="0"/>
    <n v="0"/>
    <n v="1"/>
  </r>
  <r>
    <x v="0"/>
    <x v="3"/>
    <x v="3"/>
    <x v="126"/>
    <n v="235"/>
    <x v="1"/>
    <x v="1"/>
    <n v="9"/>
    <x v="2"/>
    <s v="Loss"/>
    <n v="0"/>
    <n v="1"/>
    <n v="0"/>
    <n v="1"/>
  </r>
  <r>
    <x v="0"/>
    <x v="3"/>
    <x v="3"/>
    <x v="126"/>
    <n v="235"/>
    <x v="1"/>
    <x v="0"/>
    <n v="9"/>
    <x v="1"/>
    <s v="Win"/>
    <n v="1"/>
    <n v="0"/>
    <n v="0"/>
    <n v="1"/>
  </r>
  <r>
    <x v="0"/>
    <x v="3"/>
    <x v="3"/>
    <x v="126"/>
    <n v="235"/>
    <x v="2"/>
    <x v="1"/>
    <n v="5"/>
    <x v="2"/>
    <s v="Loss"/>
    <n v="0"/>
    <n v="1"/>
    <n v="0"/>
    <n v="1"/>
  </r>
  <r>
    <x v="0"/>
    <x v="3"/>
    <x v="3"/>
    <x v="126"/>
    <n v="235"/>
    <x v="2"/>
    <x v="1"/>
    <n v="5"/>
    <x v="0"/>
    <s v="Loss"/>
    <n v="0"/>
    <n v="1"/>
    <n v="0"/>
    <n v="1"/>
  </r>
  <r>
    <x v="0"/>
    <x v="3"/>
    <x v="3"/>
    <x v="127"/>
    <n v="236"/>
    <x v="0"/>
    <x v="1"/>
    <n v="15"/>
    <x v="0"/>
    <s v="Win"/>
    <n v="1"/>
    <n v="0"/>
    <n v="0"/>
    <n v="1"/>
  </r>
  <r>
    <x v="0"/>
    <x v="3"/>
    <x v="3"/>
    <x v="127"/>
    <n v="236"/>
    <x v="1"/>
    <x v="0"/>
    <n v="14"/>
    <x v="2"/>
    <s v="Loss"/>
    <n v="0"/>
    <n v="1"/>
    <n v="0"/>
    <n v="1"/>
  </r>
  <r>
    <x v="0"/>
    <x v="3"/>
    <x v="3"/>
    <x v="128"/>
    <n v="237"/>
    <x v="0"/>
    <x v="0"/>
    <n v="10"/>
    <x v="0"/>
    <s v="Loss"/>
    <n v="0"/>
    <n v="1"/>
    <n v="0"/>
    <n v="1"/>
  </r>
  <r>
    <x v="0"/>
    <x v="3"/>
    <x v="3"/>
    <x v="128"/>
    <n v="237"/>
    <x v="1"/>
    <x v="1"/>
    <n v="18"/>
    <x v="2"/>
    <s v="Win"/>
    <n v="1"/>
    <n v="0"/>
    <n v="0"/>
    <n v="1"/>
  </r>
  <r>
    <x v="0"/>
    <x v="3"/>
    <x v="3"/>
    <x v="129"/>
    <n v="238"/>
    <x v="1"/>
    <x v="0"/>
    <n v="12"/>
    <x v="2"/>
    <s v="Loss"/>
    <n v="0"/>
    <n v="1"/>
    <n v="0"/>
    <n v="1"/>
  </r>
  <r>
    <x v="0"/>
    <x v="3"/>
    <x v="3"/>
    <x v="129"/>
    <n v="238"/>
    <x v="0"/>
    <x v="1"/>
    <n v="19"/>
    <x v="0"/>
    <s v="Win"/>
    <n v="1"/>
    <n v="0"/>
    <n v="0"/>
    <n v="1"/>
  </r>
  <r>
    <x v="0"/>
    <x v="3"/>
    <x v="3"/>
    <x v="130"/>
    <n v="239"/>
    <x v="1"/>
    <x v="0"/>
    <n v="8"/>
    <x v="1"/>
    <s v="Loss"/>
    <n v="0"/>
    <n v="1"/>
    <n v="0"/>
    <n v="1"/>
  </r>
  <r>
    <x v="0"/>
    <x v="3"/>
    <x v="3"/>
    <x v="130"/>
    <n v="239"/>
    <x v="0"/>
    <x v="1"/>
    <n v="9"/>
    <x v="0"/>
    <s v="Win"/>
    <n v="1"/>
    <n v="0"/>
    <n v="0"/>
    <n v="1"/>
  </r>
  <r>
    <x v="0"/>
    <x v="3"/>
    <x v="3"/>
    <x v="130"/>
    <n v="239"/>
    <x v="0"/>
    <x v="0"/>
    <n v="9"/>
    <x v="1"/>
    <s v="Loss"/>
    <n v="0"/>
    <n v="1"/>
    <n v="0"/>
    <n v="1"/>
  </r>
  <r>
    <x v="0"/>
    <x v="3"/>
    <x v="3"/>
    <x v="130"/>
    <n v="239"/>
    <x v="1"/>
    <x v="0"/>
    <n v="8"/>
    <x v="2"/>
    <s v="Loss"/>
    <n v="0"/>
    <n v="1"/>
    <n v="0"/>
    <n v="1"/>
  </r>
  <r>
    <x v="0"/>
    <x v="3"/>
    <x v="3"/>
    <x v="130"/>
    <n v="239"/>
    <x v="2"/>
    <x v="1"/>
    <n v="13"/>
    <x v="2"/>
    <s v="Win"/>
    <n v="1"/>
    <n v="0"/>
    <n v="0"/>
    <n v="1"/>
  </r>
  <r>
    <x v="0"/>
    <x v="3"/>
    <x v="3"/>
    <x v="130"/>
    <n v="239"/>
    <x v="2"/>
    <x v="1"/>
    <n v="13"/>
    <x v="0"/>
    <s v="Win"/>
    <n v="1"/>
    <n v="0"/>
    <n v="0"/>
    <n v="1"/>
  </r>
  <r>
    <x v="0"/>
    <x v="3"/>
    <x v="3"/>
    <x v="131"/>
    <n v="240"/>
    <x v="2"/>
    <x v="0"/>
    <n v="6"/>
    <x v="2"/>
    <s v="Loss"/>
    <n v="0"/>
    <n v="1"/>
    <n v="0"/>
    <n v="1"/>
  </r>
  <r>
    <x v="0"/>
    <x v="3"/>
    <x v="3"/>
    <x v="131"/>
    <n v="240"/>
    <x v="0"/>
    <x v="0"/>
    <n v="14"/>
    <x v="0"/>
    <s v="Win"/>
    <n v="1"/>
    <n v="0"/>
    <n v="0"/>
    <n v="1"/>
  </r>
  <r>
    <x v="0"/>
    <x v="3"/>
    <x v="3"/>
    <x v="131"/>
    <n v="240"/>
    <x v="0"/>
    <x v="1"/>
    <n v="14"/>
    <x v="1"/>
    <s v="Win"/>
    <n v="1"/>
    <n v="0"/>
    <n v="0"/>
    <n v="1"/>
  </r>
  <r>
    <x v="0"/>
    <x v="3"/>
    <x v="3"/>
    <x v="131"/>
    <n v="240"/>
    <x v="1"/>
    <x v="1"/>
    <n v="7"/>
    <x v="2"/>
    <s v="Loss"/>
    <n v="0"/>
    <n v="1"/>
    <n v="0"/>
    <n v="1"/>
  </r>
  <r>
    <x v="0"/>
    <x v="3"/>
    <x v="3"/>
    <x v="131"/>
    <n v="240"/>
    <x v="1"/>
    <x v="1"/>
    <n v="7"/>
    <x v="1"/>
    <s v="Win"/>
    <n v="1"/>
    <n v="0"/>
    <n v="0"/>
    <n v="1"/>
  </r>
  <r>
    <x v="0"/>
    <x v="3"/>
    <x v="3"/>
    <x v="131"/>
    <n v="240"/>
    <x v="2"/>
    <x v="0"/>
    <n v="6"/>
    <x v="0"/>
    <s v="Loss"/>
    <n v="0"/>
    <n v="1"/>
    <n v="0"/>
    <n v="1"/>
  </r>
  <r>
    <x v="0"/>
    <x v="3"/>
    <x v="3"/>
    <x v="132"/>
    <n v="241"/>
    <x v="1"/>
    <x v="0"/>
    <n v="6"/>
    <x v="2"/>
    <s v="Loss"/>
    <n v="0"/>
    <n v="1"/>
    <n v="0"/>
    <n v="1"/>
  </r>
  <r>
    <x v="0"/>
    <x v="3"/>
    <x v="3"/>
    <x v="132"/>
    <n v="241"/>
    <x v="0"/>
    <x v="0"/>
    <n v="19"/>
    <x v="4"/>
    <s v="Win"/>
    <n v="1"/>
    <n v="0"/>
    <n v="0"/>
    <n v="1"/>
  </r>
  <r>
    <x v="0"/>
    <x v="3"/>
    <x v="3"/>
    <x v="132"/>
    <n v="241"/>
    <x v="4"/>
    <x v="1"/>
    <n v="4"/>
    <x v="0"/>
    <s v="Loss"/>
    <n v="0"/>
    <n v="1"/>
    <n v="0"/>
    <n v="1"/>
  </r>
  <r>
    <x v="0"/>
    <x v="3"/>
    <x v="3"/>
    <x v="132"/>
    <n v="241"/>
    <x v="4"/>
    <x v="1"/>
    <n v="4"/>
    <x v="2"/>
    <s v="Loss"/>
    <n v="0"/>
    <n v="1"/>
    <n v="0"/>
    <n v="1"/>
  </r>
  <r>
    <x v="0"/>
    <x v="3"/>
    <x v="3"/>
    <x v="132"/>
    <n v="241"/>
    <x v="0"/>
    <x v="1"/>
    <n v="19"/>
    <x v="0"/>
    <s v="Win"/>
    <n v="1"/>
    <n v="0"/>
    <n v="0"/>
    <n v="1"/>
  </r>
  <r>
    <x v="0"/>
    <x v="3"/>
    <x v="3"/>
    <x v="132"/>
    <n v="241"/>
    <x v="1"/>
    <x v="0"/>
    <n v="6"/>
    <x v="4"/>
    <s v="Win"/>
    <n v="1"/>
    <n v="0"/>
    <n v="0"/>
    <n v="1"/>
  </r>
  <r>
    <x v="0"/>
    <x v="3"/>
    <x v="3"/>
    <x v="133"/>
    <n v="242"/>
    <x v="1"/>
    <x v="1"/>
    <n v="10"/>
    <x v="2"/>
    <s v="Loss"/>
    <n v="0"/>
    <n v="1"/>
    <n v="0"/>
    <n v="1"/>
  </r>
  <r>
    <x v="0"/>
    <x v="3"/>
    <x v="3"/>
    <x v="133"/>
    <n v="242"/>
    <x v="0"/>
    <x v="0"/>
    <n v="14"/>
    <x v="0"/>
    <s v="Win"/>
    <n v="1"/>
    <n v="0"/>
    <n v="0"/>
    <n v="1"/>
  </r>
  <r>
    <x v="0"/>
    <x v="3"/>
    <x v="3"/>
    <x v="134"/>
    <n v="243"/>
    <x v="1"/>
    <x v="1"/>
    <n v="13"/>
    <x v="2"/>
    <s v="Win"/>
    <n v="1"/>
    <n v="0"/>
    <n v="0"/>
    <n v="1"/>
  </r>
  <r>
    <x v="0"/>
    <x v="3"/>
    <x v="3"/>
    <x v="134"/>
    <n v="243"/>
    <x v="0"/>
    <x v="0"/>
    <n v="9"/>
    <x v="0"/>
    <s v="Loss"/>
    <n v="0"/>
    <n v="1"/>
    <n v="0"/>
    <n v="1"/>
  </r>
  <r>
    <x v="0"/>
    <x v="3"/>
    <x v="3"/>
    <x v="135"/>
    <n v="244"/>
    <x v="0"/>
    <x v="0"/>
    <n v="15"/>
    <x v="0"/>
    <s v="Loss"/>
    <n v="0"/>
    <n v="1"/>
    <n v="0"/>
    <n v="1"/>
  </r>
  <r>
    <x v="0"/>
    <x v="3"/>
    <x v="3"/>
    <x v="135"/>
    <n v="244"/>
    <x v="1"/>
    <x v="1"/>
    <n v="18"/>
    <x v="2"/>
    <s v="Win"/>
    <n v="1"/>
    <n v="0"/>
    <n v="0"/>
    <n v="1"/>
  </r>
  <r>
    <x v="0"/>
    <x v="3"/>
    <x v="3"/>
    <x v="136"/>
    <n v="245"/>
    <x v="0"/>
    <x v="1"/>
    <n v="14"/>
    <x v="0"/>
    <s v="Win"/>
    <n v="1"/>
    <n v="0"/>
    <n v="0"/>
    <n v="1"/>
  </r>
  <r>
    <x v="0"/>
    <x v="3"/>
    <x v="3"/>
    <x v="136"/>
    <n v="245"/>
    <x v="1"/>
    <x v="0"/>
    <n v="12"/>
    <x v="2"/>
    <s v="Loss"/>
    <n v="0"/>
    <n v="1"/>
    <n v="0"/>
    <n v="1"/>
  </r>
  <r>
    <x v="0"/>
    <x v="3"/>
    <x v="3"/>
    <x v="137"/>
    <n v="246"/>
    <x v="0"/>
    <x v="1"/>
    <n v="13"/>
    <x v="0"/>
    <s v="Win"/>
    <n v="1"/>
    <n v="0"/>
    <n v="0"/>
    <n v="1"/>
  </r>
  <r>
    <x v="0"/>
    <x v="3"/>
    <x v="3"/>
    <x v="137"/>
    <n v="246"/>
    <x v="1"/>
    <x v="0"/>
    <n v="11"/>
    <x v="2"/>
    <s v="Loss"/>
    <n v="0"/>
    <n v="1"/>
    <n v="0"/>
    <n v="1"/>
  </r>
  <r>
    <x v="0"/>
    <x v="3"/>
    <x v="3"/>
    <x v="138"/>
    <n v="247"/>
    <x v="0"/>
    <x v="0"/>
    <n v="7"/>
    <x v="0"/>
    <s v="Win"/>
    <n v="1"/>
    <n v="0"/>
    <n v="0"/>
    <n v="1"/>
  </r>
  <r>
    <x v="0"/>
    <x v="3"/>
    <x v="3"/>
    <x v="138"/>
    <n v="247"/>
    <x v="1"/>
    <x v="1"/>
    <n v="6"/>
    <x v="2"/>
    <s v="Loss"/>
    <n v="0"/>
    <n v="1"/>
    <n v="0"/>
    <n v="1"/>
  </r>
  <r>
    <x v="0"/>
    <x v="3"/>
    <x v="3"/>
    <x v="139"/>
    <n v="248"/>
    <x v="0"/>
    <x v="0"/>
    <n v="15"/>
    <x v="0"/>
    <s v="Win"/>
    <n v="1"/>
    <n v="0"/>
    <n v="0"/>
    <n v="1"/>
  </r>
  <r>
    <x v="0"/>
    <x v="3"/>
    <x v="3"/>
    <x v="139"/>
    <n v="248"/>
    <x v="1"/>
    <x v="1"/>
    <n v="6"/>
    <x v="2"/>
    <s v="Loss"/>
    <n v="0"/>
    <n v="1"/>
    <n v="0"/>
    <n v="1"/>
  </r>
  <r>
    <x v="0"/>
    <x v="3"/>
    <x v="3"/>
    <x v="140"/>
    <n v="249"/>
    <x v="0"/>
    <x v="0"/>
    <n v="12"/>
    <x v="0"/>
    <s v="Loss"/>
    <n v="0"/>
    <n v="1"/>
    <n v="0"/>
    <n v="1"/>
  </r>
  <r>
    <x v="0"/>
    <x v="3"/>
    <x v="3"/>
    <x v="140"/>
    <n v="249"/>
    <x v="0"/>
    <x v="0"/>
    <n v="12"/>
    <x v="1"/>
    <s v="Win"/>
    <n v="1"/>
    <n v="0"/>
    <n v="0"/>
    <n v="1"/>
  </r>
  <r>
    <x v="0"/>
    <x v="3"/>
    <x v="3"/>
    <x v="140"/>
    <n v="249"/>
    <x v="1"/>
    <x v="1"/>
    <n v="15"/>
    <x v="2"/>
    <s v="Win"/>
    <n v="1"/>
    <n v="0"/>
    <n v="0"/>
    <n v="1"/>
  </r>
  <r>
    <x v="0"/>
    <x v="3"/>
    <x v="3"/>
    <x v="140"/>
    <n v="249"/>
    <x v="1"/>
    <x v="0"/>
    <n v="15"/>
    <x v="1"/>
    <s v="Win"/>
    <n v="1"/>
    <n v="0"/>
    <n v="0"/>
    <n v="1"/>
  </r>
  <r>
    <x v="0"/>
    <x v="3"/>
    <x v="3"/>
    <x v="140"/>
    <n v="249"/>
    <x v="2"/>
    <x v="1"/>
    <n v="2"/>
    <x v="0"/>
    <s v="Loss"/>
    <n v="0"/>
    <n v="1"/>
    <n v="0"/>
    <n v="1"/>
  </r>
  <r>
    <x v="0"/>
    <x v="3"/>
    <x v="3"/>
    <x v="140"/>
    <n v="249"/>
    <x v="2"/>
    <x v="1"/>
    <n v="2"/>
    <x v="2"/>
    <s v="Loss"/>
    <n v="0"/>
    <n v="1"/>
    <n v="0"/>
    <n v="1"/>
  </r>
  <r>
    <x v="0"/>
    <x v="3"/>
    <x v="3"/>
    <x v="140"/>
    <n v="250"/>
    <x v="1"/>
    <x v="1"/>
    <n v="16"/>
    <x v="1"/>
    <s v="Win"/>
    <n v="1"/>
    <n v="0"/>
    <n v="0"/>
    <n v="1"/>
  </r>
  <r>
    <x v="0"/>
    <x v="3"/>
    <x v="3"/>
    <x v="140"/>
    <n v="250"/>
    <x v="1"/>
    <x v="0"/>
    <n v="16"/>
    <x v="2"/>
    <s v="Win"/>
    <n v="1"/>
    <n v="0"/>
    <n v="0"/>
    <n v="1"/>
  </r>
  <r>
    <x v="0"/>
    <x v="3"/>
    <x v="3"/>
    <x v="140"/>
    <n v="250"/>
    <x v="0"/>
    <x v="1"/>
    <n v="13"/>
    <x v="1"/>
    <s v="Win"/>
    <n v="1"/>
    <n v="0"/>
    <n v="0"/>
    <n v="1"/>
  </r>
  <r>
    <x v="0"/>
    <x v="3"/>
    <x v="3"/>
    <x v="140"/>
    <n v="250"/>
    <x v="0"/>
    <x v="1"/>
    <n v="13"/>
    <x v="0"/>
    <s v="Loss"/>
    <n v="0"/>
    <n v="1"/>
    <n v="0"/>
    <n v="1"/>
  </r>
  <r>
    <x v="0"/>
    <x v="3"/>
    <x v="3"/>
    <x v="140"/>
    <n v="250"/>
    <x v="2"/>
    <x v="0"/>
    <n v="7"/>
    <x v="0"/>
    <s v="Loss"/>
    <n v="0"/>
    <n v="1"/>
    <n v="0"/>
    <n v="1"/>
  </r>
  <r>
    <x v="0"/>
    <x v="3"/>
    <x v="3"/>
    <x v="140"/>
    <n v="250"/>
    <x v="2"/>
    <x v="0"/>
    <n v="7"/>
    <x v="2"/>
    <s v="Loss"/>
    <n v="0"/>
    <n v="1"/>
    <n v="0"/>
    <n v="1"/>
  </r>
  <r>
    <x v="0"/>
    <x v="3"/>
    <x v="3"/>
    <x v="141"/>
    <n v="251"/>
    <x v="1"/>
    <x v="1"/>
    <n v="11"/>
    <x v="2"/>
    <s v="Loss"/>
    <n v="0"/>
    <n v="1"/>
    <n v="0"/>
    <n v="1"/>
  </r>
  <r>
    <x v="0"/>
    <x v="3"/>
    <x v="3"/>
    <x v="141"/>
    <n v="251"/>
    <x v="0"/>
    <x v="0"/>
    <n v="13"/>
    <x v="0"/>
    <s v="Win"/>
    <n v="1"/>
    <n v="0"/>
    <n v="0"/>
    <n v="1"/>
  </r>
  <r>
    <x v="0"/>
    <x v="3"/>
    <x v="3"/>
    <x v="142"/>
    <n v="252"/>
    <x v="2"/>
    <x v="1"/>
    <n v="5"/>
    <x v="2"/>
    <s v="Loss"/>
    <n v="0"/>
    <n v="1"/>
    <n v="0"/>
    <n v="1"/>
  </r>
  <r>
    <x v="0"/>
    <x v="3"/>
    <x v="3"/>
    <x v="142"/>
    <n v="252"/>
    <x v="0"/>
    <x v="0"/>
    <n v="11"/>
    <x v="1"/>
    <s v="Win"/>
    <n v="1"/>
    <n v="0"/>
    <n v="0"/>
    <n v="1"/>
  </r>
  <r>
    <x v="0"/>
    <x v="3"/>
    <x v="3"/>
    <x v="143"/>
    <n v="253"/>
    <x v="0"/>
    <x v="1"/>
    <n v="19"/>
    <x v="0"/>
    <s v="Win"/>
    <n v="1"/>
    <n v="0"/>
    <n v="0"/>
    <n v="1"/>
  </r>
  <r>
    <x v="0"/>
    <x v="3"/>
    <x v="3"/>
    <x v="143"/>
    <n v="253"/>
    <x v="1"/>
    <x v="0"/>
    <n v="12"/>
    <x v="2"/>
    <s v="Loss"/>
    <n v="0"/>
    <n v="1"/>
    <n v="0"/>
    <n v="1"/>
  </r>
  <r>
    <x v="0"/>
    <x v="3"/>
    <x v="3"/>
    <x v="144"/>
    <n v="254"/>
    <x v="0"/>
    <x v="0"/>
    <n v="7"/>
    <x v="0"/>
    <s v="Loss"/>
    <n v="0"/>
    <n v="1"/>
    <n v="0"/>
    <n v="1"/>
  </r>
  <r>
    <x v="0"/>
    <x v="3"/>
    <x v="3"/>
    <x v="144"/>
    <n v="254"/>
    <x v="1"/>
    <x v="1"/>
    <n v="8"/>
    <x v="2"/>
    <s v="Win"/>
    <n v="1"/>
    <n v="0"/>
    <n v="0"/>
    <n v="1"/>
  </r>
  <r>
    <x v="0"/>
    <x v="3"/>
    <x v="3"/>
    <x v="145"/>
    <n v="255"/>
    <x v="0"/>
    <x v="0"/>
    <n v="18"/>
    <x v="0"/>
    <s v="Win"/>
    <n v="1"/>
    <n v="0"/>
    <n v="0"/>
    <n v="1"/>
  </r>
  <r>
    <x v="0"/>
    <x v="3"/>
    <x v="3"/>
    <x v="145"/>
    <n v="255"/>
    <x v="1"/>
    <x v="1"/>
    <n v="9"/>
    <x v="2"/>
    <s v="Loss"/>
    <n v="0"/>
    <n v="1"/>
    <n v="0"/>
    <n v="1"/>
  </r>
  <r>
    <x v="0"/>
    <x v="3"/>
    <x v="3"/>
    <x v="146"/>
    <n v="256"/>
    <x v="1"/>
    <x v="0"/>
    <n v="19"/>
    <x v="2"/>
    <s v="Win"/>
    <n v="1"/>
    <n v="0"/>
    <n v="0"/>
    <n v="1"/>
  </r>
  <r>
    <x v="0"/>
    <x v="3"/>
    <x v="3"/>
    <x v="146"/>
    <n v="256"/>
    <x v="0"/>
    <x v="1"/>
    <n v="12"/>
    <x v="0"/>
    <s v="Loss"/>
    <n v="0"/>
    <n v="1"/>
    <n v="0"/>
    <n v="1"/>
  </r>
  <r>
    <x v="0"/>
    <x v="3"/>
    <x v="3"/>
    <x v="147"/>
    <n v="257"/>
    <x v="0"/>
    <x v="1"/>
    <n v="11"/>
    <x v="0"/>
    <s v="Win"/>
    <n v="1"/>
    <n v="0"/>
    <n v="0"/>
    <n v="1"/>
  </r>
  <r>
    <x v="0"/>
    <x v="3"/>
    <x v="3"/>
    <x v="147"/>
    <n v="257"/>
    <x v="1"/>
    <x v="0"/>
    <n v="8"/>
    <x v="2"/>
    <s v="Loss"/>
    <n v="0"/>
    <n v="1"/>
    <n v="0"/>
    <n v="1"/>
  </r>
  <r>
    <x v="0"/>
    <x v="3"/>
    <x v="3"/>
    <x v="148"/>
    <n v="258"/>
    <x v="0"/>
    <x v="0"/>
    <n v="11"/>
    <x v="0"/>
    <s v="Win"/>
    <n v="1"/>
    <n v="0"/>
    <n v="0"/>
    <n v="1"/>
  </r>
  <r>
    <x v="0"/>
    <x v="3"/>
    <x v="3"/>
    <x v="148"/>
    <n v="258"/>
    <x v="1"/>
    <x v="1"/>
    <n v="6"/>
    <x v="2"/>
    <s v="Loss"/>
    <n v="0"/>
    <n v="1"/>
    <n v="0"/>
    <n v="1"/>
  </r>
  <r>
    <x v="0"/>
    <x v="3"/>
    <x v="3"/>
    <x v="149"/>
    <n v="259"/>
    <x v="0"/>
    <x v="0"/>
    <n v="13"/>
    <x v="0"/>
    <s v="Win"/>
    <n v="1"/>
    <n v="0"/>
    <n v="0"/>
    <n v="1"/>
  </r>
  <r>
    <x v="0"/>
    <x v="3"/>
    <x v="3"/>
    <x v="149"/>
    <n v="259"/>
    <x v="1"/>
    <x v="1"/>
    <n v="11"/>
    <x v="2"/>
    <s v="Loss"/>
    <n v="0"/>
    <n v="1"/>
    <n v="0"/>
    <n v="1"/>
  </r>
  <r>
    <x v="0"/>
    <x v="3"/>
    <x v="3"/>
    <x v="150"/>
    <n v="260"/>
    <x v="0"/>
    <x v="1"/>
    <n v="20"/>
    <x v="0"/>
    <s v="Win"/>
    <n v="1"/>
    <n v="0"/>
    <n v="0"/>
    <n v="1"/>
  </r>
  <r>
    <x v="0"/>
    <x v="3"/>
    <x v="3"/>
    <x v="150"/>
    <n v="260"/>
    <x v="1"/>
    <x v="0"/>
    <n v="15"/>
    <x v="2"/>
    <s v="Loss"/>
    <n v="0"/>
    <n v="1"/>
    <n v="0"/>
    <n v="1"/>
  </r>
  <r>
    <x v="0"/>
    <x v="3"/>
    <x v="3"/>
    <x v="151"/>
    <n v="261"/>
    <x v="0"/>
    <x v="1"/>
    <n v="18"/>
    <x v="0"/>
    <s v="Win"/>
    <n v="1"/>
    <n v="0"/>
    <n v="0"/>
    <n v="1"/>
  </r>
  <r>
    <x v="0"/>
    <x v="3"/>
    <x v="3"/>
    <x v="151"/>
    <n v="261"/>
    <x v="1"/>
    <x v="0"/>
    <n v="5"/>
    <x v="2"/>
    <s v="Loss"/>
    <n v="0"/>
    <n v="1"/>
    <n v="0"/>
    <n v="1"/>
  </r>
  <r>
    <x v="0"/>
    <x v="3"/>
    <x v="3"/>
    <x v="152"/>
    <n v="262"/>
    <x v="1"/>
    <x v="0"/>
    <n v="6"/>
    <x v="2"/>
    <s v="Loss"/>
    <n v="0"/>
    <n v="1"/>
    <n v="0"/>
    <n v="1"/>
  </r>
  <r>
    <x v="0"/>
    <x v="3"/>
    <x v="3"/>
    <x v="152"/>
    <n v="262"/>
    <x v="0"/>
    <x v="1"/>
    <n v="21"/>
    <x v="0"/>
    <s v="Win"/>
    <n v="1"/>
    <n v="0"/>
    <n v="0"/>
    <n v="1"/>
  </r>
  <r>
    <x v="0"/>
    <x v="3"/>
    <x v="3"/>
    <x v="153"/>
    <n v="263"/>
    <x v="1"/>
    <x v="0"/>
    <n v="4"/>
    <x v="2"/>
    <s v="Loss"/>
    <n v="0"/>
    <n v="1"/>
    <n v="0"/>
    <n v="1"/>
  </r>
  <r>
    <x v="0"/>
    <x v="3"/>
    <x v="3"/>
    <x v="153"/>
    <n v="263"/>
    <x v="0"/>
    <x v="1"/>
    <n v="13"/>
    <x v="0"/>
    <s v="Win"/>
    <n v="1"/>
    <n v="0"/>
    <n v="0"/>
    <n v="1"/>
  </r>
  <r>
    <x v="0"/>
    <x v="3"/>
    <x v="3"/>
    <x v="154"/>
    <n v="264"/>
    <x v="1"/>
    <x v="1"/>
    <n v="12"/>
    <x v="2"/>
    <s v="Loss"/>
    <n v="0"/>
    <n v="1"/>
    <n v="0"/>
    <n v="1"/>
  </r>
  <r>
    <x v="0"/>
    <x v="3"/>
    <x v="3"/>
    <x v="154"/>
    <n v="264"/>
    <x v="0"/>
    <x v="0"/>
    <n v="20"/>
    <x v="0"/>
    <s v="Win"/>
    <n v="1"/>
    <n v="0"/>
    <n v="0"/>
    <n v="1"/>
  </r>
  <r>
    <x v="0"/>
    <x v="3"/>
    <x v="3"/>
    <x v="155"/>
    <n v="265"/>
    <x v="0"/>
    <x v="0"/>
    <n v="7"/>
    <x v="0"/>
    <s v="Loss"/>
    <n v="0"/>
    <n v="1"/>
    <n v="0"/>
    <n v="1"/>
  </r>
  <r>
    <x v="0"/>
    <x v="3"/>
    <x v="3"/>
    <x v="155"/>
    <n v="265"/>
    <x v="1"/>
    <x v="1"/>
    <n v="13"/>
    <x v="2"/>
    <s v="Win"/>
    <n v="1"/>
    <n v="0"/>
    <n v="0"/>
    <n v="1"/>
  </r>
  <r>
    <x v="0"/>
    <x v="3"/>
    <x v="3"/>
    <x v="156"/>
    <n v="266"/>
    <x v="1"/>
    <x v="1"/>
    <n v="16"/>
    <x v="2"/>
    <s v="Loss"/>
    <n v="0"/>
    <n v="1"/>
    <n v="0"/>
    <n v="1"/>
  </r>
  <r>
    <x v="0"/>
    <x v="3"/>
    <x v="3"/>
    <x v="156"/>
    <n v="266"/>
    <x v="0"/>
    <x v="0"/>
    <n v="21"/>
    <x v="0"/>
    <s v="Win"/>
    <n v="1"/>
    <n v="0"/>
    <n v="0"/>
    <n v="1"/>
  </r>
  <r>
    <x v="0"/>
    <x v="3"/>
    <x v="3"/>
    <x v="157"/>
    <n v="267"/>
    <x v="0"/>
    <x v="1"/>
    <n v="17"/>
    <x v="0"/>
    <s v="Win"/>
    <n v="1"/>
    <n v="0"/>
    <n v="0"/>
    <n v="1"/>
  </r>
  <r>
    <x v="0"/>
    <x v="3"/>
    <x v="3"/>
    <x v="157"/>
    <n v="267"/>
    <x v="1"/>
    <x v="0"/>
    <n v="10"/>
    <x v="2"/>
    <s v="Loss"/>
    <n v="0"/>
    <n v="1"/>
    <n v="0"/>
    <n v="1"/>
  </r>
  <r>
    <x v="0"/>
    <x v="3"/>
    <x v="3"/>
    <x v="158"/>
    <n v="268"/>
    <x v="0"/>
    <x v="1"/>
    <n v="14"/>
    <x v="0"/>
    <s v="Win"/>
    <n v="1"/>
    <n v="0"/>
    <n v="0"/>
    <n v="1"/>
  </r>
  <r>
    <x v="0"/>
    <x v="3"/>
    <x v="3"/>
    <x v="158"/>
    <n v="268"/>
    <x v="1"/>
    <x v="0"/>
    <n v="9"/>
    <x v="2"/>
    <s v="Loss"/>
    <n v="0"/>
    <n v="1"/>
    <n v="0"/>
    <n v="1"/>
  </r>
  <r>
    <x v="0"/>
    <x v="3"/>
    <x v="3"/>
    <x v="159"/>
    <n v="269"/>
    <x v="1"/>
    <x v="1"/>
    <n v="5"/>
    <x v="1"/>
    <s v="Tie"/>
    <n v="0"/>
    <n v="0"/>
    <n v="1"/>
    <n v="1"/>
  </r>
  <r>
    <x v="0"/>
    <x v="3"/>
    <x v="3"/>
    <x v="159"/>
    <n v="269"/>
    <x v="1"/>
    <x v="1"/>
    <n v="5"/>
    <x v="2"/>
    <s v="Loss"/>
    <n v="0"/>
    <n v="1"/>
    <n v="0"/>
    <n v="1"/>
  </r>
  <r>
    <x v="0"/>
    <x v="3"/>
    <x v="3"/>
    <x v="159"/>
    <n v="269"/>
    <x v="0"/>
    <x v="0"/>
    <n v="15"/>
    <x v="1"/>
    <s v="Win"/>
    <n v="1"/>
    <n v="0"/>
    <n v="0"/>
    <n v="1"/>
  </r>
  <r>
    <x v="0"/>
    <x v="3"/>
    <x v="3"/>
    <x v="159"/>
    <n v="269"/>
    <x v="0"/>
    <x v="0"/>
    <n v="15"/>
    <x v="0"/>
    <s v="Win"/>
    <n v="1"/>
    <n v="0"/>
    <n v="0"/>
    <n v="1"/>
  </r>
  <r>
    <x v="0"/>
    <x v="3"/>
    <x v="3"/>
    <x v="159"/>
    <n v="269"/>
    <x v="2"/>
    <x v="1"/>
    <n v="5"/>
    <x v="2"/>
    <s v="Loss"/>
    <n v="0"/>
    <n v="1"/>
    <n v="0"/>
    <n v="1"/>
  </r>
  <r>
    <x v="0"/>
    <x v="3"/>
    <x v="3"/>
    <x v="159"/>
    <n v="269"/>
    <x v="2"/>
    <x v="0"/>
    <n v="5"/>
    <x v="0"/>
    <s v="Tie"/>
    <n v="0"/>
    <n v="0"/>
    <n v="1"/>
    <n v="1"/>
  </r>
  <r>
    <x v="0"/>
    <x v="3"/>
    <x v="3"/>
    <x v="160"/>
    <n v="270"/>
    <x v="0"/>
    <x v="1"/>
    <n v="13"/>
    <x v="0"/>
    <s v="Win"/>
    <n v="1"/>
    <n v="0"/>
    <n v="0"/>
    <n v="1"/>
  </r>
  <r>
    <x v="0"/>
    <x v="3"/>
    <x v="3"/>
    <x v="160"/>
    <n v="270"/>
    <x v="1"/>
    <x v="0"/>
    <n v="9"/>
    <x v="4"/>
    <s v="Win"/>
    <n v="1"/>
    <n v="0"/>
    <n v="0"/>
    <n v="1"/>
  </r>
  <r>
    <x v="0"/>
    <x v="3"/>
    <x v="3"/>
    <x v="160"/>
    <n v="270"/>
    <x v="1"/>
    <x v="0"/>
    <n v="9"/>
    <x v="2"/>
    <s v="Loss"/>
    <n v="0"/>
    <n v="1"/>
    <n v="0"/>
    <n v="1"/>
  </r>
  <r>
    <x v="0"/>
    <x v="3"/>
    <x v="3"/>
    <x v="160"/>
    <n v="270"/>
    <x v="0"/>
    <x v="0"/>
    <n v="13"/>
    <x v="4"/>
    <s v="Win"/>
    <n v="1"/>
    <n v="0"/>
    <n v="0"/>
    <n v="1"/>
  </r>
  <r>
    <x v="0"/>
    <x v="3"/>
    <x v="3"/>
    <x v="160"/>
    <n v="270"/>
    <x v="4"/>
    <x v="1"/>
    <n v="6"/>
    <x v="0"/>
    <s v="Loss"/>
    <n v="0"/>
    <n v="1"/>
    <n v="0"/>
    <n v="1"/>
  </r>
  <r>
    <x v="0"/>
    <x v="3"/>
    <x v="3"/>
    <x v="160"/>
    <n v="270"/>
    <x v="4"/>
    <x v="1"/>
    <n v="6"/>
    <x v="2"/>
    <s v="Loss"/>
    <n v="0"/>
    <n v="1"/>
    <n v="0"/>
    <n v="1"/>
  </r>
  <r>
    <x v="0"/>
    <x v="3"/>
    <x v="3"/>
    <x v="161"/>
    <n v="271"/>
    <x v="0"/>
    <x v="1"/>
    <n v="12"/>
    <x v="0"/>
    <s v="Win"/>
    <n v="1"/>
    <n v="0"/>
    <n v="0"/>
    <n v="1"/>
  </r>
  <r>
    <x v="0"/>
    <x v="3"/>
    <x v="3"/>
    <x v="161"/>
    <n v="271"/>
    <x v="1"/>
    <x v="0"/>
    <n v="11"/>
    <x v="2"/>
    <s v="Loss"/>
    <n v="0"/>
    <n v="1"/>
    <n v="0"/>
    <n v="1"/>
  </r>
  <r>
    <x v="0"/>
    <x v="3"/>
    <x v="3"/>
    <x v="162"/>
    <n v="272"/>
    <x v="0"/>
    <x v="1"/>
    <n v="18"/>
    <x v="0"/>
    <s v="Win"/>
    <n v="1"/>
    <n v="0"/>
    <n v="0"/>
    <n v="1"/>
  </r>
  <r>
    <x v="0"/>
    <x v="3"/>
    <x v="3"/>
    <x v="162"/>
    <n v="272"/>
    <x v="1"/>
    <x v="0"/>
    <n v="4"/>
    <x v="2"/>
    <s v="Loss"/>
    <n v="0"/>
    <n v="1"/>
    <n v="0"/>
    <n v="1"/>
  </r>
  <r>
    <x v="0"/>
    <x v="3"/>
    <x v="3"/>
    <x v="163"/>
    <n v="273"/>
    <x v="2"/>
    <x v="1"/>
    <n v="4"/>
    <x v="0"/>
    <s v="Loss"/>
    <n v="0"/>
    <n v="1"/>
    <n v="0"/>
    <n v="1"/>
  </r>
  <r>
    <x v="0"/>
    <x v="3"/>
    <x v="3"/>
    <x v="163"/>
    <n v="273"/>
    <x v="0"/>
    <x v="0"/>
    <n v="17"/>
    <x v="0"/>
    <s v="Win"/>
    <n v="1"/>
    <n v="0"/>
    <n v="0"/>
    <n v="1"/>
  </r>
  <r>
    <x v="0"/>
    <x v="3"/>
    <x v="3"/>
    <x v="163"/>
    <n v="273"/>
    <x v="2"/>
    <x v="1"/>
    <n v="4"/>
    <x v="2"/>
    <s v="Loss"/>
    <n v="0"/>
    <n v="1"/>
    <n v="0"/>
    <n v="1"/>
  </r>
  <r>
    <x v="0"/>
    <x v="3"/>
    <x v="3"/>
    <x v="163"/>
    <n v="273"/>
    <x v="1"/>
    <x v="0"/>
    <n v="12"/>
    <x v="1"/>
    <s v="Win"/>
    <n v="1"/>
    <n v="0"/>
    <n v="0"/>
    <n v="1"/>
  </r>
  <r>
    <x v="0"/>
    <x v="3"/>
    <x v="3"/>
    <x v="163"/>
    <n v="273"/>
    <x v="1"/>
    <x v="1"/>
    <n v="12"/>
    <x v="2"/>
    <s v="Loss"/>
    <n v="0"/>
    <n v="1"/>
    <n v="0"/>
    <n v="1"/>
  </r>
  <r>
    <x v="0"/>
    <x v="3"/>
    <x v="3"/>
    <x v="163"/>
    <n v="273"/>
    <x v="0"/>
    <x v="0"/>
    <n v="17"/>
    <x v="1"/>
    <s v="Win"/>
    <n v="1"/>
    <n v="0"/>
    <n v="0"/>
    <n v="1"/>
  </r>
  <r>
    <x v="0"/>
    <x v="3"/>
    <x v="3"/>
    <x v="164"/>
    <n v="274"/>
    <x v="1"/>
    <x v="0"/>
    <n v="8"/>
    <x v="2"/>
    <s v="Loss"/>
    <n v="0"/>
    <n v="1"/>
    <n v="0"/>
    <n v="1"/>
  </r>
  <r>
    <x v="0"/>
    <x v="3"/>
    <x v="3"/>
    <x v="164"/>
    <n v="274"/>
    <x v="0"/>
    <x v="1"/>
    <n v="18"/>
    <x v="0"/>
    <s v="Win"/>
    <n v="1"/>
    <n v="0"/>
    <n v="0"/>
    <n v="1"/>
  </r>
  <r>
    <x v="0"/>
    <x v="3"/>
    <x v="3"/>
    <x v="165"/>
    <n v="275"/>
    <x v="0"/>
    <x v="0"/>
    <n v="19"/>
    <x v="0"/>
    <s v="Win"/>
    <n v="1"/>
    <n v="0"/>
    <n v="0"/>
    <n v="1"/>
  </r>
  <r>
    <x v="0"/>
    <x v="3"/>
    <x v="3"/>
    <x v="165"/>
    <n v="275"/>
    <x v="1"/>
    <x v="1"/>
    <n v="14"/>
    <x v="2"/>
    <s v="Loss"/>
    <n v="0"/>
    <n v="1"/>
    <n v="0"/>
    <n v="1"/>
  </r>
  <r>
    <x v="0"/>
    <x v="3"/>
    <x v="3"/>
    <x v="166"/>
    <n v="276"/>
    <x v="0"/>
    <x v="0"/>
    <n v="12"/>
    <x v="0"/>
    <s v="Win"/>
    <n v="1"/>
    <n v="0"/>
    <n v="0"/>
    <n v="1"/>
  </r>
  <r>
    <x v="0"/>
    <x v="3"/>
    <x v="3"/>
    <x v="166"/>
    <n v="276"/>
    <x v="1"/>
    <x v="1"/>
    <n v="10"/>
    <x v="2"/>
    <s v="Loss"/>
    <n v="0"/>
    <n v="1"/>
    <n v="0"/>
    <n v="1"/>
  </r>
  <r>
    <x v="0"/>
    <x v="3"/>
    <x v="3"/>
    <x v="167"/>
    <n v="277"/>
    <x v="0"/>
    <x v="0"/>
    <n v="17"/>
    <x v="0"/>
    <s v="Win"/>
    <n v="1"/>
    <n v="0"/>
    <n v="0"/>
    <n v="1"/>
  </r>
  <r>
    <x v="0"/>
    <x v="3"/>
    <x v="3"/>
    <x v="167"/>
    <n v="277"/>
    <x v="1"/>
    <x v="1"/>
    <n v="9"/>
    <x v="2"/>
    <s v="Loss"/>
    <n v="0"/>
    <n v="1"/>
    <n v="0"/>
    <n v="1"/>
  </r>
  <r>
    <x v="0"/>
    <x v="3"/>
    <x v="3"/>
    <x v="167"/>
    <n v="277"/>
    <x v="3"/>
    <x v="0"/>
    <n v="9"/>
    <x v="0"/>
    <s v="Tie"/>
    <n v="0"/>
    <n v="0"/>
    <n v="1"/>
    <n v="1"/>
  </r>
  <r>
    <x v="0"/>
    <x v="3"/>
    <x v="3"/>
    <x v="167"/>
    <n v="277"/>
    <x v="1"/>
    <x v="1"/>
    <n v="9"/>
    <x v="3"/>
    <s v="Tie"/>
    <n v="0"/>
    <n v="0"/>
    <n v="1"/>
    <n v="1"/>
  </r>
  <r>
    <x v="0"/>
    <x v="3"/>
    <x v="3"/>
    <x v="167"/>
    <n v="277"/>
    <x v="3"/>
    <x v="0"/>
    <n v="9"/>
    <x v="2"/>
    <s v="Loss"/>
    <n v="0"/>
    <n v="1"/>
    <n v="0"/>
    <n v="1"/>
  </r>
  <r>
    <x v="0"/>
    <x v="3"/>
    <x v="3"/>
    <x v="167"/>
    <n v="277"/>
    <x v="0"/>
    <x v="1"/>
    <n v="17"/>
    <x v="3"/>
    <s v="Win"/>
    <n v="1"/>
    <n v="0"/>
    <n v="0"/>
    <n v="1"/>
  </r>
  <r>
    <x v="0"/>
    <x v="3"/>
    <x v="3"/>
    <x v="168"/>
    <n v="278"/>
    <x v="0"/>
    <x v="1"/>
    <n v="14"/>
    <x v="0"/>
    <s v="Win"/>
    <n v="1"/>
    <n v="0"/>
    <n v="0"/>
    <n v="1"/>
  </r>
  <r>
    <x v="0"/>
    <x v="3"/>
    <x v="3"/>
    <x v="168"/>
    <n v="278"/>
    <x v="1"/>
    <x v="0"/>
    <n v="9"/>
    <x v="2"/>
    <s v="Loss"/>
    <n v="0"/>
    <n v="1"/>
    <n v="0"/>
    <n v="1"/>
  </r>
  <r>
    <x v="0"/>
    <x v="3"/>
    <x v="3"/>
    <x v="169"/>
    <n v="279"/>
    <x v="0"/>
    <x v="1"/>
    <n v="18"/>
    <x v="0"/>
    <s v="Win"/>
    <n v="1"/>
    <n v="0"/>
    <n v="0"/>
    <n v="1"/>
  </r>
  <r>
    <x v="0"/>
    <x v="3"/>
    <x v="3"/>
    <x v="169"/>
    <n v="279"/>
    <x v="1"/>
    <x v="0"/>
    <n v="10"/>
    <x v="2"/>
    <s v="Loss"/>
    <n v="0"/>
    <n v="1"/>
    <n v="0"/>
    <n v="1"/>
  </r>
  <r>
    <x v="0"/>
    <x v="3"/>
    <x v="3"/>
    <x v="170"/>
    <n v="280"/>
    <x v="0"/>
    <x v="0"/>
    <n v="18"/>
    <x v="0"/>
    <s v="Win"/>
    <n v="1"/>
    <n v="0"/>
    <n v="0"/>
    <n v="1"/>
  </r>
  <r>
    <x v="0"/>
    <x v="3"/>
    <x v="3"/>
    <x v="170"/>
    <n v="280"/>
    <x v="1"/>
    <x v="1"/>
    <n v="5"/>
    <x v="2"/>
    <s v="Loss"/>
    <n v="0"/>
    <n v="1"/>
    <n v="0"/>
    <n v="1"/>
  </r>
  <r>
    <x v="0"/>
    <x v="3"/>
    <x v="3"/>
    <x v="171"/>
    <n v="281"/>
    <x v="0"/>
    <x v="1"/>
    <n v="21"/>
    <x v="0"/>
    <s v="Win"/>
    <n v="1"/>
    <n v="0"/>
    <n v="0"/>
    <n v="1"/>
  </r>
  <r>
    <x v="0"/>
    <x v="3"/>
    <x v="3"/>
    <x v="171"/>
    <n v="281"/>
    <x v="1"/>
    <x v="0"/>
    <n v="9"/>
    <x v="2"/>
    <s v="Loss"/>
    <n v="0"/>
    <n v="1"/>
    <n v="0"/>
    <n v="1"/>
  </r>
  <r>
    <x v="0"/>
    <x v="3"/>
    <x v="3"/>
    <x v="172"/>
    <n v="282"/>
    <x v="0"/>
    <x v="0"/>
    <n v="20"/>
    <x v="0"/>
    <s v="Win"/>
    <n v="1"/>
    <n v="0"/>
    <n v="0"/>
    <n v="1"/>
  </r>
  <r>
    <x v="0"/>
    <x v="3"/>
    <x v="3"/>
    <x v="172"/>
    <n v="282"/>
    <x v="1"/>
    <x v="1"/>
    <n v="8"/>
    <x v="2"/>
    <s v="Loss"/>
    <n v="0"/>
    <n v="1"/>
    <n v="0"/>
    <n v="1"/>
  </r>
  <r>
    <x v="0"/>
    <x v="3"/>
    <x v="3"/>
    <x v="173"/>
    <n v="283"/>
    <x v="0"/>
    <x v="0"/>
    <n v="20"/>
    <x v="0"/>
    <s v="Win"/>
    <n v="1"/>
    <n v="0"/>
    <n v="0"/>
    <n v="1"/>
  </r>
  <r>
    <x v="0"/>
    <x v="3"/>
    <x v="3"/>
    <x v="173"/>
    <n v="283"/>
    <x v="1"/>
    <x v="1"/>
    <n v="6"/>
    <x v="2"/>
    <s v="Loss"/>
    <n v="0"/>
    <n v="1"/>
    <n v="0"/>
    <n v="1"/>
  </r>
  <r>
    <x v="0"/>
    <x v="3"/>
    <x v="3"/>
    <x v="174"/>
    <n v="284"/>
    <x v="1"/>
    <x v="1"/>
    <n v="7"/>
    <x v="2"/>
    <s v="Loss"/>
    <n v="0"/>
    <n v="1"/>
    <n v="0"/>
    <n v="1"/>
  </r>
  <r>
    <x v="0"/>
    <x v="3"/>
    <x v="3"/>
    <x v="174"/>
    <n v="284"/>
    <x v="0"/>
    <x v="0"/>
    <n v="10"/>
    <x v="0"/>
    <s v="Win"/>
    <n v="1"/>
    <n v="0"/>
    <n v="0"/>
    <n v="1"/>
  </r>
  <r>
    <x v="0"/>
    <x v="3"/>
    <x v="3"/>
    <x v="175"/>
    <n v="285"/>
    <x v="1"/>
    <x v="1"/>
    <n v="9"/>
    <x v="2"/>
    <s v="Loss"/>
    <n v="0"/>
    <n v="1"/>
    <n v="0"/>
    <n v="1"/>
  </r>
  <r>
    <x v="0"/>
    <x v="3"/>
    <x v="3"/>
    <x v="175"/>
    <n v="285"/>
    <x v="0"/>
    <x v="0"/>
    <n v="17"/>
    <x v="0"/>
    <s v="Win"/>
    <n v="1"/>
    <n v="0"/>
    <n v="0"/>
    <n v="1"/>
  </r>
  <r>
    <x v="0"/>
    <x v="3"/>
    <x v="3"/>
    <x v="176"/>
    <n v="286"/>
    <x v="1"/>
    <x v="0"/>
    <n v="10"/>
    <x v="2"/>
    <s v="Loss"/>
    <n v="0"/>
    <n v="1"/>
    <n v="0"/>
    <n v="1"/>
  </r>
  <r>
    <x v="0"/>
    <x v="3"/>
    <x v="3"/>
    <x v="176"/>
    <n v="286"/>
    <x v="0"/>
    <x v="1"/>
    <n v="18"/>
    <x v="0"/>
    <s v="Win"/>
    <n v="1"/>
    <n v="0"/>
    <n v="0"/>
    <n v="1"/>
  </r>
  <r>
    <x v="0"/>
    <x v="3"/>
    <x v="3"/>
    <x v="177"/>
    <n v="287"/>
    <x v="1"/>
    <x v="0"/>
    <n v="13"/>
    <x v="2"/>
    <s v="Loss"/>
    <n v="0"/>
    <n v="1"/>
    <n v="0"/>
    <n v="1"/>
  </r>
  <r>
    <x v="0"/>
    <x v="3"/>
    <x v="3"/>
    <x v="177"/>
    <n v="287"/>
    <x v="0"/>
    <x v="1"/>
    <n v="16"/>
    <x v="0"/>
    <s v="Win"/>
    <n v="1"/>
    <n v="0"/>
    <n v="0"/>
    <n v="1"/>
  </r>
  <r>
    <x v="0"/>
    <x v="3"/>
    <x v="3"/>
    <x v="178"/>
    <n v="288"/>
    <x v="0"/>
    <x v="0"/>
    <n v="19"/>
    <x v="0"/>
    <s v="Win"/>
    <n v="1"/>
    <n v="0"/>
    <n v="0"/>
    <n v="1"/>
  </r>
  <r>
    <x v="0"/>
    <x v="3"/>
    <x v="3"/>
    <x v="178"/>
    <n v="288"/>
    <x v="1"/>
    <x v="1"/>
    <n v="10"/>
    <x v="2"/>
    <s v="Loss"/>
    <n v="0"/>
    <n v="1"/>
    <n v="0"/>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x v="0"/>
    <n v="9"/>
    <n v="9"/>
    <n v="4"/>
    <n v="8"/>
    <x v="0"/>
    <x v="0"/>
  </r>
  <r>
    <x v="0"/>
    <x v="1"/>
    <n v="9"/>
    <n v="8"/>
    <n v="5"/>
    <n v="13"/>
    <x v="0"/>
    <x v="0"/>
  </r>
  <r>
    <x v="1"/>
    <x v="0"/>
    <n v="9"/>
    <n v="5"/>
    <n v="1"/>
    <n v="1"/>
    <x v="1"/>
    <x v="1"/>
  </r>
  <r>
    <x v="1"/>
    <x v="1"/>
    <n v="9"/>
    <n v="9"/>
    <n v="2"/>
    <n v="4"/>
    <x v="1"/>
    <x v="1"/>
  </r>
  <r>
    <x v="1"/>
    <x v="2"/>
    <n v="9"/>
    <n v="3"/>
    <n v="0"/>
    <n v="0"/>
    <x v="1"/>
    <x v="1"/>
  </r>
  <r>
    <x v="2"/>
    <x v="1"/>
    <n v="9"/>
    <n v="9"/>
    <n v="2"/>
    <n v="2"/>
    <x v="0"/>
    <x v="1"/>
  </r>
  <r>
    <x v="2"/>
    <x v="0"/>
    <n v="9"/>
    <n v="6"/>
    <n v="4"/>
    <n v="10"/>
    <x v="0"/>
    <x v="1"/>
  </r>
  <r>
    <x v="3"/>
    <x v="0"/>
    <n v="9"/>
    <n v="5"/>
    <n v="1"/>
    <n v="1"/>
    <x v="2"/>
    <x v="1"/>
  </r>
  <r>
    <x v="3"/>
    <x v="1"/>
    <n v="9"/>
    <n v="6"/>
    <n v="4"/>
    <n v="7"/>
    <x v="2"/>
    <x v="1"/>
  </r>
  <r>
    <x v="3"/>
    <x v="2"/>
    <n v="9"/>
    <n v="4"/>
    <n v="3"/>
    <n v="3"/>
    <x v="2"/>
    <x v="1"/>
  </r>
  <r>
    <x v="4"/>
    <x v="1"/>
    <n v="12"/>
    <n v="12"/>
    <n v="5"/>
    <n v="10"/>
    <x v="1"/>
    <x v="1"/>
  </r>
  <r>
    <x v="4"/>
    <x v="0"/>
    <n v="12"/>
    <n v="8"/>
    <n v="6"/>
    <n v="8"/>
    <x v="1"/>
    <x v="1"/>
  </r>
  <r>
    <x v="5"/>
    <x v="1"/>
    <n v="9"/>
    <n v="8"/>
    <n v="3"/>
    <n v="5"/>
    <x v="1"/>
    <x v="2"/>
  </r>
  <r>
    <x v="5"/>
    <x v="0"/>
    <n v="9"/>
    <n v="6"/>
    <n v="0"/>
    <n v="0"/>
    <x v="1"/>
    <x v="2"/>
  </r>
  <r>
    <x v="6"/>
    <x v="1"/>
    <n v="9"/>
    <n v="9"/>
    <n v="1"/>
    <n v="1"/>
    <x v="1"/>
    <x v="2"/>
  </r>
  <r>
    <x v="6"/>
    <x v="0"/>
    <n v="9"/>
    <n v="5"/>
    <n v="3"/>
    <n v="5"/>
    <x v="1"/>
    <x v="2"/>
  </r>
  <r>
    <x v="6"/>
    <x v="3"/>
    <n v="9"/>
    <n v="5"/>
    <n v="3"/>
    <n v="8"/>
    <x v="1"/>
    <x v="2"/>
  </r>
  <r>
    <x v="7"/>
    <x v="1"/>
    <n v="9"/>
    <n v="8"/>
    <n v="5"/>
    <n v="9"/>
    <x v="1"/>
    <x v="2"/>
  </r>
  <r>
    <x v="7"/>
    <x v="2"/>
    <n v="9"/>
    <n v="6"/>
    <n v="2"/>
    <n v="4"/>
    <x v="1"/>
    <x v="2"/>
  </r>
  <r>
    <x v="8"/>
    <x v="1"/>
    <n v="9"/>
    <n v="7"/>
    <n v="3"/>
    <n v="7"/>
    <x v="1"/>
    <x v="2"/>
  </r>
  <r>
    <x v="8"/>
    <x v="0"/>
    <n v="9"/>
    <n v="6"/>
    <n v="1"/>
    <n v="1"/>
    <x v="1"/>
    <x v="2"/>
  </r>
  <r>
    <x v="8"/>
    <x v="3"/>
    <n v="9"/>
    <n v="2"/>
    <n v="1"/>
    <n v="1"/>
    <x v="1"/>
    <x v="2"/>
  </r>
  <r>
    <x v="8"/>
    <x v="2"/>
    <n v="9"/>
    <n v="5"/>
    <n v="3"/>
    <n v="5"/>
    <x v="1"/>
    <x v="2"/>
  </r>
  <r>
    <x v="9"/>
    <x v="0"/>
    <n v="9"/>
    <n v="6"/>
    <n v="2"/>
    <n v="3"/>
    <x v="1"/>
    <x v="3"/>
  </r>
  <r>
    <x v="9"/>
    <x v="3"/>
    <n v="9"/>
    <n v="4"/>
    <n v="3"/>
    <n v="4"/>
    <x v="1"/>
    <x v="3"/>
  </r>
  <r>
    <x v="9"/>
    <x v="1"/>
    <n v="9"/>
    <n v="8"/>
    <n v="6"/>
    <n v="12"/>
    <x v="1"/>
    <x v="3"/>
  </r>
  <r>
    <x v="10"/>
    <x v="1"/>
    <n v="9"/>
    <n v="8"/>
    <n v="4"/>
    <n v="6"/>
    <x v="0"/>
    <x v="3"/>
  </r>
  <r>
    <x v="10"/>
    <x v="0"/>
    <n v="9"/>
    <n v="4"/>
    <n v="0"/>
    <n v="0"/>
    <x v="0"/>
    <x v="3"/>
  </r>
  <r>
    <x v="11"/>
    <x v="1"/>
    <n v="9"/>
    <n v="8"/>
    <n v="6"/>
    <n v="12"/>
    <x v="2"/>
    <x v="3"/>
  </r>
  <r>
    <x v="11"/>
    <x v="2"/>
    <n v="9"/>
    <n v="3"/>
    <n v="2"/>
    <n v="2"/>
    <x v="2"/>
    <x v="3"/>
  </r>
  <r>
    <x v="11"/>
    <x v="0"/>
    <n v="9"/>
    <n v="7"/>
    <n v="2"/>
    <n v="5"/>
    <x v="2"/>
    <x v="3"/>
  </r>
  <r>
    <x v="12"/>
    <x v="1"/>
    <n v="9"/>
    <n v="9"/>
    <n v="6"/>
    <n v="12"/>
    <x v="1"/>
    <x v="3"/>
  </r>
  <r>
    <x v="12"/>
    <x v="0"/>
    <n v="9"/>
    <n v="5"/>
    <n v="3"/>
    <n v="5"/>
    <x v="1"/>
    <x v="3"/>
  </r>
  <r>
    <x v="13"/>
    <x v="1"/>
    <n v="9"/>
    <n v="9"/>
    <n v="5"/>
    <n v="10"/>
    <x v="1"/>
    <x v="4"/>
  </r>
  <r>
    <x v="13"/>
    <x v="0"/>
    <n v="9"/>
    <n v="4"/>
    <n v="3"/>
    <n v="5"/>
    <x v="1"/>
    <x v="4"/>
  </r>
  <r>
    <x v="14"/>
    <x v="1"/>
    <n v="12"/>
    <n v="10"/>
    <n v="6"/>
    <n v="10"/>
    <x v="0"/>
    <x v="4"/>
  </r>
  <r>
    <x v="14"/>
    <x v="0"/>
    <n v="12"/>
    <n v="9"/>
    <n v="3"/>
    <n v="6"/>
    <x v="0"/>
    <x v="4"/>
  </r>
  <r>
    <x v="15"/>
    <x v="1"/>
    <n v="9"/>
    <n v="6"/>
    <n v="4"/>
    <n v="8"/>
    <x v="2"/>
    <x v="4"/>
  </r>
  <r>
    <x v="15"/>
    <x v="0"/>
    <n v="9"/>
    <n v="5"/>
    <n v="2"/>
    <n v="4"/>
    <x v="2"/>
    <x v="4"/>
  </r>
  <r>
    <x v="16"/>
    <x v="1"/>
    <n v="9"/>
    <n v="7"/>
    <n v="2"/>
    <n v="4"/>
    <x v="2"/>
    <x v="4"/>
  </r>
  <r>
    <x v="16"/>
    <x v="0"/>
    <n v="9"/>
    <n v="6"/>
    <n v="1"/>
    <n v="3"/>
    <x v="2"/>
    <x v="4"/>
  </r>
  <r>
    <x v="17"/>
    <x v="1"/>
    <n v="9"/>
    <n v="9"/>
    <n v="5"/>
    <n v="9"/>
    <x v="1"/>
    <x v="5"/>
  </r>
  <r>
    <x v="17"/>
    <x v="0"/>
    <n v="9"/>
    <n v="7"/>
    <n v="5"/>
    <n v="8"/>
    <x v="1"/>
    <x v="5"/>
  </r>
  <r>
    <x v="18"/>
    <x v="1"/>
    <n v="9"/>
    <n v="8"/>
    <n v="2"/>
    <n v="2"/>
    <x v="0"/>
    <x v="5"/>
  </r>
  <r>
    <x v="18"/>
    <x v="0"/>
    <n v="9"/>
    <n v="6"/>
    <n v="3"/>
    <n v="4"/>
    <x v="0"/>
    <x v="5"/>
  </r>
  <r>
    <x v="18"/>
    <x v="4"/>
    <n v="9"/>
    <n v="2"/>
    <n v="2"/>
    <n v="2"/>
    <x v="0"/>
    <x v="5"/>
  </r>
  <r>
    <x v="19"/>
    <x v="1"/>
    <n v="9"/>
    <n v="7"/>
    <n v="2"/>
    <n v="2"/>
    <x v="1"/>
    <x v="6"/>
  </r>
  <r>
    <x v="19"/>
    <x v="0"/>
    <n v="9"/>
    <n v="3"/>
    <n v="1"/>
    <n v="1"/>
    <x v="1"/>
    <x v="6"/>
  </r>
  <r>
    <x v="20"/>
    <x v="1"/>
    <n v="9"/>
    <n v="6"/>
    <n v="3"/>
    <n v="7"/>
    <x v="1"/>
    <x v="6"/>
  </r>
  <r>
    <x v="20"/>
    <x v="0"/>
    <n v="9"/>
    <n v="6"/>
    <n v="6"/>
    <n v="11"/>
    <x v="1"/>
    <x v="6"/>
  </r>
  <r>
    <x v="21"/>
    <x v="1"/>
    <n v="9"/>
    <n v="7"/>
    <n v="4"/>
    <n v="7"/>
    <x v="1"/>
    <x v="7"/>
  </r>
  <r>
    <x v="21"/>
    <x v="0"/>
    <n v="9"/>
    <n v="3"/>
    <n v="1"/>
    <n v="3"/>
    <x v="1"/>
    <x v="7"/>
  </r>
  <r>
    <x v="22"/>
    <x v="1"/>
    <n v="9"/>
    <n v="8"/>
    <n v="7"/>
    <n v="14"/>
    <x v="1"/>
    <x v="8"/>
  </r>
  <r>
    <x v="22"/>
    <x v="0"/>
    <n v="9"/>
    <n v="2"/>
    <n v="1"/>
    <n v="1"/>
    <x v="1"/>
    <x v="8"/>
  </r>
  <r>
    <x v="23"/>
    <x v="1"/>
    <n v="9"/>
    <n v="8"/>
    <n v="4"/>
    <n v="7"/>
    <x v="0"/>
    <x v="8"/>
  </r>
  <r>
    <x v="23"/>
    <x v="0"/>
    <n v="9"/>
    <n v="6"/>
    <n v="5"/>
    <n v="8"/>
    <x v="0"/>
    <x v="8"/>
  </r>
  <r>
    <x v="24"/>
    <x v="1"/>
    <n v="9"/>
    <n v="8"/>
    <n v="1"/>
    <n v="2"/>
    <x v="2"/>
    <x v="8"/>
  </r>
  <r>
    <x v="24"/>
    <x v="0"/>
    <n v="9"/>
    <n v="7"/>
    <n v="1"/>
    <n v="1"/>
    <x v="2"/>
    <x v="8"/>
  </r>
  <r>
    <x v="25"/>
    <x v="1"/>
    <n v="9"/>
    <n v="9"/>
    <n v="3"/>
    <n v="5"/>
    <x v="1"/>
    <x v="9"/>
  </r>
  <r>
    <x v="25"/>
    <x v="0"/>
    <n v="9"/>
    <n v="6"/>
    <n v="2"/>
    <n v="3"/>
    <x v="1"/>
    <x v="9"/>
  </r>
  <r>
    <x v="26"/>
    <x v="1"/>
    <n v="9"/>
    <n v="9"/>
    <n v="4"/>
    <n v="11"/>
    <x v="1"/>
    <x v="10"/>
  </r>
  <r>
    <x v="26"/>
    <x v="0"/>
    <n v="9"/>
    <n v="9"/>
    <n v="2"/>
    <n v="2"/>
    <x v="1"/>
    <x v="10"/>
  </r>
  <r>
    <x v="26"/>
    <x v="3"/>
    <n v="9"/>
    <n v="4"/>
    <n v="1"/>
    <n v="3"/>
    <x v="1"/>
    <x v="10"/>
  </r>
  <r>
    <x v="27"/>
    <x v="1"/>
    <n v="9"/>
    <n v="9"/>
    <n v="1"/>
    <n v="3"/>
    <x v="1"/>
    <x v="10"/>
  </r>
  <r>
    <x v="27"/>
    <x v="0"/>
    <n v="9"/>
    <n v="9"/>
    <n v="4"/>
    <n v="7"/>
    <x v="1"/>
    <x v="10"/>
  </r>
  <r>
    <x v="27"/>
    <x v="3"/>
    <n v="9"/>
    <n v="4"/>
    <n v="4"/>
    <n v="9"/>
    <x v="1"/>
    <x v="10"/>
  </r>
  <r>
    <x v="27"/>
    <x v="2"/>
    <n v="9"/>
    <n v="2"/>
    <n v="2"/>
    <n v="5"/>
    <x v="1"/>
    <x v="10"/>
  </r>
  <r>
    <x v="28"/>
    <x v="1"/>
    <n v="9"/>
    <n v="9"/>
    <n v="4"/>
    <n v="9"/>
    <x v="0"/>
    <x v="10"/>
  </r>
  <r>
    <x v="28"/>
    <x v="0"/>
    <n v="9"/>
    <n v="8"/>
    <n v="4"/>
    <n v="7"/>
    <x v="0"/>
    <x v="10"/>
  </r>
  <r>
    <x v="29"/>
    <x v="0"/>
    <n v="9"/>
    <n v="7"/>
    <n v="5"/>
    <n v="9"/>
    <x v="1"/>
    <x v="11"/>
  </r>
  <r>
    <x v="29"/>
    <x v="3"/>
    <n v="9"/>
    <n v="7"/>
    <n v="2"/>
    <n v="6"/>
    <x v="1"/>
    <x v="11"/>
  </r>
  <r>
    <x v="30"/>
    <x v="0"/>
    <n v="9"/>
    <n v="8"/>
    <n v="5"/>
    <n v="8"/>
    <x v="1"/>
    <x v="11"/>
  </r>
  <r>
    <x v="30"/>
    <x v="2"/>
    <n v="9"/>
    <n v="2"/>
    <n v="1"/>
    <n v="1"/>
    <x v="1"/>
    <x v="11"/>
  </r>
  <r>
    <x v="31"/>
    <x v="0"/>
    <n v="9"/>
    <n v="9"/>
    <n v="7"/>
    <n v="12"/>
    <x v="1"/>
    <x v="12"/>
  </r>
  <r>
    <x v="31"/>
    <x v="3"/>
    <n v="9"/>
    <n v="3"/>
    <n v="3"/>
    <n v="5"/>
    <x v="1"/>
    <x v="12"/>
  </r>
  <r>
    <x v="32"/>
    <x v="0"/>
    <n v="9"/>
    <n v="6"/>
    <n v="2"/>
    <n v="4"/>
    <x v="1"/>
    <x v="13"/>
  </r>
  <r>
    <x v="32"/>
    <x v="3"/>
    <n v="9"/>
    <n v="7"/>
    <n v="1"/>
    <n v="1"/>
    <x v="1"/>
    <x v="13"/>
  </r>
  <r>
    <x v="33"/>
    <x v="0"/>
    <n v="9"/>
    <n v="8"/>
    <n v="3"/>
    <n v="3"/>
    <x v="1"/>
    <x v="14"/>
  </r>
  <r>
    <x v="33"/>
    <x v="3"/>
    <n v="9"/>
    <n v="3"/>
    <n v="1"/>
    <n v="1"/>
    <x v="1"/>
    <x v="14"/>
  </r>
  <r>
    <x v="34"/>
    <x v="0"/>
    <n v="9"/>
    <n v="7"/>
    <n v="2"/>
    <n v="3"/>
    <x v="1"/>
    <x v="14"/>
  </r>
  <r>
    <x v="34"/>
    <x v="3"/>
    <n v="9"/>
    <n v="5"/>
    <n v="2"/>
    <n v="2"/>
    <x v="1"/>
    <x v="14"/>
  </r>
  <r>
    <x v="35"/>
    <x v="0"/>
    <n v="9"/>
    <n v="7"/>
    <n v="4"/>
    <n v="5"/>
    <x v="1"/>
    <x v="15"/>
  </r>
  <r>
    <x v="35"/>
    <x v="1"/>
    <n v="9"/>
    <n v="8"/>
    <n v="3"/>
    <n v="6"/>
    <x v="1"/>
    <x v="15"/>
  </r>
  <r>
    <x v="36"/>
    <x v="0"/>
    <n v="9"/>
    <n v="7"/>
    <n v="4"/>
    <n v="6"/>
    <x v="1"/>
    <x v="16"/>
  </r>
  <r>
    <x v="36"/>
    <x v="1"/>
    <n v="9"/>
    <n v="9"/>
    <n v="4"/>
    <n v="8"/>
    <x v="1"/>
    <x v="16"/>
  </r>
  <r>
    <x v="37"/>
    <x v="0"/>
    <n v="9"/>
    <n v="7"/>
    <n v="3"/>
    <n v="8"/>
    <x v="1"/>
    <x v="17"/>
  </r>
  <r>
    <x v="37"/>
    <x v="1"/>
    <n v="9"/>
    <n v="9"/>
    <n v="4"/>
    <n v="5"/>
    <x v="1"/>
    <x v="17"/>
  </r>
  <r>
    <x v="38"/>
    <x v="0"/>
    <n v="9"/>
    <n v="8"/>
    <n v="1"/>
    <n v="3"/>
    <x v="1"/>
    <x v="18"/>
  </r>
  <r>
    <x v="38"/>
    <x v="1"/>
    <n v="9"/>
    <n v="7"/>
    <n v="3"/>
    <n v="5"/>
    <x v="1"/>
    <x v="18"/>
  </r>
  <r>
    <x v="39"/>
    <x v="0"/>
    <n v="9"/>
    <n v="8"/>
    <n v="2"/>
    <n v="4"/>
    <x v="1"/>
    <x v="19"/>
  </r>
  <r>
    <x v="39"/>
    <x v="1"/>
    <n v="9"/>
    <n v="8"/>
    <n v="4"/>
    <n v="7"/>
    <x v="1"/>
    <x v="19"/>
  </r>
  <r>
    <x v="40"/>
    <x v="0"/>
    <n v="9"/>
    <n v="8"/>
    <n v="1"/>
    <n v="1"/>
    <x v="1"/>
    <x v="19"/>
  </r>
  <r>
    <x v="40"/>
    <x v="1"/>
    <n v="9"/>
    <n v="9"/>
    <n v="2"/>
    <n v="3"/>
    <x v="1"/>
    <x v="19"/>
  </r>
  <r>
    <x v="40"/>
    <x v="3"/>
    <n v="9"/>
    <n v="6"/>
    <n v="3"/>
    <n v="4"/>
    <x v="1"/>
    <x v="19"/>
  </r>
  <r>
    <x v="40"/>
    <x v="2"/>
    <n v="9"/>
    <n v="3"/>
    <n v="2"/>
    <n v="6"/>
    <x v="1"/>
    <x v="19"/>
  </r>
  <r>
    <x v="41"/>
    <x v="0"/>
    <n v="9"/>
    <n v="9"/>
    <n v="3"/>
    <n v="7"/>
    <x v="1"/>
    <x v="20"/>
  </r>
  <r>
    <x v="41"/>
    <x v="1"/>
    <n v="9"/>
    <n v="9"/>
    <n v="7"/>
    <n v="12"/>
    <x v="1"/>
    <x v="20"/>
  </r>
  <r>
    <x v="42"/>
    <x v="0"/>
    <n v="9"/>
    <n v="7"/>
    <n v="4"/>
    <n v="11"/>
    <x v="1"/>
    <x v="20"/>
  </r>
  <r>
    <x v="42"/>
    <x v="1"/>
    <n v="9"/>
    <n v="8"/>
    <n v="0"/>
    <n v="0"/>
    <x v="1"/>
    <x v="20"/>
  </r>
  <r>
    <x v="42"/>
    <x v="3"/>
    <n v="9"/>
    <n v="4"/>
    <n v="1"/>
    <n v="1"/>
    <x v="1"/>
    <x v="20"/>
  </r>
  <r>
    <x v="43"/>
    <x v="0"/>
    <n v="9"/>
    <n v="8"/>
    <n v="5"/>
    <n v="10"/>
    <x v="0"/>
    <x v="20"/>
  </r>
  <r>
    <x v="43"/>
    <x v="1"/>
    <n v="9"/>
    <n v="8"/>
    <n v="5"/>
    <n v="14"/>
    <x v="0"/>
    <x v="20"/>
  </r>
  <r>
    <x v="43"/>
    <x v="3"/>
    <n v="9"/>
    <n v="6"/>
    <n v="2"/>
    <n v="2"/>
    <x v="0"/>
    <x v="20"/>
  </r>
  <r>
    <x v="44"/>
    <x v="0"/>
    <n v="12"/>
    <n v="10"/>
    <n v="4"/>
    <n v="10"/>
    <x v="1"/>
    <x v="21"/>
  </r>
  <r>
    <x v="44"/>
    <x v="1"/>
    <n v="12"/>
    <n v="10"/>
    <n v="4"/>
    <n v="7"/>
    <x v="1"/>
    <x v="21"/>
  </r>
  <r>
    <x v="45"/>
    <x v="0"/>
    <n v="9"/>
    <n v="7"/>
    <n v="2"/>
    <n v="2"/>
    <x v="2"/>
    <x v="21"/>
  </r>
  <r>
    <x v="45"/>
    <x v="1"/>
    <n v="9"/>
    <n v="9"/>
    <n v="5"/>
    <n v="14"/>
    <x v="2"/>
    <x v="21"/>
  </r>
  <r>
    <x v="46"/>
    <x v="0"/>
    <n v="9"/>
    <n v="8"/>
    <n v="2"/>
    <n v="5"/>
    <x v="0"/>
    <x v="21"/>
  </r>
  <r>
    <x v="46"/>
    <x v="1"/>
    <n v="9"/>
    <n v="7"/>
    <n v="4"/>
    <n v="9"/>
    <x v="0"/>
    <x v="21"/>
  </r>
  <r>
    <x v="47"/>
    <x v="0"/>
    <n v="9"/>
    <n v="9"/>
    <n v="6"/>
    <n v="13"/>
    <x v="1"/>
    <x v="22"/>
  </r>
  <r>
    <x v="47"/>
    <x v="1"/>
    <n v="9"/>
    <n v="9"/>
    <n v="4"/>
    <n v="8"/>
    <x v="1"/>
    <x v="22"/>
  </r>
  <r>
    <x v="48"/>
    <x v="0"/>
    <n v="12"/>
    <n v="12"/>
    <n v="5"/>
    <n v="8"/>
    <x v="1"/>
    <x v="22"/>
  </r>
  <r>
    <x v="48"/>
    <x v="1"/>
    <n v="12"/>
    <n v="12"/>
    <n v="6"/>
    <n v="12"/>
    <x v="1"/>
    <x v="22"/>
  </r>
  <r>
    <x v="49"/>
    <x v="0"/>
    <n v="9"/>
    <n v="7"/>
    <n v="4"/>
    <n v="6"/>
    <x v="1"/>
    <x v="23"/>
  </r>
  <r>
    <x v="49"/>
    <x v="1"/>
    <n v="9"/>
    <n v="7"/>
    <n v="5"/>
    <n v="10"/>
    <x v="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4DFE24-5818-DD4B-8D43-D4D0DBD389B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und">
  <location ref="H932:Q938" firstHeaderRow="0" firstDataRow="1" firstDataCol="1" rowPageCount="3" colPageCount="1"/>
  <pivotFields count="16">
    <pivotField axis="axisPage" multipleItemSelectionAllowed="1" showAll="0">
      <items count="3">
        <item h="1" x="1"/>
        <item x="0"/>
        <item t="default"/>
      </items>
    </pivotField>
    <pivotField axis="axisPage" multipleItemSelectionAllowed="1" showAll="0">
      <items count="5">
        <item h="1" x="1"/>
        <item h="1" x="2"/>
        <item x="0"/>
        <item h="1" x="3"/>
        <item t="default"/>
      </items>
    </pivotField>
    <pivotField axis="axisPage" multipleItemSelectionAllowed="1" showAll="0">
      <items count="5">
        <item h="1" x="2"/>
        <item x="1"/>
        <item h="1" x="0"/>
        <item h="1" x="3"/>
        <item t="default"/>
      </items>
    </pivotField>
    <pivotField numFmtId="16" showAll="0"/>
    <pivotField showAll="0"/>
    <pivotField axis="axisRow" showAll="0">
      <items count="6">
        <item x="0"/>
        <item x="1"/>
        <item x="2"/>
        <item x="3"/>
        <item x="4"/>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5"/>
  </rowFields>
  <rowItems count="6">
    <i>
      <x/>
    </i>
    <i>
      <x v="1"/>
    </i>
    <i>
      <x v="2"/>
    </i>
    <i>
      <x v="3"/>
    </i>
    <i>
      <x v="4"/>
    </i>
    <i t="grand">
      <x/>
    </i>
  </rowItems>
  <colFields count="1">
    <field x="-2"/>
  </colFields>
  <colItems count="9">
    <i>
      <x/>
    </i>
    <i i="1">
      <x v="1"/>
    </i>
    <i i="2">
      <x v="2"/>
    </i>
    <i i="3">
      <x v="3"/>
    </i>
    <i i="4">
      <x v="4"/>
    </i>
    <i i="5">
      <x v="5"/>
    </i>
    <i i="6">
      <x v="6"/>
    </i>
    <i i="7">
      <x v="7"/>
    </i>
    <i i="8">
      <x v="8"/>
    </i>
  </colItems>
  <pageFields count="3">
    <pageField fld="0" hier="-1"/>
    <pageField fld="1" hier="-1"/>
    <pageField fld="2" hier="-1"/>
  </pageFields>
  <dataFields count="9">
    <dataField name="Average of Caleb" fld="7" subtotal="average" baseField="0" baseItem="0" numFmtId="2"/>
    <dataField name="Average of Joshua" fld="8" subtotal="average" baseField="0" baseItem="0" numFmtId="2"/>
    <dataField name="Average of Quadri" fld="9" subtotal="average" baseField="0" baseItem="0" numFmtId="2"/>
    <dataField name="Average of Daniel" fld="10" subtotal="average" baseField="0" baseItem="0" numFmtId="2"/>
    <dataField name="Average of Qianzi" fld="11" subtotal="average" baseField="0" baseItem="0" numFmtId="2"/>
    <dataField name="Average of Kenny" fld="12" subtotal="average" baseField="0" baseItem="0"/>
    <dataField name="Average of Veronica" fld="13" subtotal="average" baseField="0" baseItem="0" numFmtId="2"/>
    <dataField name="Average of Joseph" fld="14" subtotal="average" baseField="0" baseItem="0" numFmtId="2"/>
    <dataField name="Average of Theo" fld="15" subtotal="average" baseField="0" baseItem="0"/>
  </dataFields>
  <formats count="2">
    <format dxfId="51">
      <pivotArea outline="0" collapsedLevelsAreSubtotals="1" fieldPosition="0">
        <references count="1">
          <reference field="4294967294" count="3" selected="0">
            <x v="1"/>
            <x v="2"/>
            <x v="3"/>
          </reference>
        </references>
      </pivotArea>
    </format>
    <format dxfId="50">
      <pivotArea outline="0" collapsedLevelsAreSubtotals="1" fieldPosition="0">
        <references count="1">
          <reference field="4294967294" count="1" selected="0">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87DD5-6CB1-E44C-BFC2-9C1BA541B4DF}"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layer" colHeaderCaption="Opponents">
  <location ref="P6:V11" firstHeaderRow="0" firstDataRow="1" firstDataCol="1" rowPageCount="4" colPageCount="1"/>
  <pivotFields count="15">
    <pivotField axis="axisPage" showAll="0">
      <items count="3">
        <item x="1"/>
        <item x="0"/>
        <item t="default"/>
      </items>
    </pivotField>
    <pivotField axis="axisPage" showAll="0">
      <items count="6">
        <item x="1"/>
        <item x="2"/>
        <item x="0"/>
        <item m="1" x="4"/>
        <item x="3"/>
        <item t="default"/>
      </items>
    </pivotField>
    <pivotField axis="axisPage" showAll="0">
      <items count="5">
        <item x="2"/>
        <item x="1"/>
        <item x="0"/>
        <item x="3"/>
        <item t="default"/>
      </items>
    </pivotField>
    <pivotField numFmtId="14" showAll="0">
      <items count="1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t="default"/>
      </items>
    </pivotField>
    <pivotField showAll="0"/>
    <pivotField axis="axisRow" showAll="0">
      <items count="9">
        <item x="0"/>
        <item x="3"/>
        <item x="7"/>
        <item x="1"/>
        <item x="6"/>
        <item x="5"/>
        <item x="2"/>
        <item x="4"/>
        <item t="default"/>
      </items>
    </pivotField>
    <pivotField axis="axisPage" showAll="0">
      <items count="3">
        <item x="0"/>
        <item x="1"/>
        <item t="default"/>
      </items>
    </pivotField>
    <pivotField dataField="1" showAll="0"/>
    <pivotField showAll="0">
      <items count="9">
        <item h="1" x="2"/>
        <item h="1" x="3"/>
        <item h="1" x="7"/>
        <item x="0"/>
        <item h="1" x="6"/>
        <item h="1" x="5"/>
        <item h="1" x="1"/>
        <item h="1" x="4"/>
        <item t="default"/>
      </items>
    </pivotField>
    <pivotField showAll="0"/>
    <pivotField dataField="1" showAll="0"/>
    <pivotField dataField="1" showAll="0"/>
    <pivotField dataField="1" showAll="0"/>
    <pivotField dataField="1" showAll="0"/>
    <pivotField dataField="1" dragToRow="0" dragToCol="0" dragToPage="0" showAll="0" defaultSubtotal="0"/>
  </pivotFields>
  <rowFields count="1">
    <field x="5"/>
  </rowFields>
  <rowItems count="5">
    <i>
      <x/>
    </i>
    <i>
      <x v="1"/>
    </i>
    <i>
      <x v="6"/>
    </i>
    <i>
      <x v="7"/>
    </i>
    <i t="grand">
      <x/>
    </i>
  </rowItems>
  <colFields count="1">
    <field x="-2"/>
  </colFields>
  <colItems count="6">
    <i>
      <x/>
    </i>
    <i i="1">
      <x v="1"/>
    </i>
    <i i="2">
      <x v="2"/>
    </i>
    <i i="3">
      <x v="3"/>
    </i>
    <i i="4">
      <x v="4"/>
    </i>
    <i i="5">
      <x v="5"/>
    </i>
  </colItems>
  <pageFields count="4">
    <pageField fld="0" hier="-1"/>
    <pageField fld="1" hier="-1"/>
    <pageField fld="2" hier="-1"/>
    <pageField fld="6" hier="-1"/>
  </pageFields>
  <dataFields count="6">
    <dataField name="Matchups" fld="13" baseField="0" baseItem="0"/>
    <dataField name="Wins" fld="10" baseField="0" baseItem="0"/>
    <dataField name="Ties" fld="12" baseField="0" baseItem="0"/>
    <dataField name="Losses" fld="11" baseField="0" baseItem="0"/>
    <dataField name="Win Rate" fld="14" baseField="0" baseItem="0" numFmtId="10"/>
    <dataField name="Average Score" fld="7" subtotal="average" baseField="0" baseItem="0" numFmtId="2"/>
  </dataFields>
  <formats count="12">
    <format dxfId="26">
      <pivotArea grandRow="1" outline="0" collapsedLevelsAreSubtotals="1" fieldPosition="0"/>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8" type="button" dataOnly="0" labelOnly="1" outline="0"/>
    </format>
    <format dxfId="21">
      <pivotArea type="topRight" dataOnly="0" labelOnly="1" outline="0" fieldPosition="0"/>
    </format>
    <format dxfId="20">
      <pivotArea field="5" type="button" dataOnly="0" labelOnly="1" outline="0" axis="axisRow" fieldPosition="0"/>
    </format>
    <format dxfId="19">
      <pivotArea dataOnly="0" labelOnly="1" grandRow="1" outline="0" fieldPosition="0"/>
    </format>
    <format dxfId="18">
      <pivotArea dataOnly="0" labelOnly="1" grandCol="1" outline="0" fieldPosition="0"/>
    </format>
    <format dxfId="17">
      <pivotArea outline="0" fieldPosition="0">
        <references count="1">
          <reference field="4294967294" count="1">
            <x v="4"/>
          </reference>
        </references>
      </pivotArea>
    </format>
    <format dxfId="16">
      <pivotArea field="5" grandRow="1" outline="0" collapsedLevelsAreSubtotals="1" axis="axisRow" fieldPosition="0">
        <references count="1">
          <reference field="4294967294" count="4" selected="0">
            <x v="0"/>
            <x v="1"/>
            <x v="2"/>
            <x v="3"/>
          </reference>
        </references>
      </pivotArea>
    </format>
    <format dxfId="15">
      <pivotArea outline="0" fieldPosition="0">
        <references count="1">
          <reference field="4294967294" count="1">
            <x v="5"/>
          </reference>
        </references>
      </pivotArea>
    </format>
  </formats>
  <pivotTableStyleInfo name="PivotStyleLight16" showRowHeaders="1" showColHeaders="1" showRowStripes="0" showColStripes="0" showLastColumn="1"/>
  <filters count="1">
    <filter fld="3" type="dateBetween" evalOrder="-1" id="32" name="Date">
      <autoFilter ref="A1">
        <filterColumn colId="0">
          <customFilters and="1">
            <customFilter operator="greaterThanOrEqual" val="46054"/>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3BDBC-8324-674D-861D-834D76EFC705}"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5:M8" firstHeaderRow="0" firstDataRow="1" firstDataCol="1" rowPageCount="2" colPageCount="1"/>
  <pivotFields count="8">
    <pivotField numFmtId="14" showAll="0">
      <items count="1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showAll="0"/>
    <pivotField axis="axisPage" showAll="0">
      <items count="3">
        <item x="0"/>
        <item x="1"/>
        <item t="default"/>
      </items>
    </pivotField>
    <pivotField axis="axisRow" showAll="0">
      <items count="3">
        <item x="1"/>
        <item x="0"/>
        <item t="default"/>
      </items>
    </pivotField>
    <pivotField axis="axisPage" showAll="0">
      <items count="5">
        <item x="0"/>
        <item m="1" x="3"/>
        <item x="1"/>
        <item x="2"/>
        <item t="default"/>
      </items>
    </pivotField>
    <pivotField multipleItemSelectionAllowed="1" showAll="0">
      <items count="17">
        <item h="1" x="11"/>
        <item h="1" x="12"/>
        <item h="1" x="6"/>
        <item h="1" x="13"/>
        <item h="1" x="3"/>
        <item x="5"/>
        <item h="1" x="10"/>
        <item h="1" x="2"/>
        <item h="1" x="4"/>
        <item h="1" x="8"/>
        <item h="1" x="9"/>
        <item h="1" x="0"/>
        <item h="1" x="7"/>
        <item h="1" x="1"/>
        <item h="1" x="14"/>
        <item h="1" x="15"/>
        <item t="default"/>
      </items>
    </pivotField>
    <pivotField dataField="1" showAll="0"/>
    <pivotField dragToRow="0" dragToCol="0" dragToPage="0" showAll="0" defaultSubtotal="0"/>
  </pivotFields>
  <rowFields count="1">
    <field x="3"/>
  </rowFields>
  <rowItems count="3">
    <i>
      <x/>
    </i>
    <i>
      <x v="1"/>
    </i>
    <i t="grand">
      <x/>
    </i>
  </rowItems>
  <colFields count="1">
    <field x="-2"/>
  </colFields>
  <colItems count="2">
    <i>
      <x/>
    </i>
    <i i="1">
      <x v="1"/>
    </i>
  </colItems>
  <pageFields count="2">
    <pageField fld="4" hier="-1"/>
    <pageField fld="2" hier="-1"/>
  </pageFields>
  <dataFields count="2">
    <dataField name="Opportunities" fld="6" subtotal="count" baseField="0" baseItem="0"/>
    <dataField name="Success Rate" fld="6" subtotal="average" baseField="0" baseItem="0" numFmtId="10"/>
  </dataFields>
  <formats count="2">
    <format dxfId="5">
      <pivotArea outline="0" collapsedLevelsAreSubtotals="1" fieldPosition="0"/>
    </format>
    <format dxfId="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11B072-6848-A942-854D-349F30419848}" name="PivotTable1" cacheId="5" applyNumberFormats="0" applyBorderFormats="0" applyFontFormats="0" applyPatternFormats="0" applyAlignmentFormats="0" applyWidthHeightFormats="1" dataCaption="Values" grandTotalCaption="Total" updatedVersion="8" minRefreshableVersion="5" useAutoFormatting="1" itemPrintTitles="1" createdVersion="8" indent="0" outline="1" outlineData="1" multipleFieldFilters="0" rowHeaderCaption="Players">
  <location ref="L3:U11" firstHeaderRow="0" firstDataRow="1" firstDataCol="1"/>
  <pivotFields count="14">
    <pivotField showAll="0"/>
    <pivotField axis="axisRow" dataField="1" showAll="0">
      <items count="8">
        <item x="0"/>
        <item x="2"/>
        <item x="1"/>
        <item x="3"/>
        <item x="4"/>
        <item x="5"/>
        <item x="6"/>
        <item t="default"/>
      </items>
    </pivotField>
    <pivotField showAll="0"/>
    <pivotField dataField="1" showAll="0"/>
    <pivotField dataField="1" showAll="0"/>
    <pivotField showAll="0"/>
    <pivotField showAll="0">
      <items count="6">
        <item h="1" m="1" x="4"/>
        <item x="3"/>
        <item h="1" x="0"/>
        <item h="1" x="2"/>
        <item h="1" x="1"/>
        <item t="default"/>
      </items>
    </pivotField>
    <pivotField numFmtId="16" showAll="0">
      <items count="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8">
    <i>
      <x/>
    </i>
    <i>
      <x v="1"/>
    </i>
    <i>
      <x v="2"/>
    </i>
    <i>
      <x v="3"/>
    </i>
    <i>
      <x v="4"/>
    </i>
    <i>
      <x v="5"/>
    </i>
    <i>
      <x v="6"/>
    </i>
    <i t="grand">
      <x/>
    </i>
  </rowItems>
  <colFields count="1">
    <field x="-2"/>
  </colFields>
  <colItems count="9">
    <i>
      <x/>
    </i>
    <i i="1">
      <x v="1"/>
    </i>
    <i i="2">
      <x v="2"/>
    </i>
    <i i="3">
      <x v="3"/>
    </i>
    <i i="4">
      <x v="4"/>
    </i>
    <i i="5">
      <x v="5"/>
    </i>
    <i i="6">
      <x v="6"/>
    </i>
    <i i="7">
      <x v="7"/>
    </i>
    <i i="8">
      <x v="8"/>
    </i>
  </colItems>
  <dataFields count="9">
    <dataField name="Games" fld="1" subtotal="count" baseField="0" baseItem="0" numFmtId="1"/>
    <dataField name="Hits" fld="3" subtotal="average" baseField="0" baseItem="0"/>
    <dataField name="Landing" fld="4" subtotal="average" baseField="0" baseItem="0"/>
    <dataField name="Accuracy" fld="9" baseField="0" baseItem="0"/>
    <dataField name="Touch" fld="8" baseField="0" baseItem="0"/>
    <dataField name="Efficiency" fld="10" baseField="0" baseItem="0"/>
    <dataField name="Land Rate" fld="11" baseField="0" baseItem="0"/>
    <dataField name="PPT" fld="12" baseField="0" baseItem="0"/>
    <dataField name="PPG" fld="13" baseField="0" baseItem="0"/>
  </dataFields>
  <formats count="5">
    <format dxfId="67">
      <pivotArea collapsedLevelsAreSubtotals="1" fieldPosition="0">
        <references count="1">
          <reference field="1" count="0"/>
        </references>
      </pivotArea>
    </format>
    <format dxfId="66">
      <pivotArea grandRow="1" outline="0" collapsedLevelsAreSubtotals="1" fieldPosition="0"/>
    </format>
    <format dxfId="65">
      <pivotArea outline="0" collapsedLevelsAreSubtotals="1" fieldPosition="0">
        <references count="1">
          <reference field="4294967294" count="1" selected="0">
            <x v="0"/>
          </reference>
        </references>
      </pivotArea>
    </format>
    <format dxfId="64">
      <pivotArea collapsedLevelsAreSubtotals="1" fieldPosition="0">
        <references count="2">
          <reference field="4294967294" count="1" selected="0">
            <x v="4"/>
          </reference>
          <reference field="1" count="1">
            <x v="2"/>
          </reference>
        </references>
      </pivotArea>
    </format>
    <format dxfId="63">
      <pivotArea collapsedLevelsAreSubtotals="1" fieldPosition="0">
        <references count="2">
          <reference field="4294967294" count="1" selected="0">
            <x v="4"/>
          </reference>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33CA35D-0445-414C-90A3-4D8439A298C5}" autoFormatId="16" applyNumberFormats="0" applyBorderFormats="0" applyFontFormats="0" applyPatternFormats="0" applyAlignmentFormats="0" applyWidthHeightFormats="0">
  <queryTableRefresh nextId="13" unboundColumnsRight="2">
    <queryTableFields count="12">
      <queryTableField id="1" name="Angle" tableColumnId="1"/>
      <queryTableField id="2" name="Height" tableColumnId="2"/>
      <queryTableField id="3" name="Base" tableColumnId="3"/>
      <queryTableField id="4" name="Date" tableColumnId="4"/>
      <queryTableField id="5" name="Game" tableColumnId="5"/>
      <queryTableField id="6" name="Order" tableColumnId="6"/>
      <queryTableField id="7" name="Rounds" tableColumnId="7"/>
      <queryTableField id="8" name="Player" tableColumnId="8"/>
      <queryTableField id="9" name="Total Score" tableColumnId="9"/>
      <queryTableField id="10" name="Victory" tableColumnId="10"/>
      <queryTableField id="11" dataBound="0"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5CB6A04-A460-0347-925D-3405E4419CC1}" autoFormatId="16" applyNumberFormats="0" applyBorderFormats="0" applyFontFormats="0" applyPatternFormats="0" applyAlignmentFormats="0" applyWidthHeightFormats="0">
  <queryTableRefresh nextId="44">
    <queryTableFields count="14">
      <queryTableField id="26" name="angle" tableColumnId="20"/>
      <queryTableField id="27" name="height" tableColumnId="21"/>
      <queryTableField id="28" name="base" tableColumnId="22"/>
      <queryTableField id="29" name="Date" tableColumnId="23"/>
      <queryTableField id="5" name="Game" tableColumnId="5"/>
      <queryTableField id="7" name="Player" tableColumnId="7"/>
      <queryTableField id="30" name="Order" tableColumnId="24"/>
      <queryTableField id="8" name="Total Score" tableColumnId="8"/>
      <queryTableField id="18" name="Opponent" tableColumnId="18"/>
      <queryTableField id="19" name="Result" tableColumnId="19"/>
      <queryTableField id="36" name="Win" tableColumnId="1"/>
      <queryTableField id="37" name="Loss" tableColumnId="2"/>
      <queryTableField id="38" name="Tie" tableColumnId="3"/>
      <queryTableField id="39" name="Total Game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45387A3-7838-3A4E-AB66-4A6A9CC6597C}" autoFormatId="16" applyNumberFormats="0" applyBorderFormats="0" applyFontFormats="0" applyPatternFormats="0" applyAlignmentFormats="0" applyWidthHeightFormats="0">
  <queryTableRefresh nextId="46">
    <queryTableFields count="7">
      <queryTableField id="44" name="Date" tableColumnId="1"/>
      <queryTableField id="5" name="Game" tableColumnId="5"/>
      <queryTableField id="42" name="First" tableColumnId="42"/>
      <queryTableField id="36" name="Player" tableColumnId="36"/>
      <queryTableField id="39" name="Round" tableColumnId="39"/>
      <queryTableField id="40" name="Deficit" tableColumnId="40"/>
      <queryTableField id="41" name="Success"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 xr10:uid="{62277997-43EB-234B-AEC1-7EC7D5C2B1FF}" sourceName="Height">
  <pivotTables>
    <pivotTable tabId="2" name="PivotTable1"/>
  </pivotTables>
  <data>
    <tabular pivotCacheId="810021523">
      <items count="5">
        <i x="3" s="1"/>
        <i x="0"/>
        <i x="2"/>
        <i x="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icit" xr10:uid="{D600AA0D-FC73-D344-A919-31BDA99BEEBF}" sourceName="Deficit">
  <pivotTables>
    <pivotTable tabId="6" name="PivotTable1"/>
  </pivotTables>
  <data>
    <tabular pivotCacheId="704403325">
      <items count="16">
        <i x="11"/>
        <i x="12"/>
        <i x="6"/>
        <i x="13"/>
        <i x="3"/>
        <i x="5" s="1"/>
        <i x="10"/>
        <i x="2"/>
        <i x="4"/>
        <i x="8"/>
        <i x="9"/>
        <i x="0"/>
        <i x="7"/>
        <i x="1"/>
        <i x="14"/>
        <i x="1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1" xr10:uid="{D9DEF886-3769-2346-AA33-AD6C3B10DE41}" sourceName="Height">
  <data>
    <tabular pivotCacheId="21874688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nent" xr10:uid="{9C22DF30-3BE1-6E4E-AE1C-577B1DCAA569}" sourceName="Opponent">
  <pivotTables>
    <pivotTable tabId="7" name="PivotTable1"/>
  </pivotTables>
  <data>
    <tabular pivotCacheId="1087057427">
      <items count="8">
        <i x="2"/>
        <i x="3"/>
        <i x="0" s="1"/>
        <i x="1"/>
        <i x="4"/>
        <i x="7" nd="1"/>
        <i x="6"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nent" xr10:uid="{EB0B97E7-656C-9C41-85A2-6F4F98BA8513}" cache="Slicer_Opponent" caption="Oppone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ficit" xr10:uid="{F3710C9D-0D71-244E-8E6F-0AB0B0462B3F}" cache="Slicer_Deficit" caption="Defici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ight" xr10:uid="{15725CD2-2E2F-584B-B6A5-8323789ECEF2}" cache="Slicer_Height" caption="Height" rowHeight="251883"/>
  <slicer name="Height 1" xr10:uid="{45777FE9-DD32-5740-A0BC-60445FADC435}" cache="Slicer_Height1" caption="Height"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E34D67-BE40-8D4B-95B5-0F0DFCFF4EA9}" name="Table5" displayName="Table5" ref="A1:Q922" totalsRowShown="0" headerRowDxfId="49" dataDxfId="48">
  <autoFilter ref="A1:Q922" xr:uid="{3EE34D67-BE40-8D4B-95B5-0F0DFCFF4EA9}"/>
  <tableColumns count="17">
    <tableColumn id="1" xr3:uid="{7C780070-9569-444B-A52F-0E8A91DB4571}" name="Angle" dataDxfId="47"/>
    <tableColumn id="2" xr3:uid="{6A2455D2-C0D1-3E47-9573-5467348A28F5}" name="Height" dataDxfId="46"/>
    <tableColumn id="3" xr3:uid="{DA8AD22B-CF46-8840-B3B1-48A8E02DEC4B}" name="Base" dataDxfId="45"/>
    <tableColumn id="17" xr3:uid="{3DA43E27-B6FC-9245-9E8C-B6DC53ED0031}" name="Board" dataDxfId="44"/>
    <tableColumn id="4" xr3:uid="{7E03E195-D8E2-0B4F-993C-AAC3DF4EBC08}" name="Date" dataDxfId="43"/>
    <tableColumn id="5" xr3:uid="{F7F2F77E-EE84-B641-8C64-31EBC9070D52}" name="Game" dataDxfId="42"/>
    <tableColumn id="6" xr3:uid="{691400A5-6CD9-9446-8CC7-4233F227B2FC}" name="Round" dataDxfId="41"/>
    <tableColumn id="7" xr3:uid="{1BE729AE-2EF6-714E-B023-F1EDE2BF6C33}" name="Order" dataDxfId="40"/>
    <tableColumn id="8" xr3:uid="{6280802B-E757-EE4B-B78B-AB2BB71DA3E8}" name="Caleb" dataDxfId="39"/>
    <tableColumn id="9" xr3:uid="{B2FDBB7B-BC0A-FF48-88E9-DEF8AD89C969}" name="Joshua" dataDxfId="38"/>
    <tableColumn id="10" xr3:uid="{24BB2AD0-EA70-6D47-9444-711C42BCE2FA}" name="Quadri" dataDxfId="37"/>
    <tableColumn id="11" xr3:uid="{5EAE6BA3-1F0A-D84C-BF2F-C2A46CFC3B12}" name="Daniel" dataDxfId="36"/>
    <tableColumn id="12" xr3:uid="{606EF966-D561-C044-8724-F11E8C2B7DF5}" name="Qianzi" dataDxfId="35"/>
    <tableColumn id="13" xr3:uid="{78D43E8A-2491-0F45-8325-E27E0225D2FB}" name="Kenny" dataDxfId="34"/>
    <tableColumn id="14" xr3:uid="{D5746033-B648-5342-B871-FD2AEE569884}" name="Veronica" dataDxfId="33"/>
    <tableColumn id="15" xr3:uid="{47C8A8BE-FA7C-E54D-AC50-182CBB0BA96E}" name="Joseph" dataDxfId="32"/>
    <tableColumn id="16" xr3:uid="{6A33B394-FCF9-AB4D-8C89-6181853B3C19}" name="Theo"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B8CFD9-9202-8242-84BC-458DE09FCB8C}" name="Convert_to_Games" displayName="Convert_to_Games" ref="A1:L658" tableType="queryTable" totalsRowShown="0">
  <autoFilter ref="A1:L658" xr:uid="{3CB8CFD9-9202-8242-84BC-458DE09FCB8C}"/>
  <sortState xmlns:xlrd2="http://schemas.microsoft.com/office/spreadsheetml/2017/richdata2" ref="A2:L658">
    <sortCondition descending="1" ref="I1:I658"/>
  </sortState>
  <tableColumns count="12">
    <tableColumn id="1" xr3:uid="{A255E9E3-9F09-C34F-8713-D560392665B0}" uniqueName="1" name="Angle" queryTableFieldId="1"/>
    <tableColumn id="2" xr3:uid="{18501528-454A-144E-8348-52DF975EFD0C}" uniqueName="2" name="Height" queryTableFieldId="2"/>
    <tableColumn id="3" xr3:uid="{D20DD378-DB00-E44B-A4E5-5E77DF148B82}" uniqueName="3" name="Base" queryTableFieldId="3"/>
    <tableColumn id="4" xr3:uid="{A2B311CF-090D-914C-BAE9-61C01A2FF18F}" uniqueName="4" name="Date" queryTableFieldId="4" dataDxfId="30"/>
    <tableColumn id="5" xr3:uid="{8B370957-92EB-DB44-9DD1-57CE24B0FAA5}" uniqueName="5" name="Game" queryTableFieldId="5"/>
    <tableColumn id="6" xr3:uid="{05C0C438-A6F4-3449-AE1B-6DA38E2C8178}" uniqueName="6" name="Order" queryTableFieldId="6"/>
    <tableColumn id="7" xr3:uid="{C5DE47BB-D626-3144-A55C-39B04E596681}" uniqueName="7" name="Rounds" queryTableFieldId="7"/>
    <tableColumn id="8" xr3:uid="{B3E51C2D-1871-0540-BC62-99DB9F8C335C}" uniqueName="8" name="Player" queryTableFieldId="8" dataDxfId="29"/>
    <tableColumn id="9" xr3:uid="{DCD68F3D-FEA1-364E-894C-41AB7B471FBC}" uniqueName="9" name="Total Score" queryTableFieldId="9"/>
    <tableColumn id="10" xr3:uid="{CC29568E-BBEC-084D-ABB7-384761AE3075}" uniqueName="10" name="Victory" queryTableFieldId="10"/>
    <tableColumn id="11" xr3:uid="{46A78A20-D2D4-9B4C-A786-5F4D4C10E756}" uniqueName="11" name="DD" queryTableFieldId="11" dataDxfId="28">
      <calculatedColumnFormula>IF(Convert_to_Games[[#This Row],[Total Score]]&gt;9, 1, 0)</calculatedColumnFormula>
    </tableColumn>
    <tableColumn id="12" xr3:uid="{2DB36319-2246-2949-ADA3-3B3EF1AD6AB1}" uniqueName="12" name="Cons DD" queryTableFieldId="12" dataDxfId="27">
      <calculatedColumnFormula>IF(Convert_to_Games[[#This Row],[DD]]=0, 0, IF(L1 = "Cons DD", Convert_to_Games[[#This Row],[DD]], L1+L1))</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BACE77-4394-CD44-A0BA-7E11E0118612}" name="Convert_to_Records" displayName="Convert_to_Records" ref="A1:N915" tableType="queryTable" totalsRowShown="0">
  <autoFilter ref="A1:N915" xr:uid="{1EBACE77-4394-CD44-A0BA-7E11E0118612}"/>
  <sortState xmlns:xlrd2="http://schemas.microsoft.com/office/spreadsheetml/2017/richdata2" ref="A2:N915">
    <sortCondition ref="E1:E915"/>
  </sortState>
  <tableColumns count="14">
    <tableColumn id="20" xr3:uid="{DA6270F9-BD82-C24A-8E96-A28CDEEDD9A8}" uniqueName="20" name="Angle" queryTableFieldId="26" dataDxfId="14"/>
    <tableColumn id="21" xr3:uid="{22C5B617-50BF-5A4C-BCE7-7B0F304CDB3B}" uniqueName="21" name="Height" queryTableFieldId="27" dataDxfId="13"/>
    <tableColumn id="22" xr3:uid="{867A08EA-841B-B247-A1A4-86374B3A978E}" uniqueName="22" name="Base" queryTableFieldId="28" dataDxfId="12"/>
    <tableColumn id="23" xr3:uid="{AA2ED284-0375-2D4B-B83F-104F2F7B07AB}" uniqueName="23" name="Date" queryTableFieldId="29" dataDxfId="11"/>
    <tableColumn id="5" xr3:uid="{6CAA3F5B-38FA-E440-A2F1-FD07A10C811E}" uniqueName="5" name="Game" queryTableFieldId="5" dataDxfId="10"/>
    <tableColumn id="7" xr3:uid="{C17F23AC-5D89-C444-A571-19F212BFDD14}" uniqueName="7" name="Player" queryTableFieldId="7" dataDxfId="9"/>
    <tableColumn id="24" xr3:uid="{E2F44691-A1C0-594F-B2C4-5A3AB7D435C0}" uniqueName="24" name="Order" queryTableFieldId="30" dataDxfId="8"/>
    <tableColumn id="8" xr3:uid="{68A2AB44-814C-1043-BA37-46781F0478E0}" uniqueName="8" name="Total Score" queryTableFieldId="8" dataDxfId="7"/>
    <tableColumn id="18" xr3:uid="{381C7789-A459-DF41-80C5-43D1A1FC2682}" uniqueName="18" name="Opponent" queryTableFieldId="18" dataDxfId="6"/>
    <tableColumn id="19" xr3:uid="{D0F779ED-1E8B-CF46-8D6E-3DB9AD3002A1}" uniqueName="19" name="Result" queryTableFieldId="19"/>
    <tableColumn id="1" xr3:uid="{081761FD-C8DE-0B4D-A67E-87CBA0E222CC}" uniqueName="1" name="Win" queryTableFieldId="36"/>
    <tableColumn id="2" xr3:uid="{A6F62D23-1117-EC43-9ED4-0E37A43EA209}" uniqueName="2" name="Loss" queryTableFieldId="37"/>
    <tableColumn id="3" xr3:uid="{342D1B4C-A5E9-6C4A-A6E0-FCA60EC2891C}" uniqueName="3" name="Tie" queryTableFieldId="38"/>
    <tableColumn id="4" xr3:uid="{448FDD40-9322-FB40-B1DE-73FE794F21B0}" uniqueName="4" name="Total Games" queryTableField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4126C3-8990-364F-BA6C-3806227A5B79}" name="Convert_to_Clutch" displayName="Convert_to_Clutch" ref="A1:G394" tableType="queryTable" totalsRowShown="0">
  <autoFilter ref="A1:G394" xr:uid="{D54126C3-8990-364F-BA6C-3806227A5B79}"/>
  <tableColumns count="7">
    <tableColumn id="1" xr3:uid="{FDD4F858-D393-324D-84BF-CD3B409FBAFA}" uniqueName="1" name="Date" queryTableFieldId="44" dataDxfId="3"/>
    <tableColumn id="5" xr3:uid="{3AEF0C2A-171A-E34E-B768-433A13FB4E37}" uniqueName="5" name="Game" queryTableFieldId="5" dataDxfId="2"/>
    <tableColumn id="42" xr3:uid="{91D4345F-5F6B-B24D-AB9B-3ECD24B076AC}" uniqueName="42" name="First" queryTableFieldId="42"/>
    <tableColumn id="36" xr3:uid="{433F6587-E8F9-FA4B-AAFB-AB40D8BBA849}" uniqueName="36" name="Player" queryTableFieldId="36" dataDxfId="1"/>
    <tableColumn id="39" xr3:uid="{07E1D177-6892-EE4C-AF32-98459843688F}" uniqueName="39" name="Round" queryTableFieldId="39" dataDxfId="0"/>
    <tableColumn id="40" xr3:uid="{04474542-B088-0F4E-9F2A-E5EECA90D44B}" uniqueName="40" name="Deficit" queryTableFieldId="40"/>
    <tableColumn id="41" xr3:uid="{906B9105-C7E5-6744-87D8-10AE6C7845AB}" uniqueName="41" name="Success" queryTableFieldId="4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569EA1-E2C9-D64D-AF25-61C683C3B5B5}" name="Table3" displayName="Table3" ref="A1:I493" totalsRowShown="0" headerRowDxfId="62" dataDxfId="61">
  <autoFilter ref="A1:I493" xr:uid="{8B569EA1-E2C9-D64D-AF25-61C683C3B5B5}"/>
  <sortState xmlns:xlrd2="http://schemas.microsoft.com/office/spreadsheetml/2017/richdata2" ref="A2:I296">
    <sortCondition ref="A1:A296"/>
  </sortState>
  <tableColumns count="9">
    <tableColumn id="1" xr3:uid="{5E8EE448-9E87-474C-B835-6E8E0C2100CD}" name="Game" dataDxfId="60"/>
    <tableColumn id="2" xr3:uid="{A0B5F730-7123-434E-B3B9-C6F76D57243B}" name="Player" dataDxfId="59"/>
    <tableColumn id="3" xr3:uid="{D590819C-6132-B546-B069-A15A49C9563F}" name="Throws" dataDxfId="58"/>
    <tableColumn id="4" xr3:uid="{AADA594A-8275-A145-B557-7ED752B4D10E}" name="Board Hits" dataDxfId="57"/>
    <tableColumn id="5" xr3:uid="{6AF822F4-B356-0845-B08E-9310F961753C}" name="Land" dataDxfId="56"/>
    <tableColumn id="6" xr3:uid="{F4CD669D-5DA7-9840-9560-C06CE12795A8}" name="Points" dataDxfId="55">
      <calculatedColumnFormula>SUMIF(Scores!$F$2:$F$926, 'Next Gen'!$A2, INDEX(Scores!$I$2:$Q$926, 0, MATCH($B2, Scores!$I$1:$Q$1, 0)))</calculatedColumnFormula>
    </tableColumn>
    <tableColumn id="7" xr3:uid="{E1D45752-B283-7044-A69E-B797A489B2F0}" name="Height" dataDxfId="54">
      <calculatedColumnFormula>INDEX(Scores!$B$2:$B$926, MATCH('Next Gen'!$A2, Scores!$F$2:$F$926, 0))</calculatedColumnFormula>
    </tableColumn>
    <tableColumn id="9" xr3:uid="{F9AE027A-C994-C447-BD26-EB9478D1820F}" name="Board" dataDxfId="53">
      <calculatedColumnFormula>INDEX(Scores!$D$2:$D$926, MATCH('Next Gen'!$A2, Scores!$F$2:$F$926, 0))</calculatedColumnFormula>
    </tableColumn>
    <tableColumn id="8" xr3:uid="{A55A80CE-B43A-9641-B9D6-DEC71D585B97}" name="Date" dataDxfId="52">
      <calculatedColumnFormula>INDEX(Scores!$E$2:$E$926, MATCH('Next Gen'!$A2, Scores!$F$2:$F$926,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190966A-295C-F348-B944-A33DB3C48614}" sourceName="Date">
  <pivotTables>
    <pivotTable tabId="2" name="PivotTable1"/>
  </pivotTables>
  <state minimalRefreshVersion="6" lastRefreshVersion="6" pivotCacheId="810021523"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1A0F80D7-6DB4-4546-847B-F9FB2BFD305C}" sourceName="Date">
  <state minimalRefreshVersion="6" lastRefreshVersion="6" pivotCacheId="218746883" filterType="unknown">
    <bounds startDate="2025-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63DAECBB-6D15-4547-A7EB-FA9F972C5A02}" sourceName="Date">
  <pivotTables>
    <pivotTable tabId="6" name="PivotTable1"/>
  </pivotTables>
  <state minimalRefreshVersion="6" lastRefreshVersion="6" pivotCacheId="704403325" filterType="unknown">
    <bounds startDate="2025-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3" xr10:uid="{1B79BE39-D314-4F45-944E-BC08D959F57B}" sourceName="Date">
  <pivotTables>
    <pivotTable tabId="7" name="PivotTable1"/>
  </pivotTables>
  <state minimalRefreshVersion="6" lastRefreshVersion="6" pivotCacheId="1087057427" filterType="dateBetween">
    <selection startDate="2026-02-01T00:00:00" endDate="2026-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87E751D1-82FF-E141-B95B-D05D9EABB672}" cache="NativeTimeline_Date3" caption="Date" level="2" selectionLevel="2" scrollPosition="2025-06-2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261E192-542E-424A-89D9-6ACFBF82F873}" cache="NativeTimeline_Date2" caption="Date" level="2" selectionLevel="2"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C9B3398-4FB9-AB44-A8F9-03117FF844A2}" cache="NativeTimeline_Date" caption="Date" level="2" selectionLevel="2" scrollPosition="2025-06-06T00:00:00"/>
  <timeline name="Date 1" xr10:uid="{AE639B01-4518-C74B-832F-3C877A6ABFB1}" cache="NativeTimeline_Date1" caption="Date" level="2" selectionLevel="2" scrollPosition="2025-06-07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3.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ivotTable" Target="../pivotTables/pivotTable4.xml"/><Relationship Id="rId5" Type="http://schemas.microsoft.com/office/2011/relationships/timeline" Target="../timelines/timeline3.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A9F4-D995-4141-98AC-53C67004365F}">
  <dimension ref="A1:AB1479"/>
  <sheetViews>
    <sheetView tabSelected="1" workbookViewId="0">
      <pane ySplit="1" topLeftCell="A896" activePane="bottomLeft" state="frozen"/>
      <selection pane="bottomLeft" activeCell="G903" sqref="G903"/>
    </sheetView>
  </sheetViews>
  <sheetFormatPr baseColWidth="10" defaultRowHeight="16"/>
  <cols>
    <col min="1" max="1" width="8.6640625" style="1" customWidth="1"/>
    <col min="2" max="2" width="8.83203125" style="1" customWidth="1"/>
    <col min="3" max="6" width="8.6640625" style="1" customWidth="1"/>
    <col min="7" max="7" width="9.5" style="1" customWidth="1"/>
    <col min="8" max="8" width="11.83203125" style="1" bestFit="1" customWidth="1"/>
    <col min="9" max="9" width="15.83203125" style="1" bestFit="1" customWidth="1"/>
    <col min="10" max="11" width="17.1640625" style="1" bestFit="1" customWidth="1"/>
    <col min="12" max="13" width="16.5" style="1" bestFit="1" customWidth="1"/>
    <col min="14" max="14" width="16.6640625" style="1" bestFit="1" customWidth="1"/>
    <col min="15" max="15" width="18.6640625" style="1" bestFit="1" customWidth="1"/>
    <col min="16" max="16" width="17" style="1" bestFit="1" customWidth="1"/>
    <col min="17" max="17" width="15.1640625" style="1" bestFit="1" customWidth="1"/>
    <col min="18" max="21" width="16.83203125" style="1" bestFit="1" customWidth="1"/>
    <col min="22" max="22" width="18" style="1" bestFit="1" customWidth="1"/>
    <col min="23" max="24" width="19.1640625" style="1" bestFit="1" customWidth="1"/>
    <col min="25" max="26" width="18.5" style="1" bestFit="1" customWidth="1"/>
    <col min="27" max="27" width="18.6640625" style="1" bestFit="1" customWidth="1"/>
    <col min="28" max="28" width="20.6640625" style="1" bestFit="1" customWidth="1"/>
    <col min="29" max="16384" width="10.83203125" style="1"/>
  </cols>
  <sheetData>
    <row r="1" spans="1:17">
      <c r="A1" s="1" t="s">
        <v>90</v>
      </c>
      <c r="B1" s="1" t="s">
        <v>63</v>
      </c>
      <c r="C1" s="2" t="s">
        <v>91</v>
      </c>
      <c r="D1" s="2" t="s">
        <v>122</v>
      </c>
      <c r="E1" s="2" t="s">
        <v>0</v>
      </c>
      <c r="F1" s="2" t="s">
        <v>1</v>
      </c>
      <c r="G1" s="2" t="s">
        <v>2</v>
      </c>
      <c r="H1" s="2" t="s">
        <v>3</v>
      </c>
      <c r="I1" s="2" t="s">
        <v>4</v>
      </c>
      <c r="J1" s="2" t="s">
        <v>5</v>
      </c>
      <c r="K1" s="2" t="s">
        <v>6</v>
      </c>
      <c r="L1" s="2" t="s">
        <v>7</v>
      </c>
      <c r="M1" s="2" t="s">
        <v>29</v>
      </c>
      <c r="N1" s="2" t="s">
        <v>31</v>
      </c>
      <c r="O1" s="2" t="s">
        <v>23</v>
      </c>
      <c r="P1" s="2" t="s">
        <v>78</v>
      </c>
      <c r="Q1" s="2" t="s">
        <v>119</v>
      </c>
    </row>
    <row r="2" spans="1:17">
      <c r="A2" s="1" t="s">
        <v>25</v>
      </c>
      <c r="B2" s="1" t="s">
        <v>20</v>
      </c>
      <c r="C2" s="2" t="s">
        <v>18</v>
      </c>
      <c r="D2" s="2" t="s">
        <v>123</v>
      </c>
      <c r="E2" s="3">
        <v>45707</v>
      </c>
      <c r="F2" s="2">
        <v>1</v>
      </c>
      <c r="G2" s="2">
        <v>1</v>
      </c>
      <c r="H2" s="2" t="s">
        <v>8</v>
      </c>
      <c r="I2" s="2">
        <v>4</v>
      </c>
      <c r="J2" s="2">
        <v>0</v>
      </c>
      <c r="K2" s="2">
        <v>0</v>
      </c>
      <c r="L2" s="2"/>
      <c r="M2" s="2"/>
      <c r="N2" s="2"/>
      <c r="O2" s="2"/>
      <c r="P2" s="2"/>
      <c r="Q2" s="2"/>
    </row>
    <row r="3" spans="1:17">
      <c r="A3" s="1" t="s">
        <v>25</v>
      </c>
      <c r="B3" s="1" t="s">
        <v>20</v>
      </c>
      <c r="C3" s="2" t="s">
        <v>18</v>
      </c>
      <c r="D3" s="2" t="s">
        <v>123</v>
      </c>
      <c r="E3" s="3">
        <v>45707</v>
      </c>
      <c r="F3" s="2">
        <v>1</v>
      </c>
      <c r="G3" s="2">
        <v>2</v>
      </c>
      <c r="H3" s="2" t="s">
        <v>8</v>
      </c>
      <c r="I3" s="2">
        <v>3</v>
      </c>
      <c r="J3" s="2">
        <v>0</v>
      </c>
      <c r="K3" s="2">
        <v>0</v>
      </c>
      <c r="L3" s="2"/>
      <c r="M3" s="2"/>
      <c r="N3" s="2"/>
      <c r="O3" s="2"/>
      <c r="P3" s="2"/>
      <c r="Q3" s="2"/>
    </row>
    <row r="4" spans="1:17">
      <c r="A4" s="1" t="s">
        <v>25</v>
      </c>
      <c r="B4" s="1" t="s">
        <v>20</v>
      </c>
      <c r="C4" s="2" t="s">
        <v>18</v>
      </c>
      <c r="D4" s="2" t="s">
        <v>123</v>
      </c>
      <c r="E4" s="3">
        <v>45707</v>
      </c>
      <c r="F4" s="2">
        <v>1</v>
      </c>
      <c r="G4" s="2">
        <v>3</v>
      </c>
      <c r="H4" s="2" t="s">
        <v>8</v>
      </c>
      <c r="I4" s="2">
        <v>4</v>
      </c>
      <c r="J4" s="2">
        <v>1</v>
      </c>
      <c r="K4" s="2">
        <v>1</v>
      </c>
      <c r="L4" s="2"/>
      <c r="M4" s="2"/>
      <c r="N4" s="2"/>
      <c r="O4" s="2"/>
      <c r="P4" s="2"/>
      <c r="Q4" s="2"/>
    </row>
    <row r="5" spans="1:17">
      <c r="A5" s="1" t="s">
        <v>25</v>
      </c>
      <c r="B5" s="1" t="s">
        <v>20</v>
      </c>
      <c r="C5" s="2" t="s">
        <v>18</v>
      </c>
      <c r="D5" s="2" t="s">
        <v>123</v>
      </c>
      <c r="E5" s="3">
        <v>45707</v>
      </c>
      <c r="F5" s="2">
        <f>F2+1</f>
        <v>2</v>
      </c>
      <c r="G5" s="2">
        <f>G2</f>
        <v>1</v>
      </c>
      <c r="H5" s="2" t="s">
        <v>9</v>
      </c>
      <c r="I5" s="2">
        <v>8</v>
      </c>
      <c r="J5" s="2">
        <v>0</v>
      </c>
      <c r="K5" s="2"/>
      <c r="L5" s="2"/>
      <c r="M5" s="2"/>
      <c r="N5" s="2"/>
      <c r="O5" s="2"/>
      <c r="P5" s="2"/>
      <c r="Q5" s="2"/>
    </row>
    <row r="6" spans="1:17">
      <c r="A6" s="1" t="s">
        <v>25</v>
      </c>
      <c r="B6" s="1" t="s">
        <v>20</v>
      </c>
      <c r="C6" s="2" t="s">
        <v>18</v>
      </c>
      <c r="D6" s="2" t="s">
        <v>123</v>
      </c>
      <c r="E6" s="3">
        <v>45707</v>
      </c>
      <c r="F6" s="2">
        <f t="shared" ref="F6:F69" si="0">F3+1</f>
        <v>2</v>
      </c>
      <c r="G6" s="2">
        <f>G3</f>
        <v>2</v>
      </c>
      <c r="H6" s="2" t="s">
        <v>9</v>
      </c>
      <c r="I6" s="2">
        <v>5</v>
      </c>
      <c r="J6" s="2">
        <v>0</v>
      </c>
      <c r="K6" s="2"/>
      <c r="L6" s="2"/>
      <c r="M6" s="2"/>
      <c r="N6" s="2"/>
      <c r="O6" s="2"/>
      <c r="P6" s="2"/>
      <c r="Q6" s="2"/>
    </row>
    <row r="7" spans="1:17">
      <c r="A7" s="1" t="s">
        <v>25</v>
      </c>
      <c r="B7" s="1" t="s">
        <v>20</v>
      </c>
      <c r="C7" s="2" t="s">
        <v>18</v>
      </c>
      <c r="D7" s="2" t="s">
        <v>123</v>
      </c>
      <c r="E7" s="3">
        <v>45707</v>
      </c>
      <c r="F7" s="2">
        <f t="shared" si="0"/>
        <v>2</v>
      </c>
      <c r="G7" s="2">
        <f>G4</f>
        <v>3</v>
      </c>
      <c r="H7" s="2" t="s">
        <v>9</v>
      </c>
      <c r="I7" s="2">
        <v>3</v>
      </c>
      <c r="J7" s="2">
        <v>0</v>
      </c>
      <c r="K7" s="2"/>
      <c r="L7" s="2"/>
      <c r="M7" s="2"/>
      <c r="N7" s="2"/>
      <c r="O7" s="2"/>
      <c r="P7" s="2"/>
      <c r="Q7" s="2"/>
    </row>
    <row r="8" spans="1:17">
      <c r="A8" s="1" t="s">
        <v>25</v>
      </c>
      <c r="B8" s="1" t="s">
        <v>20</v>
      </c>
      <c r="C8" s="2" t="s">
        <v>18</v>
      </c>
      <c r="D8" s="2" t="s">
        <v>123</v>
      </c>
      <c r="E8" s="3">
        <v>45708</v>
      </c>
      <c r="F8" s="2">
        <f t="shared" si="0"/>
        <v>3</v>
      </c>
      <c r="G8" s="2">
        <f t="shared" ref="G8:G71" si="1">G5</f>
        <v>1</v>
      </c>
      <c r="H8" s="2" t="s">
        <v>9</v>
      </c>
      <c r="I8" s="2">
        <v>1</v>
      </c>
      <c r="J8" s="2">
        <v>0</v>
      </c>
      <c r="K8" s="2"/>
      <c r="L8" s="2"/>
      <c r="M8" s="2"/>
      <c r="N8" s="2"/>
      <c r="O8" s="2"/>
      <c r="P8" s="2"/>
      <c r="Q8" s="2"/>
    </row>
    <row r="9" spans="1:17">
      <c r="A9" s="1" t="s">
        <v>25</v>
      </c>
      <c r="B9" s="1" t="s">
        <v>20</v>
      </c>
      <c r="C9" s="2" t="s">
        <v>18</v>
      </c>
      <c r="D9" s="2" t="s">
        <v>123</v>
      </c>
      <c r="E9" s="3">
        <v>45708</v>
      </c>
      <c r="F9" s="2">
        <f t="shared" si="0"/>
        <v>3</v>
      </c>
      <c r="G9" s="2">
        <f t="shared" si="1"/>
        <v>2</v>
      </c>
      <c r="H9" s="2" t="s">
        <v>9</v>
      </c>
      <c r="I9" s="2">
        <v>6</v>
      </c>
      <c r="J9" s="2">
        <v>0</v>
      </c>
      <c r="K9" s="2"/>
      <c r="L9" s="2"/>
      <c r="M9" s="2"/>
      <c r="N9" s="2"/>
      <c r="O9" s="2"/>
      <c r="P9" s="2"/>
      <c r="Q9" s="2"/>
    </row>
    <row r="10" spans="1:17">
      <c r="A10" s="1" t="s">
        <v>25</v>
      </c>
      <c r="B10" s="1" t="s">
        <v>20</v>
      </c>
      <c r="C10" s="2" t="s">
        <v>18</v>
      </c>
      <c r="D10" s="2" t="s">
        <v>123</v>
      </c>
      <c r="E10" s="3">
        <v>45708</v>
      </c>
      <c r="F10" s="2">
        <f t="shared" si="0"/>
        <v>3</v>
      </c>
      <c r="G10" s="2">
        <f t="shared" si="1"/>
        <v>3</v>
      </c>
      <c r="H10" s="2" t="s">
        <v>9</v>
      </c>
      <c r="I10" s="2">
        <v>3</v>
      </c>
      <c r="J10" s="2">
        <v>4</v>
      </c>
      <c r="K10" s="2"/>
      <c r="L10" s="2"/>
      <c r="M10" s="2"/>
      <c r="N10" s="2"/>
      <c r="O10" s="2"/>
      <c r="P10" s="2"/>
      <c r="Q10" s="2"/>
    </row>
    <row r="11" spans="1:17">
      <c r="A11" s="1" t="s">
        <v>25</v>
      </c>
      <c r="B11" s="1" t="s">
        <v>20</v>
      </c>
      <c r="C11" s="2" t="s">
        <v>18</v>
      </c>
      <c r="D11" s="2" t="s">
        <v>123</v>
      </c>
      <c r="E11" s="3">
        <v>45708</v>
      </c>
      <c r="F11" s="2">
        <f t="shared" si="0"/>
        <v>4</v>
      </c>
      <c r="G11" s="2">
        <f t="shared" si="1"/>
        <v>1</v>
      </c>
      <c r="H11" s="2" t="s">
        <v>8</v>
      </c>
      <c r="I11" s="2">
        <v>3</v>
      </c>
      <c r="J11" s="2">
        <v>0</v>
      </c>
      <c r="K11" s="2">
        <v>1</v>
      </c>
      <c r="L11" s="2"/>
      <c r="M11" s="2"/>
      <c r="N11" s="2"/>
      <c r="O11" s="2"/>
      <c r="P11" s="2"/>
      <c r="Q11" s="2"/>
    </row>
    <row r="12" spans="1:17">
      <c r="A12" s="1" t="s">
        <v>25</v>
      </c>
      <c r="B12" s="1" t="s">
        <v>20</v>
      </c>
      <c r="C12" s="2" t="s">
        <v>18</v>
      </c>
      <c r="D12" s="2" t="s">
        <v>123</v>
      </c>
      <c r="E12" s="3">
        <v>45708</v>
      </c>
      <c r="F12" s="2">
        <f t="shared" si="0"/>
        <v>4</v>
      </c>
      <c r="G12" s="2">
        <f t="shared" si="1"/>
        <v>2</v>
      </c>
      <c r="H12" s="2" t="s">
        <v>8</v>
      </c>
      <c r="I12" s="2">
        <v>0</v>
      </c>
      <c r="J12" s="2">
        <v>0</v>
      </c>
      <c r="K12" s="2">
        <v>2</v>
      </c>
      <c r="L12" s="2"/>
      <c r="M12" s="2"/>
      <c r="N12" s="2"/>
      <c r="O12" s="2"/>
      <c r="P12" s="2"/>
      <c r="Q12" s="2"/>
    </row>
    <row r="13" spans="1:17">
      <c r="A13" s="1" t="s">
        <v>25</v>
      </c>
      <c r="B13" s="1" t="s">
        <v>20</v>
      </c>
      <c r="C13" s="2" t="s">
        <v>18</v>
      </c>
      <c r="D13" s="2" t="s">
        <v>123</v>
      </c>
      <c r="E13" s="3">
        <v>45708</v>
      </c>
      <c r="F13" s="2">
        <f t="shared" si="0"/>
        <v>4</v>
      </c>
      <c r="G13" s="2">
        <f t="shared" si="1"/>
        <v>3</v>
      </c>
      <c r="H13" s="2" t="s">
        <v>8</v>
      </c>
      <c r="I13" s="2">
        <v>1</v>
      </c>
      <c r="J13" s="2">
        <v>0</v>
      </c>
      <c r="K13" s="2">
        <v>4</v>
      </c>
      <c r="L13" s="2"/>
      <c r="M13" s="2"/>
      <c r="N13" s="2"/>
      <c r="O13" s="2"/>
      <c r="P13" s="2"/>
      <c r="Q13" s="2"/>
    </row>
    <row r="14" spans="1:17">
      <c r="A14" s="1" t="s">
        <v>25</v>
      </c>
      <c r="B14" s="1" t="s">
        <v>20</v>
      </c>
      <c r="C14" s="2" t="s">
        <v>18</v>
      </c>
      <c r="D14" s="2" t="s">
        <v>123</v>
      </c>
      <c r="E14" s="3">
        <v>45708</v>
      </c>
      <c r="F14" s="2">
        <f t="shared" si="0"/>
        <v>5</v>
      </c>
      <c r="G14" s="2">
        <f t="shared" si="1"/>
        <v>1</v>
      </c>
      <c r="H14" s="2" t="s">
        <v>10</v>
      </c>
      <c r="I14" s="2">
        <v>5</v>
      </c>
      <c r="J14" s="2">
        <v>1</v>
      </c>
      <c r="K14" s="2">
        <v>1</v>
      </c>
      <c r="L14" s="2"/>
      <c r="M14" s="2"/>
      <c r="N14" s="2"/>
      <c r="O14" s="2"/>
      <c r="P14" s="2"/>
      <c r="Q14" s="2"/>
    </row>
    <row r="15" spans="1:17">
      <c r="A15" s="1" t="s">
        <v>25</v>
      </c>
      <c r="B15" s="1" t="s">
        <v>20</v>
      </c>
      <c r="C15" s="2" t="s">
        <v>18</v>
      </c>
      <c r="D15" s="2" t="s">
        <v>123</v>
      </c>
      <c r="E15" s="3">
        <v>45708</v>
      </c>
      <c r="F15" s="2">
        <f t="shared" si="0"/>
        <v>5</v>
      </c>
      <c r="G15" s="2">
        <f t="shared" si="1"/>
        <v>2</v>
      </c>
      <c r="H15" s="2" t="s">
        <v>10</v>
      </c>
      <c r="I15" s="2">
        <v>4</v>
      </c>
      <c r="J15" s="2">
        <v>0</v>
      </c>
      <c r="K15" s="2">
        <v>2</v>
      </c>
      <c r="L15" s="2"/>
      <c r="M15" s="2"/>
      <c r="N15" s="2"/>
      <c r="O15" s="2"/>
      <c r="P15" s="2"/>
      <c r="Q15" s="2"/>
    </row>
    <row r="16" spans="1:17">
      <c r="A16" s="1" t="s">
        <v>25</v>
      </c>
      <c r="B16" s="1" t="s">
        <v>20</v>
      </c>
      <c r="C16" s="2" t="s">
        <v>18</v>
      </c>
      <c r="D16" s="2" t="s">
        <v>123</v>
      </c>
      <c r="E16" s="3">
        <v>45708</v>
      </c>
      <c r="F16" s="2">
        <f t="shared" si="0"/>
        <v>5</v>
      </c>
      <c r="G16" s="2">
        <f t="shared" si="1"/>
        <v>3</v>
      </c>
      <c r="H16" s="2" t="s">
        <v>10</v>
      </c>
      <c r="I16" s="2">
        <v>2</v>
      </c>
      <c r="J16" s="2">
        <v>0</v>
      </c>
      <c r="K16" s="2">
        <v>0</v>
      </c>
      <c r="L16" s="2"/>
      <c r="M16" s="2"/>
      <c r="N16" s="2"/>
      <c r="O16" s="2"/>
      <c r="P16" s="2"/>
      <c r="Q16" s="2"/>
    </row>
    <row r="17" spans="1:17">
      <c r="A17" s="1" t="s">
        <v>25</v>
      </c>
      <c r="B17" s="1" t="s">
        <v>20</v>
      </c>
      <c r="C17" s="2" t="s">
        <v>18</v>
      </c>
      <c r="D17" s="2" t="s">
        <v>123</v>
      </c>
      <c r="E17" s="3">
        <v>45709</v>
      </c>
      <c r="F17" s="2">
        <f t="shared" si="0"/>
        <v>6</v>
      </c>
      <c r="G17" s="2">
        <f t="shared" si="1"/>
        <v>1</v>
      </c>
      <c r="H17" s="2" t="s">
        <v>9</v>
      </c>
      <c r="I17" s="2">
        <v>7</v>
      </c>
      <c r="J17" s="2">
        <v>0</v>
      </c>
      <c r="K17" s="2"/>
      <c r="L17" s="2"/>
      <c r="M17" s="2"/>
      <c r="N17" s="2"/>
      <c r="O17" s="2"/>
      <c r="P17" s="2"/>
      <c r="Q17" s="2"/>
    </row>
    <row r="18" spans="1:17">
      <c r="A18" s="1" t="s">
        <v>25</v>
      </c>
      <c r="B18" s="1" t="s">
        <v>20</v>
      </c>
      <c r="C18" s="2" t="s">
        <v>18</v>
      </c>
      <c r="D18" s="2" t="s">
        <v>123</v>
      </c>
      <c r="E18" s="3">
        <v>45709</v>
      </c>
      <c r="F18" s="2">
        <f t="shared" si="0"/>
        <v>6</v>
      </c>
      <c r="G18" s="2">
        <f t="shared" si="1"/>
        <v>2</v>
      </c>
      <c r="H18" s="2" t="s">
        <v>9</v>
      </c>
      <c r="I18" s="2">
        <v>2</v>
      </c>
      <c r="J18" s="2">
        <v>4</v>
      </c>
      <c r="K18" s="2"/>
      <c r="L18" s="2"/>
      <c r="M18" s="2"/>
      <c r="N18" s="2"/>
      <c r="O18" s="2"/>
      <c r="P18" s="2"/>
      <c r="Q18" s="2"/>
    </row>
    <row r="19" spans="1:17">
      <c r="A19" s="1" t="s">
        <v>25</v>
      </c>
      <c r="B19" s="1" t="s">
        <v>20</v>
      </c>
      <c r="C19" s="2" t="s">
        <v>18</v>
      </c>
      <c r="D19" s="2" t="s">
        <v>123</v>
      </c>
      <c r="E19" s="3">
        <v>45709</v>
      </c>
      <c r="F19" s="2">
        <f t="shared" si="0"/>
        <v>6</v>
      </c>
      <c r="G19" s="2">
        <f t="shared" si="1"/>
        <v>3</v>
      </c>
      <c r="H19" s="2" t="s">
        <v>9</v>
      </c>
      <c r="I19" s="2">
        <v>1</v>
      </c>
      <c r="J19" s="2">
        <v>0</v>
      </c>
      <c r="K19" s="2"/>
      <c r="L19" s="2"/>
      <c r="M19" s="2"/>
      <c r="N19" s="2"/>
      <c r="O19" s="2"/>
      <c r="P19" s="2"/>
      <c r="Q19" s="2"/>
    </row>
    <row r="20" spans="1:17">
      <c r="A20" s="1" t="s">
        <v>25</v>
      </c>
      <c r="B20" s="1" t="s">
        <v>20</v>
      </c>
      <c r="C20" s="2" t="s">
        <v>18</v>
      </c>
      <c r="D20" s="2" t="s">
        <v>123</v>
      </c>
      <c r="E20" s="3">
        <v>45712</v>
      </c>
      <c r="F20" s="2">
        <f t="shared" si="0"/>
        <v>7</v>
      </c>
      <c r="G20" s="2">
        <f t="shared" si="1"/>
        <v>1</v>
      </c>
      <c r="H20" s="2" t="s">
        <v>11</v>
      </c>
      <c r="I20" s="2">
        <v>0</v>
      </c>
      <c r="J20" s="2">
        <v>1</v>
      </c>
      <c r="K20" s="2"/>
      <c r="L20" s="2"/>
      <c r="M20" s="2"/>
      <c r="N20" s="2"/>
      <c r="O20" s="2"/>
      <c r="P20" s="2"/>
      <c r="Q20" s="2"/>
    </row>
    <row r="21" spans="1:17">
      <c r="A21" s="1" t="s">
        <v>25</v>
      </c>
      <c r="B21" s="1" t="s">
        <v>20</v>
      </c>
      <c r="C21" s="2" t="s">
        <v>18</v>
      </c>
      <c r="D21" s="2" t="s">
        <v>123</v>
      </c>
      <c r="E21" s="3">
        <v>45712</v>
      </c>
      <c r="F21" s="2">
        <f t="shared" si="0"/>
        <v>7</v>
      </c>
      <c r="G21" s="2">
        <f t="shared" si="1"/>
        <v>2</v>
      </c>
      <c r="H21" s="2" t="s">
        <v>11</v>
      </c>
      <c r="I21" s="2">
        <v>5</v>
      </c>
      <c r="J21" s="2">
        <v>2</v>
      </c>
      <c r="K21" s="2"/>
      <c r="L21" s="2"/>
      <c r="M21" s="2"/>
      <c r="N21" s="2"/>
      <c r="O21" s="2"/>
      <c r="P21" s="2"/>
      <c r="Q21" s="2"/>
    </row>
    <row r="22" spans="1:17">
      <c r="A22" s="1" t="s">
        <v>25</v>
      </c>
      <c r="B22" s="1" t="s">
        <v>20</v>
      </c>
      <c r="C22" s="2" t="s">
        <v>18</v>
      </c>
      <c r="D22" s="2" t="s">
        <v>123</v>
      </c>
      <c r="E22" s="3">
        <v>45712</v>
      </c>
      <c r="F22" s="2">
        <f t="shared" si="0"/>
        <v>7</v>
      </c>
      <c r="G22" s="2">
        <f t="shared" si="1"/>
        <v>3</v>
      </c>
      <c r="H22" s="2" t="s">
        <v>11</v>
      </c>
      <c r="I22" s="2">
        <v>0</v>
      </c>
      <c r="J22" s="2">
        <v>6</v>
      </c>
      <c r="K22" s="2"/>
      <c r="L22" s="2"/>
      <c r="M22" s="2"/>
      <c r="N22" s="2"/>
      <c r="O22" s="2"/>
      <c r="P22" s="2"/>
      <c r="Q22" s="2"/>
    </row>
    <row r="23" spans="1:17">
      <c r="A23" s="1" t="s">
        <v>25</v>
      </c>
      <c r="B23" s="1" t="s">
        <v>20</v>
      </c>
      <c r="C23" s="2" t="s">
        <v>18</v>
      </c>
      <c r="D23" s="2" t="s">
        <v>123</v>
      </c>
      <c r="E23" s="3">
        <v>45712</v>
      </c>
      <c r="F23" s="2">
        <f t="shared" si="0"/>
        <v>8</v>
      </c>
      <c r="G23" s="2">
        <f t="shared" si="1"/>
        <v>1</v>
      </c>
      <c r="H23" s="2" t="s">
        <v>11</v>
      </c>
      <c r="I23" s="2">
        <v>0</v>
      </c>
      <c r="J23" s="2">
        <v>1</v>
      </c>
      <c r="K23" s="2"/>
      <c r="L23" s="2"/>
      <c r="M23" s="2"/>
      <c r="N23" s="2"/>
      <c r="O23" s="2"/>
      <c r="P23" s="2"/>
      <c r="Q23" s="2"/>
    </row>
    <row r="24" spans="1:17">
      <c r="A24" s="1" t="s">
        <v>25</v>
      </c>
      <c r="B24" s="1" t="s">
        <v>20</v>
      </c>
      <c r="C24" s="2" t="s">
        <v>18</v>
      </c>
      <c r="D24" s="2" t="s">
        <v>123</v>
      </c>
      <c r="E24" s="3">
        <v>45712</v>
      </c>
      <c r="F24" s="2">
        <f t="shared" si="0"/>
        <v>8</v>
      </c>
      <c r="G24" s="2">
        <f t="shared" si="1"/>
        <v>2</v>
      </c>
      <c r="H24" s="2" t="s">
        <v>11</v>
      </c>
      <c r="I24" s="2">
        <v>3</v>
      </c>
      <c r="J24" s="2">
        <v>1</v>
      </c>
      <c r="K24" s="2"/>
      <c r="L24" s="2"/>
      <c r="M24" s="2"/>
      <c r="N24" s="2"/>
      <c r="O24" s="2"/>
      <c r="P24" s="2"/>
      <c r="Q24" s="2"/>
    </row>
    <row r="25" spans="1:17">
      <c r="A25" s="1" t="s">
        <v>25</v>
      </c>
      <c r="B25" s="1" t="s">
        <v>20</v>
      </c>
      <c r="C25" s="2" t="s">
        <v>18</v>
      </c>
      <c r="D25" s="2" t="s">
        <v>123</v>
      </c>
      <c r="E25" s="3">
        <v>45712</v>
      </c>
      <c r="F25" s="2">
        <f t="shared" si="0"/>
        <v>8</v>
      </c>
      <c r="G25" s="2">
        <f t="shared" si="1"/>
        <v>3</v>
      </c>
      <c r="H25" s="2" t="s">
        <v>11</v>
      </c>
      <c r="I25" s="2">
        <v>3</v>
      </c>
      <c r="J25" s="2">
        <v>0</v>
      </c>
      <c r="K25" s="2"/>
      <c r="L25" s="2"/>
      <c r="M25" s="2"/>
      <c r="N25" s="2"/>
      <c r="O25" s="2"/>
      <c r="P25" s="2"/>
      <c r="Q25" s="2"/>
    </row>
    <row r="26" spans="1:17">
      <c r="A26" s="1" t="s">
        <v>25</v>
      </c>
      <c r="B26" s="1" t="s">
        <v>20</v>
      </c>
      <c r="C26" s="2" t="s">
        <v>18</v>
      </c>
      <c r="D26" s="2" t="s">
        <v>123</v>
      </c>
      <c r="E26" s="3">
        <v>45713</v>
      </c>
      <c r="F26" s="2">
        <f t="shared" si="0"/>
        <v>9</v>
      </c>
      <c r="G26" s="2">
        <f t="shared" si="1"/>
        <v>1</v>
      </c>
      <c r="H26" s="2" t="s">
        <v>8</v>
      </c>
      <c r="I26" s="2">
        <v>2</v>
      </c>
      <c r="J26" s="2">
        <v>1</v>
      </c>
      <c r="K26" s="2">
        <v>0</v>
      </c>
      <c r="L26" s="2"/>
      <c r="M26" s="2"/>
      <c r="N26" s="2"/>
      <c r="O26" s="2"/>
      <c r="P26" s="2"/>
      <c r="Q26" s="2"/>
    </row>
    <row r="27" spans="1:17">
      <c r="A27" s="1" t="s">
        <v>25</v>
      </c>
      <c r="B27" s="1" t="s">
        <v>20</v>
      </c>
      <c r="C27" s="2" t="s">
        <v>18</v>
      </c>
      <c r="D27" s="2" t="s">
        <v>123</v>
      </c>
      <c r="E27" s="3">
        <v>45713</v>
      </c>
      <c r="F27" s="2">
        <f t="shared" si="0"/>
        <v>9</v>
      </c>
      <c r="G27" s="2">
        <f t="shared" si="1"/>
        <v>2</v>
      </c>
      <c r="H27" s="2" t="s">
        <v>8</v>
      </c>
      <c r="I27" s="2">
        <v>5</v>
      </c>
      <c r="J27" s="2">
        <v>3</v>
      </c>
      <c r="K27" s="2">
        <v>1</v>
      </c>
      <c r="L27" s="2"/>
      <c r="M27" s="2"/>
      <c r="N27" s="2"/>
      <c r="O27" s="2"/>
      <c r="P27" s="2"/>
      <c r="Q27" s="2"/>
    </row>
    <row r="28" spans="1:17">
      <c r="A28" s="1" t="s">
        <v>25</v>
      </c>
      <c r="B28" s="1" t="s">
        <v>20</v>
      </c>
      <c r="C28" s="2" t="s">
        <v>18</v>
      </c>
      <c r="D28" s="2" t="s">
        <v>123</v>
      </c>
      <c r="E28" s="3">
        <v>45713</v>
      </c>
      <c r="F28" s="2">
        <f t="shared" si="0"/>
        <v>9</v>
      </c>
      <c r="G28" s="2">
        <f t="shared" si="1"/>
        <v>3</v>
      </c>
      <c r="H28" s="2" t="s">
        <v>8</v>
      </c>
      <c r="I28" s="2">
        <v>2</v>
      </c>
      <c r="J28" s="2">
        <v>7</v>
      </c>
      <c r="K28" s="2">
        <v>3</v>
      </c>
      <c r="L28" s="2"/>
      <c r="M28" s="2"/>
      <c r="N28" s="2"/>
      <c r="O28" s="2"/>
      <c r="P28" s="2"/>
      <c r="Q28" s="2"/>
    </row>
    <row r="29" spans="1:17">
      <c r="A29" s="1" t="s">
        <v>25</v>
      </c>
      <c r="B29" s="1" t="s">
        <v>20</v>
      </c>
      <c r="C29" s="2" t="s">
        <v>18</v>
      </c>
      <c r="D29" s="2" t="s">
        <v>123</v>
      </c>
      <c r="E29" s="3">
        <v>45713</v>
      </c>
      <c r="F29" s="2">
        <f t="shared" si="0"/>
        <v>10</v>
      </c>
      <c r="G29" s="2">
        <f t="shared" si="1"/>
        <v>1</v>
      </c>
      <c r="H29" s="2" t="s">
        <v>11</v>
      </c>
      <c r="I29" s="2">
        <v>0</v>
      </c>
      <c r="J29" s="2">
        <v>1</v>
      </c>
      <c r="K29" s="2"/>
      <c r="L29" s="2"/>
      <c r="M29" s="2"/>
      <c r="N29" s="2"/>
      <c r="O29" s="2"/>
      <c r="P29" s="2"/>
      <c r="Q29" s="2"/>
    </row>
    <row r="30" spans="1:17">
      <c r="A30" s="1" t="s">
        <v>25</v>
      </c>
      <c r="B30" s="1" t="s">
        <v>20</v>
      </c>
      <c r="C30" s="2" t="s">
        <v>18</v>
      </c>
      <c r="D30" s="2" t="s">
        <v>123</v>
      </c>
      <c r="E30" s="3">
        <v>45713</v>
      </c>
      <c r="F30" s="2">
        <f t="shared" si="0"/>
        <v>10</v>
      </c>
      <c r="G30" s="2">
        <f t="shared" si="1"/>
        <v>2</v>
      </c>
      <c r="H30" s="2" t="s">
        <v>11</v>
      </c>
      <c r="I30" s="2">
        <v>3</v>
      </c>
      <c r="J30" s="2">
        <v>0</v>
      </c>
      <c r="K30" s="2"/>
      <c r="L30" s="2"/>
      <c r="M30" s="2"/>
      <c r="N30" s="2"/>
      <c r="O30" s="2"/>
      <c r="P30" s="2"/>
      <c r="Q30" s="2"/>
    </row>
    <row r="31" spans="1:17">
      <c r="A31" s="1" t="s">
        <v>25</v>
      </c>
      <c r="B31" s="1" t="s">
        <v>20</v>
      </c>
      <c r="C31" s="2" t="s">
        <v>18</v>
      </c>
      <c r="D31" s="2" t="s">
        <v>123</v>
      </c>
      <c r="E31" s="3">
        <v>45713</v>
      </c>
      <c r="F31" s="2">
        <f t="shared" si="0"/>
        <v>10</v>
      </c>
      <c r="G31" s="2">
        <f t="shared" si="1"/>
        <v>3</v>
      </c>
      <c r="H31" s="2" t="s">
        <v>11</v>
      </c>
      <c r="I31" s="2">
        <v>3</v>
      </c>
      <c r="J31" s="2">
        <v>0</v>
      </c>
      <c r="K31" s="2"/>
      <c r="L31" s="2"/>
      <c r="M31" s="2"/>
      <c r="N31" s="2"/>
      <c r="O31" s="2"/>
      <c r="P31" s="2"/>
      <c r="Q31" s="2"/>
    </row>
    <row r="32" spans="1:17">
      <c r="A32" s="1" t="s">
        <v>25</v>
      </c>
      <c r="B32" s="1" t="s">
        <v>20</v>
      </c>
      <c r="C32" s="2" t="s">
        <v>16</v>
      </c>
      <c r="D32" s="2" t="s">
        <v>123</v>
      </c>
      <c r="E32" s="3">
        <v>45714</v>
      </c>
      <c r="F32" s="2">
        <f t="shared" si="0"/>
        <v>11</v>
      </c>
      <c r="G32" s="2">
        <f t="shared" si="1"/>
        <v>1</v>
      </c>
      <c r="H32" s="2" t="s">
        <v>12</v>
      </c>
      <c r="I32" s="2">
        <v>5</v>
      </c>
      <c r="J32" s="2">
        <v>0</v>
      </c>
      <c r="K32" s="2"/>
      <c r="L32" s="2">
        <v>1</v>
      </c>
      <c r="M32" s="2"/>
      <c r="N32" s="2"/>
      <c r="O32" s="2"/>
      <c r="P32" s="2"/>
      <c r="Q32" s="2"/>
    </row>
    <row r="33" spans="1:17">
      <c r="A33" s="1" t="s">
        <v>25</v>
      </c>
      <c r="B33" s="1" t="s">
        <v>20</v>
      </c>
      <c r="C33" s="2" t="s">
        <v>16</v>
      </c>
      <c r="D33" s="2" t="s">
        <v>123</v>
      </c>
      <c r="E33" s="3">
        <v>45714</v>
      </c>
      <c r="F33" s="2">
        <f t="shared" si="0"/>
        <v>11</v>
      </c>
      <c r="G33" s="2">
        <f t="shared" si="1"/>
        <v>2</v>
      </c>
      <c r="H33" s="2" t="s">
        <v>12</v>
      </c>
      <c r="I33" s="2">
        <v>6</v>
      </c>
      <c r="J33" s="2">
        <v>2</v>
      </c>
      <c r="K33" s="2"/>
      <c r="L33" s="2">
        <v>3</v>
      </c>
      <c r="M33" s="2"/>
      <c r="N33" s="2"/>
      <c r="O33" s="2"/>
      <c r="P33" s="2"/>
      <c r="Q33" s="2"/>
    </row>
    <row r="34" spans="1:17">
      <c r="A34" s="1" t="s">
        <v>25</v>
      </c>
      <c r="B34" s="1" t="s">
        <v>20</v>
      </c>
      <c r="C34" s="2" t="s">
        <v>16</v>
      </c>
      <c r="D34" s="2" t="s">
        <v>123</v>
      </c>
      <c r="E34" s="3">
        <v>45714</v>
      </c>
      <c r="F34" s="2">
        <f t="shared" si="0"/>
        <v>11</v>
      </c>
      <c r="G34" s="2">
        <f t="shared" si="1"/>
        <v>3</v>
      </c>
      <c r="H34" s="2" t="s">
        <v>12</v>
      </c>
      <c r="I34" s="2">
        <v>3</v>
      </c>
      <c r="J34" s="2">
        <v>3</v>
      </c>
      <c r="K34" s="2"/>
      <c r="L34" s="2">
        <v>2</v>
      </c>
      <c r="M34" s="2"/>
      <c r="N34" s="2"/>
      <c r="O34" s="2"/>
      <c r="P34" s="2"/>
      <c r="Q34" s="2"/>
    </row>
    <row r="35" spans="1:17">
      <c r="A35" s="1" t="s">
        <v>25</v>
      </c>
      <c r="B35" s="1" t="s">
        <v>20</v>
      </c>
      <c r="C35" s="2" t="s">
        <v>16</v>
      </c>
      <c r="D35" s="2" t="s">
        <v>123</v>
      </c>
      <c r="E35" s="3">
        <v>45715</v>
      </c>
      <c r="F35" s="2">
        <f t="shared" si="0"/>
        <v>12</v>
      </c>
      <c r="G35" s="2">
        <f t="shared" si="1"/>
        <v>1</v>
      </c>
      <c r="H35" s="2" t="s">
        <v>13</v>
      </c>
      <c r="I35" s="2">
        <v>1</v>
      </c>
      <c r="J35" s="2">
        <v>0</v>
      </c>
      <c r="K35" s="2"/>
      <c r="L35" s="2">
        <v>2</v>
      </c>
      <c r="M35" s="2"/>
      <c r="N35" s="2"/>
      <c r="O35" s="2"/>
      <c r="P35" s="2"/>
      <c r="Q35" s="2"/>
    </row>
    <row r="36" spans="1:17">
      <c r="A36" s="1" t="s">
        <v>25</v>
      </c>
      <c r="B36" s="1" t="s">
        <v>20</v>
      </c>
      <c r="C36" s="2" t="s">
        <v>16</v>
      </c>
      <c r="D36" s="2" t="s">
        <v>123</v>
      </c>
      <c r="E36" s="3">
        <v>45715</v>
      </c>
      <c r="F36" s="2">
        <f t="shared" si="0"/>
        <v>12</v>
      </c>
      <c r="G36" s="2">
        <f t="shared" si="1"/>
        <v>2</v>
      </c>
      <c r="H36" s="2" t="s">
        <v>13</v>
      </c>
      <c r="I36" s="2">
        <v>6</v>
      </c>
      <c r="J36" s="2">
        <v>1</v>
      </c>
      <c r="K36" s="2"/>
      <c r="L36" s="2">
        <v>0</v>
      </c>
      <c r="M36" s="2"/>
      <c r="N36" s="2"/>
      <c r="O36" s="2"/>
      <c r="P36" s="2"/>
      <c r="Q36" s="2"/>
    </row>
    <row r="37" spans="1:17">
      <c r="A37" s="1" t="s">
        <v>25</v>
      </c>
      <c r="B37" s="1" t="s">
        <v>20</v>
      </c>
      <c r="C37" s="2" t="s">
        <v>16</v>
      </c>
      <c r="D37" s="2" t="s">
        <v>123</v>
      </c>
      <c r="E37" s="3">
        <v>45715</v>
      </c>
      <c r="F37" s="2">
        <f t="shared" si="0"/>
        <v>12</v>
      </c>
      <c r="G37" s="2">
        <f t="shared" si="1"/>
        <v>3</v>
      </c>
      <c r="H37" s="2" t="s">
        <v>13</v>
      </c>
      <c r="I37" s="2">
        <v>3</v>
      </c>
      <c r="J37" s="2">
        <v>2</v>
      </c>
      <c r="K37" s="2"/>
      <c r="L37" s="2">
        <v>1</v>
      </c>
      <c r="M37" s="2"/>
      <c r="N37" s="2"/>
      <c r="O37" s="2"/>
      <c r="P37" s="2"/>
      <c r="Q37" s="2"/>
    </row>
    <row r="38" spans="1:17">
      <c r="A38" s="1" t="s">
        <v>25</v>
      </c>
      <c r="B38" s="1" t="s">
        <v>20</v>
      </c>
      <c r="C38" s="2" t="s">
        <v>16</v>
      </c>
      <c r="D38" s="2" t="s">
        <v>123</v>
      </c>
      <c r="E38" s="3">
        <v>45715</v>
      </c>
      <c r="F38" s="2">
        <f t="shared" si="0"/>
        <v>13</v>
      </c>
      <c r="G38" s="2">
        <f t="shared" si="1"/>
        <v>1</v>
      </c>
      <c r="H38" s="2" t="s">
        <v>12</v>
      </c>
      <c r="I38" s="2">
        <v>3</v>
      </c>
      <c r="J38" s="2">
        <v>0</v>
      </c>
      <c r="K38" s="2"/>
      <c r="L38" s="2">
        <v>0</v>
      </c>
      <c r="M38" s="2"/>
      <c r="N38" s="2"/>
      <c r="O38" s="2"/>
      <c r="P38" s="2"/>
      <c r="Q38" s="2"/>
    </row>
    <row r="39" spans="1:17">
      <c r="A39" s="1" t="s">
        <v>25</v>
      </c>
      <c r="B39" s="1" t="s">
        <v>20</v>
      </c>
      <c r="C39" s="2" t="s">
        <v>16</v>
      </c>
      <c r="D39" s="2" t="s">
        <v>123</v>
      </c>
      <c r="E39" s="3">
        <v>45715</v>
      </c>
      <c r="F39" s="2">
        <f t="shared" si="0"/>
        <v>13</v>
      </c>
      <c r="G39" s="2">
        <f t="shared" si="1"/>
        <v>2</v>
      </c>
      <c r="H39" s="2" t="s">
        <v>12</v>
      </c>
      <c r="I39" s="2">
        <v>5</v>
      </c>
      <c r="J39" s="2">
        <v>1</v>
      </c>
      <c r="K39" s="2"/>
      <c r="L39" s="2">
        <v>0</v>
      </c>
      <c r="M39" s="2"/>
      <c r="N39" s="2"/>
      <c r="O39" s="2"/>
      <c r="P39" s="2"/>
      <c r="Q39" s="2"/>
    </row>
    <row r="40" spans="1:17">
      <c r="A40" s="1" t="s">
        <v>25</v>
      </c>
      <c r="B40" s="1" t="s">
        <v>20</v>
      </c>
      <c r="C40" s="2" t="s">
        <v>16</v>
      </c>
      <c r="D40" s="2" t="s">
        <v>123</v>
      </c>
      <c r="E40" s="3">
        <v>45715</v>
      </c>
      <c r="F40" s="2">
        <f t="shared" si="0"/>
        <v>13</v>
      </c>
      <c r="G40" s="2">
        <f t="shared" si="1"/>
        <v>3</v>
      </c>
      <c r="H40" s="2" t="s">
        <v>12</v>
      </c>
      <c r="I40" s="2">
        <v>3</v>
      </c>
      <c r="J40" s="2">
        <v>0</v>
      </c>
      <c r="K40" s="2"/>
      <c r="L40" s="2">
        <v>0</v>
      </c>
      <c r="M40" s="2"/>
      <c r="N40" s="2"/>
      <c r="O40" s="2"/>
      <c r="P40" s="2"/>
      <c r="Q40" s="2"/>
    </row>
    <row r="41" spans="1:17">
      <c r="A41" s="1" t="s">
        <v>25</v>
      </c>
      <c r="B41" s="1" t="s">
        <v>20</v>
      </c>
      <c r="C41" s="2" t="s">
        <v>16</v>
      </c>
      <c r="D41" s="2" t="s">
        <v>123</v>
      </c>
      <c r="E41" s="3">
        <v>45716</v>
      </c>
      <c r="F41" s="2">
        <f t="shared" si="0"/>
        <v>14</v>
      </c>
      <c r="G41" s="2">
        <f t="shared" si="1"/>
        <v>1</v>
      </c>
      <c r="H41" s="2" t="s">
        <v>9</v>
      </c>
      <c r="I41" s="2">
        <v>5</v>
      </c>
      <c r="J41" s="2">
        <v>1</v>
      </c>
      <c r="K41" s="2"/>
      <c r="L41" s="2"/>
      <c r="M41" s="2"/>
      <c r="N41" s="2"/>
      <c r="O41" s="2"/>
      <c r="P41" s="2"/>
      <c r="Q41" s="2"/>
    </row>
    <row r="42" spans="1:17">
      <c r="A42" s="1" t="s">
        <v>25</v>
      </c>
      <c r="B42" s="1" t="s">
        <v>20</v>
      </c>
      <c r="C42" s="2" t="s">
        <v>16</v>
      </c>
      <c r="D42" s="2" t="s">
        <v>123</v>
      </c>
      <c r="E42" s="3">
        <v>45716</v>
      </c>
      <c r="F42" s="2">
        <f t="shared" si="0"/>
        <v>14</v>
      </c>
      <c r="G42" s="2">
        <f t="shared" si="1"/>
        <v>2</v>
      </c>
      <c r="H42" s="2" t="s">
        <v>9</v>
      </c>
      <c r="I42" s="2">
        <v>3</v>
      </c>
      <c r="J42" s="2">
        <v>1</v>
      </c>
      <c r="K42" s="2"/>
      <c r="L42" s="2"/>
      <c r="M42" s="2"/>
      <c r="N42" s="2"/>
      <c r="O42" s="2"/>
      <c r="P42" s="2"/>
      <c r="Q42" s="2"/>
    </row>
    <row r="43" spans="1:17">
      <c r="A43" s="1" t="s">
        <v>25</v>
      </c>
      <c r="B43" s="1" t="s">
        <v>20</v>
      </c>
      <c r="C43" s="2" t="s">
        <v>16</v>
      </c>
      <c r="D43" s="2" t="s">
        <v>123</v>
      </c>
      <c r="E43" s="3">
        <v>45716</v>
      </c>
      <c r="F43" s="2">
        <f t="shared" si="0"/>
        <v>14</v>
      </c>
      <c r="G43" s="2">
        <f t="shared" si="1"/>
        <v>3</v>
      </c>
      <c r="H43" s="2" t="s">
        <v>9</v>
      </c>
      <c r="I43" s="2">
        <v>3</v>
      </c>
      <c r="J43" s="2">
        <v>1</v>
      </c>
      <c r="K43" s="2"/>
      <c r="L43" s="2"/>
      <c r="M43" s="2"/>
      <c r="N43" s="2"/>
      <c r="O43" s="2"/>
      <c r="P43" s="2"/>
      <c r="Q43" s="2"/>
    </row>
    <row r="44" spans="1:17">
      <c r="A44" s="1" t="s">
        <v>25</v>
      </c>
      <c r="B44" s="1" t="s">
        <v>20</v>
      </c>
      <c r="C44" s="2" t="s">
        <v>16</v>
      </c>
      <c r="D44" s="2" t="s">
        <v>123</v>
      </c>
      <c r="E44" s="3">
        <v>45716</v>
      </c>
      <c r="F44" s="2">
        <f t="shared" si="0"/>
        <v>15</v>
      </c>
      <c r="G44" s="2">
        <f t="shared" si="1"/>
        <v>1</v>
      </c>
      <c r="H44" s="2" t="s">
        <v>11</v>
      </c>
      <c r="I44" s="2">
        <v>2</v>
      </c>
      <c r="J44" s="2">
        <v>1</v>
      </c>
      <c r="K44" s="2"/>
      <c r="L44" s="2"/>
      <c r="M44" s="2"/>
      <c r="N44" s="2"/>
      <c r="O44" s="2"/>
      <c r="P44" s="2"/>
      <c r="Q44" s="2"/>
    </row>
    <row r="45" spans="1:17">
      <c r="A45" s="1" t="s">
        <v>25</v>
      </c>
      <c r="B45" s="1" t="s">
        <v>20</v>
      </c>
      <c r="C45" s="2" t="s">
        <v>16</v>
      </c>
      <c r="D45" s="2" t="s">
        <v>123</v>
      </c>
      <c r="E45" s="3">
        <v>45716</v>
      </c>
      <c r="F45" s="2">
        <f t="shared" si="0"/>
        <v>15</v>
      </c>
      <c r="G45" s="2">
        <f t="shared" si="1"/>
        <v>2</v>
      </c>
      <c r="H45" s="2" t="s">
        <v>11</v>
      </c>
      <c r="I45" s="2">
        <v>3</v>
      </c>
      <c r="J45" s="2">
        <v>0</v>
      </c>
      <c r="K45" s="2"/>
      <c r="L45" s="2"/>
      <c r="M45" s="2"/>
      <c r="N45" s="2"/>
      <c r="O45" s="2"/>
      <c r="P45" s="2"/>
      <c r="Q45" s="2"/>
    </row>
    <row r="46" spans="1:17">
      <c r="A46" s="1" t="s">
        <v>25</v>
      </c>
      <c r="B46" s="1" t="s">
        <v>20</v>
      </c>
      <c r="C46" s="2" t="s">
        <v>16</v>
      </c>
      <c r="D46" s="2" t="s">
        <v>123</v>
      </c>
      <c r="E46" s="3">
        <v>45716</v>
      </c>
      <c r="F46" s="2">
        <f t="shared" si="0"/>
        <v>15</v>
      </c>
      <c r="G46" s="2">
        <f t="shared" si="1"/>
        <v>3</v>
      </c>
      <c r="H46" s="2" t="s">
        <v>11</v>
      </c>
      <c r="I46" s="2">
        <v>0</v>
      </c>
      <c r="J46" s="2">
        <v>2</v>
      </c>
      <c r="K46" s="2"/>
      <c r="L46" s="2"/>
      <c r="M46" s="2"/>
      <c r="N46" s="2"/>
      <c r="O46" s="2"/>
      <c r="P46" s="2"/>
      <c r="Q46" s="2"/>
    </row>
    <row r="47" spans="1:17">
      <c r="A47" s="1" t="s">
        <v>25</v>
      </c>
      <c r="B47" s="1" t="s">
        <v>20</v>
      </c>
      <c r="C47" s="2" t="s">
        <v>16</v>
      </c>
      <c r="D47" s="2" t="s">
        <v>123</v>
      </c>
      <c r="E47" s="3">
        <v>45720</v>
      </c>
      <c r="F47" s="2">
        <f t="shared" si="0"/>
        <v>16</v>
      </c>
      <c r="G47" s="2">
        <f t="shared" si="1"/>
        <v>1</v>
      </c>
      <c r="H47" s="2" t="s">
        <v>14</v>
      </c>
      <c r="I47" s="2">
        <v>3</v>
      </c>
      <c r="J47" s="2">
        <v>1</v>
      </c>
      <c r="K47" s="2"/>
      <c r="L47" s="2">
        <v>1</v>
      </c>
      <c r="M47" s="2"/>
      <c r="N47" s="2"/>
      <c r="O47" s="2"/>
      <c r="P47" s="2"/>
      <c r="Q47" s="2"/>
    </row>
    <row r="48" spans="1:17">
      <c r="A48" s="1" t="s">
        <v>25</v>
      </c>
      <c r="B48" s="1" t="s">
        <v>20</v>
      </c>
      <c r="C48" s="2" t="s">
        <v>16</v>
      </c>
      <c r="D48" s="2" t="s">
        <v>123</v>
      </c>
      <c r="E48" s="3">
        <v>45720</v>
      </c>
      <c r="F48" s="2">
        <f t="shared" si="0"/>
        <v>16</v>
      </c>
      <c r="G48" s="2">
        <f t="shared" si="1"/>
        <v>2</v>
      </c>
      <c r="H48" s="2" t="s">
        <v>14</v>
      </c>
      <c r="I48" s="2">
        <v>6</v>
      </c>
      <c r="J48" s="2">
        <v>0</v>
      </c>
      <c r="K48" s="2"/>
      <c r="L48" s="2">
        <v>2</v>
      </c>
      <c r="M48" s="2"/>
      <c r="N48" s="2"/>
      <c r="O48" s="2"/>
      <c r="P48" s="2"/>
      <c r="Q48" s="2"/>
    </row>
    <row r="49" spans="1:17">
      <c r="A49" s="1" t="s">
        <v>25</v>
      </c>
      <c r="B49" s="1" t="s">
        <v>20</v>
      </c>
      <c r="C49" s="2" t="s">
        <v>16</v>
      </c>
      <c r="D49" s="2" t="s">
        <v>123</v>
      </c>
      <c r="E49" s="3">
        <v>45720</v>
      </c>
      <c r="F49" s="2">
        <f t="shared" si="0"/>
        <v>16</v>
      </c>
      <c r="G49" s="2">
        <f t="shared" si="1"/>
        <v>3</v>
      </c>
      <c r="H49" s="2" t="s">
        <v>14</v>
      </c>
      <c r="I49" s="2">
        <v>0</v>
      </c>
      <c r="J49" s="2">
        <v>0</v>
      </c>
      <c r="K49" s="2"/>
      <c r="L49" s="2">
        <v>2</v>
      </c>
      <c r="M49" s="2"/>
      <c r="N49" s="2"/>
      <c r="O49" s="2"/>
      <c r="P49" s="2"/>
      <c r="Q49" s="2"/>
    </row>
    <row r="50" spans="1:17">
      <c r="A50" s="1" t="s">
        <v>25</v>
      </c>
      <c r="B50" s="1" t="s">
        <v>20</v>
      </c>
      <c r="C50" s="2" t="s">
        <v>16</v>
      </c>
      <c r="D50" s="2" t="s">
        <v>123</v>
      </c>
      <c r="E50" s="3">
        <v>45721</v>
      </c>
      <c r="F50" s="2">
        <f t="shared" si="0"/>
        <v>17</v>
      </c>
      <c r="G50" s="2">
        <f t="shared" si="1"/>
        <v>1</v>
      </c>
      <c r="H50" s="2" t="s">
        <v>9</v>
      </c>
      <c r="I50" s="2">
        <v>5</v>
      </c>
      <c r="J50" s="2">
        <v>0</v>
      </c>
      <c r="K50" s="2"/>
      <c r="L50" s="2"/>
      <c r="M50" s="2"/>
      <c r="N50" s="2"/>
      <c r="O50" s="2"/>
      <c r="P50" s="2"/>
      <c r="Q50" s="2"/>
    </row>
    <row r="51" spans="1:17">
      <c r="A51" s="1" t="s">
        <v>25</v>
      </c>
      <c r="B51" s="1" t="s">
        <v>20</v>
      </c>
      <c r="C51" s="2" t="s">
        <v>16</v>
      </c>
      <c r="D51" s="2" t="s">
        <v>123</v>
      </c>
      <c r="E51" s="3">
        <v>45721</v>
      </c>
      <c r="F51" s="2">
        <f t="shared" si="0"/>
        <v>17</v>
      </c>
      <c r="G51" s="2">
        <f t="shared" si="1"/>
        <v>2</v>
      </c>
      <c r="H51" s="2" t="s">
        <v>9</v>
      </c>
      <c r="I51" s="2">
        <v>0</v>
      </c>
      <c r="J51" s="2">
        <v>1</v>
      </c>
      <c r="K51" s="2"/>
      <c r="L51" s="2"/>
      <c r="M51" s="2"/>
      <c r="N51" s="2"/>
      <c r="O51" s="2"/>
      <c r="P51" s="2"/>
      <c r="Q51" s="2"/>
    </row>
    <row r="52" spans="1:17">
      <c r="A52" s="1" t="s">
        <v>25</v>
      </c>
      <c r="B52" s="1" t="s">
        <v>20</v>
      </c>
      <c r="C52" s="2" t="s">
        <v>16</v>
      </c>
      <c r="D52" s="2" t="s">
        <v>123</v>
      </c>
      <c r="E52" s="3">
        <v>45721</v>
      </c>
      <c r="F52" s="2">
        <f t="shared" si="0"/>
        <v>17</v>
      </c>
      <c r="G52" s="2">
        <f t="shared" si="1"/>
        <v>3</v>
      </c>
      <c r="H52" s="2" t="s">
        <v>9</v>
      </c>
      <c r="I52" s="2">
        <v>3</v>
      </c>
      <c r="J52" s="2">
        <v>0</v>
      </c>
      <c r="K52" s="2"/>
      <c r="L52" s="2"/>
      <c r="M52" s="2"/>
      <c r="N52" s="2"/>
      <c r="O52" s="2"/>
      <c r="P52" s="2"/>
      <c r="Q52" s="2"/>
    </row>
    <row r="53" spans="1:17">
      <c r="A53" s="1" t="s">
        <v>25</v>
      </c>
      <c r="B53" s="1" t="s">
        <v>20</v>
      </c>
      <c r="C53" s="2" t="s">
        <v>16</v>
      </c>
      <c r="D53" s="2" t="s">
        <v>123</v>
      </c>
      <c r="E53" s="3">
        <v>45722</v>
      </c>
      <c r="F53" s="2">
        <f t="shared" si="0"/>
        <v>18</v>
      </c>
      <c r="G53" s="2">
        <f t="shared" si="1"/>
        <v>1</v>
      </c>
      <c r="H53" s="2" t="s">
        <v>11</v>
      </c>
      <c r="I53" s="2">
        <v>5</v>
      </c>
      <c r="J53" s="2">
        <v>1</v>
      </c>
      <c r="K53" s="2"/>
      <c r="L53" s="2"/>
      <c r="M53" s="2"/>
      <c r="N53" s="2"/>
      <c r="O53" s="2"/>
      <c r="P53" s="2"/>
      <c r="Q53" s="2"/>
    </row>
    <row r="54" spans="1:17">
      <c r="A54" s="1" t="s">
        <v>25</v>
      </c>
      <c r="B54" s="1" t="s">
        <v>20</v>
      </c>
      <c r="C54" s="2" t="s">
        <v>16</v>
      </c>
      <c r="D54" s="2" t="s">
        <v>123</v>
      </c>
      <c r="E54" s="3">
        <v>45722</v>
      </c>
      <c r="F54" s="2">
        <f t="shared" si="0"/>
        <v>18</v>
      </c>
      <c r="G54" s="2">
        <f t="shared" si="1"/>
        <v>2</v>
      </c>
      <c r="H54" s="2" t="s">
        <v>11</v>
      </c>
      <c r="I54" s="2">
        <v>4</v>
      </c>
      <c r="J54" s="2">
        <v>0</v>
      </c>
      <c r="K54" s="2"/>
      <c r="L54" s="2"/>
      <c r="M54" s="2"/>
      <c r="N54" s="2"/>
      <c r="O54" s="2"/>
      <c r="P54" s="2"/>
      <c r="Q54" s="2"/>
    </row>
    <row r="55" spans="1:17">
      <c r="A55" s="1" t="s">
        <v>25</v>
      </c>
      <c r="B55" s="1" t="s">
        <v>20</v>
      </c>
      <c r="C55" s="2" t="s">
        <v>16</v>
      </c>
      <c r="D55" s="2" t="s">
        <v>123</v>
      </c>
      <c r="E55" s="3">
        <v>45722</v>
      </c>
      <c r="F55" s="2">
        <f t="shared" si="0"/>
        <v>18</v>
      </c>
      <c r="G55" s="2">
        <f t="shared" si="1"/>
        <v>3</v>
      </c>
      <c r="H55" s="2" t="s">
        <v>11</v>
      </c>
      <c r="I55" s="2">
        <v>0</v>
      </c>
      <c r="J55" s="2">
        <v>3</v>
      </c>
      <c r="K55" s="2"/>
      <c r="L55" s="2"/>
      <c r="M55" s="2"/>
      <c r="N55" s="2"/>
      <c r="O55" s="2"/>
      <c r="P55" s="2"/>
      <c r="Q55" s="2"/>
    </row>
    <row r="56" spans="1:17">
      <c r="A56" s="1" t="s">
        <v>25</v>
      </c>
      <c r="B56" s="1" t="s">
        <v>20</v>
      </c>
      <c r="C56" s="2" t="s">
        <v>17</v>
      </c>
      <c r="D56" s="2" t="s">
        <v>123</v>
      </c>
      <c r="E56" s="3">
        <v>45722</v>
      </c>
      <c r="F56" s="2">
        <f t="shared" si="0"/>
        <v>19</v>
      </c>
      <c r="G56" s="2">
        <f t="shared" si="1"/>
        <v>1</v>
      </c>
      <c r="H56" s="2" t="s">
        <v>9</v>
      </c>
      <c r="I56" s="2">
        <v>0</v>
      </c>
      <c r="J56" s="2">
        <v>4</v>
      </c>
      <c r="K56" s="2"/>
      <c r="L56" s="2"/>
      <c r="M56" s="2"/>
      <c r="N56" s="2"/>
      <c r="O56" s="2"/>
      <c r="P56" s="2"/>
      <c r="Q56" s="2"/>
    </row>
    <row r="57" spans="1:17">
      <c r="A57" s="1" t="s">
        <v>25</v>
      </c>
      <c r="B57" s="1" t="s">
        <v>20</v>
      </c>
      <c r="C57" s="2" t="s">
        <v>17</v>
      </c>
      <c r="D57" s="2" t="s">
        <v>123</v>
      </c>
      <c r="E57" s="3">
        <v>45722</v>
      </c>
      <c r="F57" s="2">
        <f t="shared" si="0"/>
        <v>19</v>
      </c>
      <c r="G57" s="2">
        <f t="shared" si="1"/>
        <v>2</v>
      </c>
      <c r="H57" s="2" t="s">
        <v>9</v>
      </c>
      <c r="I57" s="2">
        <v>2</v>
      </c>
      <c r="J57" s="2">
        <v>1</v>
      </c>
      <c r="K57" s="2"/>
      <c r="L57" s="2"/>
      <c r="M57" s="2"/>
      <c r="N57" s="2"/>
      <c r="O57" s="2"/>
      <c r="P57" s="2"/>
      <c r="Q57" s="2"/>
    </row>
    <row r="58" spans="1:17">
      <c r="A58" s="1" t="s">
        <v>25</v>
      </c>
      <c r="B58" s="1" t="s">
        <v>20</v>
      </c>
      <c r="C58" s="2" t="s">
        <v>17</v>
      </c>
      <c r="D58" s="2" t="s">
        <v>123</v>
      </c>
      <c r="E58" s="3">
        <v>45722</v>
      </c>
      <c r="F58" s="2">
        <f t="shared" si="0"/>
        <v>19</v>
      </c>
      <c r="G58" s="2">
        <f t="shared" si="1"/>
        <v>3</v>
      </c>
      <c r="H58" s="2" t="s">
        <v>9</v>
      </c>
      <c r="I58" s="2">
        <v>3</v>
      </c>
      <c r="J58" s="2">
        <v>3</v>
      </c>
      <c r="K58" s="2"/>
      <c r="L58" s="2"/>
      <c r="M58" s="2"/>
      <c r="N58" s="2"/>
      <c r="O58" s="2"/>
      <c r="P58" s="2"/>
      <c r="Q58" s="2"/>
    </row>
    <row r="59" spans="1:17">
      <c r="A59" s="1" t="s">
        <v>25</v>
      </c>
      <c r="B59" s="1" t="s">
        <v>20</v>
      </c>
      <c r="C59" s="2" t="s">
        <v>16</v>
      </c>
      <c r="D59" s="2" t="s">
        <v>123</v>
      </c>
      <c r="E59" s="3">
        <v>45723</v>
      </c>
      <c r="F59" s="2">
        <f t="shared" si="0"/>
        <v>20</v>
      </c>
      <c r="G59" s="2">
        <f t="shared" si="1"/>
        <v>1</v>
      </c>
      <c r="H59" s="2" t="s">
        <v>9</v>
      </c>
      <c r="I59" s="2">
        <v>1</v>
      </c>
      <c r="J59" s="2">
        <v>1</v>
      </c>
      <c r="K59" s="2"/>
      <c r="L59" s="2"/>
      <c r="M59" s="2"/>
      <c r="N59" s="2"/>
      <c r="O59" s="2"/>
      <c r="P59" s="2"/>
      <c r="Q59" s="2"/>
    </row>
    <row r="60" spans="1:17">
      <c r="A60" s="1" t="s">
        <v>25</v>
      </c>
      <c r="B60" s="1" t="s">
        <v>20</v>
      </c>
      <c r="C60" s="2" t="s">
        <v>16</v>
      </c>
      <c r="D60" s="2" t="s">
        <v>123</v>
      </c>
      <c r="E60" s="3">
        <v>45723</v>
      </c>
      <c r="F60" s="2">
        <f t="shared" si="0"/>
        <v>20</v>
      </c>
      <c r="G60" s="2">
        <f t="shared" si="1"/>
        <v>2</v>
      </c>
      <c r="H60" s="2" t="s">
        <v>9</v>
      </c>
      <c r="I60" s="2">
        <v>1</v>
      </c>
      <c r="J60" s="2">
        <v>0</v>
      </c>
      <c r="K60" s="2"/>
      <c r="L60" s="2"/>
      <c r="M60" s="2"/>
      <c r="N60" s="2"/>
      <c r="O60" s="2"/>
      <c r="P60" s="2"/>
      <c r="Q60" s="2"/>
    </row>
    <row r="61" spans="1:17">
      <c r="A61" s="1" t="s">
        <v>25</v>
      </c>
      <c r="B61" s="1" t="s">
        <v>20</v>
      </c>
      <c r="C61" s="2" t="s">
        <v>16</v>
      </c>
      <c r="D61" s="2" t="s">
        <v>123</v>
      </c>
      <c r="E61" s="3">
        <v>45723</v>
      </c>
      <c r="F61" s="2">
        <f t="shared" si="0"/>
        <v>20</v>
      </c>
      <c r="G61" s="2">
        <f t="shared" si="1"/>
        <v>3</v>
      </c>
      <c r="H61" s="2" t="s">
        <v>9</v>
      </c>
      <c r="I61" s="2">
        <v>2</v>
      </c>
      <c r="J61" s="2">
        <v>1</v>
      </c>
      <c r="K61" s="2"/>
      <c r="L61" s="2"/>
      <c r="M61" s="2"/>
      <c r="N61" s="2"/>
      <c r="O61" s="2"/>
      <c r="P61" s="2"/>
      <c r="Q61" s="2"/>
    </row>
    <row r="62" spans="1:17">
      <c r="A62" s="1" t="s">
        <v>25</v>
      </c>
      <c r="B62" s="1" t="s">
        <v>20</v>
      </c>
      <c r="C62" s="2" t="s">
        <v>16</v>
      </c>
      <c r="D62" s="2" t="s">
        <v>123</v>
      </c>
      <c r="E62" s="3">
        <v>45726</v>
      </c>
      <c r="F62" s="2">
        <f t="shared" si="0"/>
        <v>21</v>
      </c>
      <c r="G62" s="2">
        <f t="shared" si="1"/>
        <v>1</v>
      </c>
      <c r="H62" s="2" t="s">
        <v>11</v>
      </c>
      <c r="I62" s="2">
        <v>0</v>
      </c>
      <c r="J62" s="2">
        <v>2</v>
      </c>
      <c r="K62" s="2"/>
      <c r="L62" s="2"/>
      <c r="M62" s="2"/>
      <c r="N62" s="2"/>
      <c r="O62" s="2"/>
      <c r="P62" s="2"/>
      <c r="Q62" s="2"/>
    </row>
    <row r="63" spans="1:17">
      <c r="A63" s="1" t="s">
        <v>25</v>
      </c>
      <c r="B63" s="1" t="s">
        <v>20</v>
      </c>
      <c r="C63" s="2" t="s">
        <v>16</v>
      </c>
      <c r="D63" s="2" t="s">
        <v>123</v>
      </c>
      <c r="E63" s="3">
        <v>45726</v>
      </c>
      <c r="F63" s="2">
        <f t="shared" si="0"/>
        <v>21</v>
      </c>
      <c r="G63" s="2">
        <f t="shared" si="1"/>
        <v>2</v>
      </c>
      <c r="H63" s="2" t="s">
        <v>11</v>
      </c>
      <c r="I63" s="2">
        <v>6</v>
      </c>
      <c r="J63" s="2">
        <v>3</v>
      </c>
      <c r="K63" s="2"/>
      <c r="L63" s="2"/>
      <c r="M63" s="2"/>
      <c r="N63" s="2"/>
      <c r="O63" s="2"/>
      <c r="P63" s="2"/>
      <c r="Q63" s="2"/>
    </row>
    <row r="64" spans="1:17">
      <c r="A64" s="1" t="s">
        <v>25</v>
      </c>
      <c r="B64" s="1" t="s">
        <v>20</v>
      </c>
      <c r="C64" s="2" t="s">
        <v>16</v>
      </c>
      <c r="D64" s="2" t="s">
        <v>123</v>
      </c>
      <c r="E64" s="3">
        <v>45726</v>
      </c>
      <c r="F64" s="2">
        <f t="shared" si="0"/>
        <v>21</v>
      </c>
      <c r="G64" s="2">
        <f t="shared" si="1"/>
        <v>3</v>
      </c>
      <c r="H64" s="2" t="s">
        <v>11</v>
      </c>
      <c r="I64" s="2">
        <v>4</v>
      </c>
      <c r="J64" s="2">
        <v>2</v>
      </c>
      <c r="K64" s="2"/>
      <c r="L64" s="2"/>
      <c r="M64" s="2"/>
      <c r="N64" s="2"/>
      <c r="O64" s="2"/>
      <c r="P64" s="2"/>
      <c r="Q64" s="2"/>
    </row>
    <row r="65" spans="1:17">
      <c r="A65" s="1" t="s">
        <v>25</v>
      </c>
      <c r="B65" s="1" t="s">
        <v>20</v>
      </c>
      <c r="C65" s="2" t="s">
        <v>16</v>
      </c>
      <c r="D65" s="2" t="s">
        <v>123</v>
      </c>
      <c r="E65" s="3">
        <v>45727</v>
      </c>
      <c r="F65" s="2">
        <f t="shared" si="0"/>
        <v>22</v>
      </c>
      <c r="G65" s="2">
        <f t="shared" si="1"/>
        <v>1</v>
      </c>
      <c r="H65" s="2" t="s">
        <v>11</v>
      </c>
      <c r="I65" s="2">
        <v>3</v>
      </c>
      <c r="J65" s="2">
        <v>0</v>
      </c>
      <c r="K65" s="2"/>
      <c r="L65" s="2"/>
      <c r="M65" s="2"/>
      <c r="N65" s="2"/>
      <c r="O65" s="2"/>
      <c r="P65" s="2"/>
      <c r="Q65" s="2"/>
    </row>
    <row r="66" spans="1:17">
      <c r="A66" s="1" t="s">
        <v>25</v>
      </c>
      <c r="B66" s="1" t="s">
        <v>20</v>
      </c>
      <c r="C66" s="2" t="s">
        <v>16</v>
      </c>
      <c r="D66" s="2" t="s">
        <v>123</v>
      </c>
      <c r="E66" s="3">
        <v>45727</v>
      </c>
      <c r="F66" s="2">
        <f t="shared" si="0"/>
        <v>22</v>
      </c>
      <c r="G66" s="2">
        <f t="shared" si="1"/>
        <v>2</v>
      </c>
      <c r="H66" s="2" t="s">
        <v>11</v>
      </c>
      <c r="I66" s="2">
        <v>1</v>
      </c>
      <c r="J66" s="2">
        <v>0</v>
      </c>
      <c r="K66" s="2"/>
      <c r="L66" s="2"/>
      <c r="M66" s="2"/>
      <c r="N66" s="2"/>
      <c r="O66" s="2"/>
      <c r="P66" s="2"/>
      <c r="Q66" s="2"/>
    </row>
    <row r="67" spans="1:17">
      <c r="A67" s="1" t="s">
        <v>25</v>
      </c>
      <c r="B67" s="1" t="s">
        <v>20</v>
      </c>
      <c r="C67" s="2" t="s">
        <v>16</v>
      </c>
      <c r="D67" s="2" t="s">
        <v>123</v>
      </c>
      <c r="E67" s="3">
        <v>45727</v>
      </c>
      <c r="F67" s="2">
        <f t="shared" si="0"/>
        <v>22</v>
      </c>
      <c r="G67" s="2">
        <f t="shared" si="1"/>
        <v>3</v>
      </c>
      <c r="H67" s="2" t="s">
        <v>11</v>
      </c>
      <c r="I67" s="2">
        <v>0</v>
      </c>
      <c r="J67" s="2">
        <v>0</v>
      </c>
      <c r="K67" s="2"/>
      <c r="L67" s="2"/>
      <c r="M67" s="2"/>
      <c r="N67" s="2"/>
      <c r="O67" s="2"/>
      <c r="P67" s="2"/>
      <c r="Q67" s="2"/>
    </row>
    <row r="68" spans="1:17">
      <c r="A68" s="1" t="s">
        <v>25</v>
      </c>
      <c r="B68" s="1" t="s">
        <v>20</v>
      </c>
      <c r="C68" s="2" t="s">
        <v>16</v>
      </c>
      <c r="D68" s="2" t="s">
        <v>123</v>
      </c>
      <c r="E68" s="3">
        <v>45728</v>
      </c>
      <c r="F68" s="2">
        <f t="shared" si="0"/>
        <v>23</v>
      </c>
      <c r="G68" s="2">
        <f t="shared" si="1"/>
        <v>1</v>
      </c>
      <c r="H68" s="2" t="s">
        <v>9</v>
      </c>
      <c r="I68" s="2">
        <v>4</v>
      </c>
      <c r="J68" s="2">
        <v>0</v>
      </c>
      <c r="K68" s="2"/>
      <c r="L68" s="2"/>
      <c r="M68" s="2"/>
      <c r="N68" s="2"/>
      <c r="O68" s="2"/>
      <c r="P68" s="2"/>
      <c r="Q68" s="2"/>
    </row>
    <row r="69" spans="1:17">
      <c r="A69" s="1" t="s">
        <v>25</v>
      </c>
      <c r="B69" s="1" t="s">
        <v>20</v>
      </c>
      <c r="C69" s="2" t="s">
        <v>16</v>
      </c>
      <c r="D69" s="2" t="s">
        <v>123</v>
      </c>
      <c r="E69" s="3">
        <v>45728</v>
      </c>
      <c r="F69" s="2">
        <f t="shared" si="0"/>
        <v>23</v>
      </c>
      <c r="G69" s="2">
        <f t="shared" si="1"/>
        <v>2</v>
      </c>
      <c r="H69" s="2" t="s">
        <v>9</v>
      </c>
      <c r="I69" s="2">
        <v>0</v>
      </c>
      <c r="J69" s="2">
        <v>1</v>
      </c>
      <c r="K69" s="2"/>
      <c r="L69" s="2"/>
      <c r="M69" s="2"/>
      <c r="N69" s="2"/>
      <c r="O69" s="2"/>
      <c r="P69" s="2"/>
      <c r="Q69" s="2"/>
    </row>
    <row r="70" spans="1:17">
      <c r="A70" s="1" t="s">
        <v>25</v>
      </c>
      <c r="B70" s="1" t="s">
        <v>20</v>
      </c>
      <c r="C70" s="2" t="s">
        <v>16</v>
      </c>
      <c r="D70" s="2" t="s">
        <v>123</v>
      </c>
      <c r="E70" s="3">
        <v>45728</v>
      </c>
      <c r="F70" s="2">
        <f t="shared" ref="F70:F134" si="2">F67+1</f>
        <v>23</v>
      </c>
      <c r="G70" s="2">
        <f t="shared" si="1"/>
        <v>3</v>
      </c>
      <c r="H70" s="2" t="s">
        <v>9</v>
      </c>
      <c r="I70" s="2">
        <v>7</v>
      </c>
      <c r="J70" s="2">
        <v>1</v>
      </c>
      <c r="K70" s="2"/>
      <c r="L70" s="2"/>
      <c r="M70" s="2"/>
      <c r="N70" s="2"/>
      <c r="O70" s="2"/>
      <c r="P70" s="2"/>
      <c r="Q70" s="2"/>
    </row>
    <row r="71" spans="1:17">
      <c r="A71" s="1" t="s">
        <v>25</v>
      </c>
      <c r="B71" s="1" t="s">
        <v>20</v>
      </c>
      <c r="C71" s="2" t="s">
        <v>16</v>
      </c>
      <c r="D71" s="2" t="s">
        <v>123</v>
      </c>
      <c r="E71" s="3">
        <v>45729</v>
      </c>
      <c r="F71" s="2">
        <f t="shared" si="2"/>
        <v>24</v>
      </c>
      <c r="G71" s="2">
        <f t="shared" si="1"/>
        <v>1</v>
      </c>
      <c r="H71" s="2" t="s">
        <v>9</v>
      </c>
      <c r="I71" s="2">
        <v>7</v>
      </c>
      <c r="J71" s="2">
        <v>1</v>
      </c>
      <c r="K71" s="2"/>
      <c r="L71" s="2"/>
      <c r="M71" s="2"/>
      <c r="N71" s="2"/>
      <c r="O71" s="2"/>
      <c r="P71" s="2"/>
      <c r="Q71" s="2"/>
    </row>
    <row r="72" spans="1:17">
      <c r="A72" s="1" t="s">
        <v>25</v>
      </c>
      <c r="B72" s="1" t="s">
        <v>20</v>
      </c>
      <c r="C72" s="2" t="s">
        <v>16</v>
      </c>
      <c r="D72" s="2" t="s">
        <v>123</v>
      </c>
      <c r="E72" s="3">
        <v>45729</v>
      </c>
      <c r="F72" s="2">
        <f t="shared" si="2"/>
        <v>24</v>
      </c>
      <c r="G72" s="2">
        <f t="shared" ref="G72:G137" si="3">G69</f>
        <v>2</v>
      </c>
      <c r="H72" s="2" t="s">
        <v>9</v>
      </c>
      <c r="I72" s="2">
        <v>2</v>
      </c>
      <c r="J72" s="2">
        <v>0</v>
      </c>
      <c r="K72" s="2"/>
      <c r="L72" s="2"/>
      <c r="M72" s="2"/>
      <c r="N72" s="2"/>
      <c r="O72" s="2"/>
      <c r="P72" s="2"/>
      <c r="Q72" s="2"/>
    </row>
    <row r="73" spans="1:17">
      <c r="A73" s="1" t="s">
        <v>25</v>
      </c>
      <c r="B73" s="1" t="s">
        <v>20</v>
      </c>
      <c r="C73" s="2" t="s">
        <v>16</v>
      </c>
      <c r="D73" s="2" t="s">
        <v>123</v>
      </c>
      <c r="E73" s="3">
        <v>45729</v>
      </c>
      <c r="F73" s="2">
        <f t="shared" si="2"/>
        <v>24</v>
      </c>
      <c r="G73" s="2">
        <f t="shared" si="3"/>
        <v>3</v>
      </c>
      <c r="H73" s="2" t="s">
        <v>9</v>
      </c>
      <c r="I73" s="2">
        <v>1</v>
      </c>
      <c r="J73" s="2">
        <v>0</v>
      </c>
      <c r="K73" s="2"/>
      <c r="L73" s="2"/>
      <c r="M73" s="2"/>
      <c r="N73" s="2"/>
      <c r="O73" s="2"/>
      <c r="P73" s="2"/>
      <c r="Q73" s="2"/>
    </row>
    <row r="74" spans="1:17">
      <c r="A74" s="1" t="s">
        <v>25</v>
      </c>
      <c r="B74" s="1" t="s">
        <v>20</v>
      </c>
      <c r="C74" s="2" t="s">
        <v>18</v>
      </c>
      <c r="D74" s="2" t="s">
        <v>123</v>
      </c>
      <c r="E74" s="3">
        <v>45740</v>
      </c>
      <c r="F74" s="2">
        <f t="shared" si="2"/>
        <v>25</v>
      </c>
      <c r="G74" s="2">
        <f t="shared" si="3"/>
        <v>1</v>
      </c>
      <c r="H74" s="2" t="s">
        <v>13</v>
      </c>
      <c r="I74" s="2">
        <v>0</v>
      </c>
      <c r="J74" s="2">
        <v>2</v>
      </c>
      <c r="K74" s="2"/>
      <c r="L74" s="2">
        <v>1</v>
      </c>
      <c r="M74" s="2"/>
      <c r="N74" s="2"/>
      <c r="O74" s="2"/>
      <c r="P74" s="2"/>
      <c r="Q74" s="2"/>
    </row>
    <row r="75" spans="1:17">
      <c r="A75" s="1" t="s">
        <v>25</v>
      </c>
      <c r="B75" s="1" t="s">
        <v>20</v>
      </c>
      <c r="C75" s="2" t="s">
        <v>18</v>
      </c>
      <c r="D75" s="2" t="s">
        <v>123</v>
      </c>
      <c r="E75" s="3">
        <v>45740</v>
      </c>
      <c r="F75" s="2">
        <f t="shared" si="2"/>
        <v>25</v>
      </c>
      <c r="G75" s="2">
        <f t="shared" si="3"/>
        <v>2</v>
      </c>
      <c r="H75" s="2" t="s">
        <v>13</v>
      </c>
      <c r="I75" s="2">
        <v>4</v>
      </c>
      <c r="J75" s="2">
        <v>0</v>
      </c>
      <c r="K75" s="2"/>
      <c r="L75" s="2">
        <v>0</v>
      </c>
      <c r="M75" s="2"/>
      <c r="N75" s="2"/>
      <c r="O75" s="2"/>
      <c r="P75" s="2"/>
      <c r="Q75" s="2"/>
    </row>
    <row r="76" spans="1:17">
      <c r="A76" s="1" t="s">
        <v>25</v>
      </c>
      <c r="B76" s="1" t="s">
        <v>20</v>
      </c>
      <c r="C76" s="2" t="s">
        <v>18</v>
      </c>
      <c r="D76" s="2" t="s">
        <v>123</v>
      </c>
      <c r="E76" s="3">
        <v>45740</v>
      </c>
      <c r="F76" s="2">
        <f t="shared" si="2"/>
        <v>25</v>
      </c>
      <c r="G76" s="2">
        <f t="shared" si="3"/>
        <v>3</v>
      </c>
      <c r="H76" s="2" t="s">
        <v>13</v>
      </c>
      <c r="I76" s="2">
        <v>2</v>
      </c>
      <c r="J76" s="2">
        <v>1</v>
      </c>
      <c r="K76" s="2"/>
      <c r="L76" s="2">
        <v>0</v>
      </c>
      <c r="M76" s="2"/>
      <c r="N76" s="2"/>
      <c r="O76" s="2"/>
      <c r="P76" s="2"/>
      <c r="Q76" s="2"/>
    </row>
    <row r="77" spans="1:17">
      <c r="A77" s="1" t="s">
        <v>25</v>
      </c>
      <c r="B77" s="1" t="s">
        <v>20</v>
      </c>
      <c r="C77" s="2" t="s">
        <v>16</v>
      </c>
      <c r="D77" s="2" t="s">
        <v>123</v>
      </c>
      <c r="E77" s="3">
        <v>45741</v>
      </c>
      <c r="F77" s="2">
        <f t="shared" si="2"/>
        <v>26</v>
      </c>
      <c r="G77" s="2">
        <f t="shared" si="3"/>
        <v>1</v>
      </c>
      <c r="H77" s="2" t="s">
        <v>11</v>
      </c>
      <c r="I77" s="2">
        <v>6</v>
      </c>
      <c r="J77" s="2">
        <v>5</v>
      </c>
      <c r="K77" s="2"/>
      <c r="L77" s="2"/>
      <c r="M77" s="2"/>
      <c r="N77" s="2"/>
      <c r="O77" s="2"/>
      <c r="P77" s="2"/>
      <c r="Q77" s="2"/>
    </row>
    <row r="78" spans="1:17">
      <c r="A78" s="1" t="s">
        <v>25</v>
      </c>
      <c r="B78" s="1" t="s">
        <v>20</v>
      </c>
      <c r="C78" s="2" t="s">
        <v>16</v>
      </c>
      <c r="D78" s="2" t="s">
        <v>123</v>
      </c>
      <c r="E78" s="3">
        <v>45741</v>
      </c>
      <c r="F78" s="2">
        <f t="shared" si="2"/>
        <v>26</v>
      </c>
      <c r="G78" s="2">
        <f t="shared" si="3"/>
        <v>2</v>
      </c>
      <c r="H78" s="2" t="s">
        <v>11</v>
      </c>
      <c r="I78" s="2">
        <v>3</v>
      </c>
      <c r="J78" s="2">
        <v>3</v>
      </c>
      <c r="K78" s="2"/>
      <c r="L78" s="2"/>
      <c r="M78" s="2"/>
      <c r="N78" s="2"/>
      <c r="O78" s="2"/>
      <c r="P78" s="2"/>
      <c r="Q78" s="2"/>
    </row>
    <row r="79" spans="1:17">
      <c r="A79" s="1" t="s">
        <v>25</v>
      </c>
      <c r="B79" s="1" t="s">
        <v>20</v>
      </c>
      <c r="C79" s="2" t="s">
        <v>16</v>
      </c>
      <c r="D79" s="2" t="s">
        <v>123</v>
      </c>
      <c r="E79" s="3">
        <v>45741</v>
      </c>
      <c r="F79" s="2">
        <f t="shared" si="2"/>
        <v>26</v>
      </c>
      <c r="G79" s="2">
        <f t="shared" si="3"/>
        <v>3</v>
      </c>
      <c r="H79" s="2" t="s">
        <v>11</v>
      </c>
      <c r="I79" s="2">
        <v>3</v>
      </c>
      <c r="J79" s="2">
        <v>3</v>
      </c>
      <c r="K79" s="2"/>
      <c r="L79" s="2"/>
      <c r="M79" s="2"/>
      <c r="N79" s="2"/>
      <c r="O79" s="2"/>
      <c r="P79" s="2"/>
      <c r="Q79" s="2"/>
    </row>
    <row r="80" spans="1:17">
      <c r="A80" s="1" t="s">
        <v>25</v>
      </c>
      <c r="B80" s="1" t="s">
        <v>20</v>
      </c>
      <c r="C80" s="2" t="s">
        <v>16</v>
      </c>
      <c r="D80" s="2" t="s">
        <v>123</v>
      </c>
      <c r="E80" s="3">
        <v>45742</v>
      </c>
      <c r="F80" s="2">
        <f t="shared" si="2"/>
        <v>27</v>
      </c>
      <c r="G80" s="2">
        <f t="shared" si="3"/>
        <v>1</v>
      </c>
      <c r="H80" s="2" t="s">
        <v>15</v>
      </c>
      <c r="I80" s="2">
        <v>2</v>
      </c>
      <c r="J80" s="2">
        <v>0</v>
      </c>
      <c r="K80" s="2">
        <v>1</v>
      </c>
      <c r="L80" s="2"/>
      <c r="M80" s="2"/>
      <c r="N80" s="2"/>
      <c r="O80" s="2"/>
      <c r="P80" s="2"/>
      <c r="Q80" s="2"/>
    </row>
    <row r="81" spans="1:17">
      <c r="A81" s="1" t="s">
        <v>25</v>
      </c>
      <c r="B81" s="1" t="s">
        <v>20</v>
      </c>
      <c r="C81" s="2" t="s">
        <v>16</v>
      </c>
      <c r="D81" s="2" t="s">
        <v>123</v>
      </c>
      <c r="E81" s="3">
        <v>45742</v>
      </c>
      <c r="F81" s="2">
        <f t="shared" si="2"/>
        <v>27</v>
      </c>
      <c r="G81" s="2">
        <f t="shared" si="3"/>
        <v>2</v>
      </c>
      <c r="H81" s="2" t="s">
        <v>15</v>
      </c>
      <c r="I81" s="2">
        <v>4</v>
      </c>
      <c r="J81" s="2">
        <v>0</v>
      </c>
      <c r="K81" s="2">
        <v>2</v>
      </c>
      <c r="L81" s="2"/>
      <c r="M81" s="2"/>
      <c r="N81" s="2"/>
      <c r="O81" s="2"/>
      <c r="P81" s="2"/>
      <c r="Q81" s="2"/>
    </row>
    <row r="82" spans="1:17">
      <c r="A82" s="1" t="s">
        <v>25</v>
      </c>
      <c r="B82" s="1" t="s">
        <v>20</v>
      </c>
      <c r="C82" s="2" t="s">
        <v>16</v>
      </c>
      <c r="D82" s="2" t="s">
        <v>123</v>
      </c>
      <c r="E82" s="3">
        <v>45742</v>
      </c>
      <c r="F82" s="2">
        <f t="shared" si="2"/>
        <v>27</v>
      </c>
      <c r="G82" s="2">
        <f t="shared" si="3"/>
        <v>3</v>
      </c>
      <c r="H82" s="2" t="s">
        <v>15</v>
      </c>
      <c r="I82" s="2">
        <v>4</v>
      </c>
      <c r="J82" s="2">
        <v>2</v>
      </c>
      <c r="K82" s="2">
        <v>1</v>
      </c>
      <c r="L82" s="2"/>
      <c r="M82" s="2"/>
      <c r="N82" s="2"/>
      <c r="O82" s="2"/>
      <c r="P82" s="2"/>
      <c r="Q82" s="2"/>
    </row>
    <row r="83" spans="1:17">
      <c r="A83" s="1" t="s">
        <v>25</v>
      </c>
      <c r="B83" s="1" t="s">
        <v>20</v>
      </c>
      <c r="C83" s="2" t="s">
        <v>16</v>
      </c>
      <c r="D83" s="2" t="s">
        <v>123</v>
      </c>
      <c r="E83" s="4">
        <v>45743</v>
      </c>
      <c r="F83" s="2">
        <f t="shared" si="2"/>
        <v>28</v>
      </c>
      <c r="G83" s="2">
        <f t="shared" si="3"/>
        <v>1</v>
      </c>
      <c r="H83" s="1" t="s">
        <v>11</v>
      </c>
      <c r="I83" s="1">
        <v>2</v>
      </c>
      <c r="J83" s="1">
        <v>2</v>
      </c>
      <c r="K83" s="2"/>
      <c r="L83" s="2"/>
      <c r="M83" s="2"/>
      <c r="N83" s="2"/>
      <c r="O83" s="2"/>
      <c r="P83" s="2"/>
      <c r="Q83" s="2"/>
    </row>
    <row r="84" spans="1:17">
      <c r="A84" s="1" t="s">
        <v>25</v>
      </c>
      <c r="B84" s="1" t="s">
        <v>20</v>
      </c>
      <c r="C84" s="2" t="s">
        <v>16</v>
      </c>
      <c r="D84" s="2" t="s">
        <v>123</v>
      </c>
      <c r="E84" s="4">
        <v>45743</v>
      </c>
      <c r="F84" s="2">
        <f t="shared" si="2"/>
        <v>28</v>
      </c>
      <c r="G84" s="2">
        <f t="shared" si="3"/>
        <v>2</v>
      </c>
      <c r="H84" s="1" t="s">
        <v>11</v>
      </c>
      <c r="I84" s="1">
        <v>3</v>
      </c>
      <c r="J84" s="1">
        <v>1</v>
      </c>
      <c r="K84" s="2"/>
      <c r="L84" s="2"/>
      <c r="M84" s="2"/>
      <c r="N84" s="2"/>
      <c r="O84" s="2"/>
      <c r="P84" s="2"/>
      <c r="Q84" s="2"/>
    </row>
    <row r="85" spans="1:17">
      <c r="A85" s="1" t="s">
        <v>25</v>
      </c>
      <c r="B85" s="1" t="s">
        <v>20</v>
      </c>
      <c r="C85" s="2" t="s">
        <v>16</v>
      </c>
      <c r="D85" s="2" t="s">
        <v>123</v>
      </c>
      <c r="E85" s="4">
        <v>45743</v>
      </c>
      <c r="F85" s="2">
        <f t="shared" si="2"/>
        <v>28</v>
      </c>
      <c r="G85" s="2">
        <f t="shared" si="3"/>
        <v>3</v>
      </c>
      <c r="H85" s="1" t="s">
        <v>11</v>
      </c>
      <c r="I85" s="1">
        <v>2</v>
      </c>
      <c r="J85" s="1">
        <v>1</v>
      </c>
      <c r="K85" s="2"/>
      <c r="L85" s="2"/>
      <c r="M85" s="2"/>
      <c r="N85" s="2"/>
      <c r="O85" s="2"/>
      <c r="P85" s="2"/>
      <c r="Q85" s="2"/>
    </row>
    <row r="86" spans="1:17">
      <c r="A86" s="1" t="s">
        <v>25</v>
      </c>
      <c r="B86" s="1" t="s">
        <v>20</v>
      </c>
      <c r="C86" s="1" t="s">
        <v>16</v>
      </c>
      <c r="D86" s="2" t="s">
        <v>123</v>
      </c>
      <c r="E86" s="4">
        <v>45744</v>
      </c>
      <c r="F86" s="2">
        <f t="shared" si="2"/>
        <v>29</v>
      </c>
      <c r="G86" s="2">
        <f t="shared" si="3"/>
        <v>1</v>
      </c>
      <c r="H86" s="1" t="s">
        <v>9</v>
      </c>
      <c r="I86" s="1">
        <v>1</v>
      </c>
      <c r="J86" s="1">
        <v>4</v>
      </c>
      <c r="K86" s="2"/>
      <c r="L86" s="2"/>
      <c r="M86" s="2"/>
      <c r="N86" s="2"/>
      <c r="O86" s="2"/>
      <c r="P86" s="2"/>
      <c r="Q86" s="2"/>
    </row>
    <row r="87" spans="1:17">
      <c r="A87" s="1" t="s">
        <v>25</v>
      </c>
      <c r="B87" s="1" t="s">
        <v>20</v>
      </c>
      <c r="C87" s="1" t="s">
        <v>16</v>
      </c>
      <c r="D87" s="2" t="s">
        <v>123</v>
      </c>
      <c r="E87" s="4">
        <v>45744</v>
      </c>
      <c r="F87" s="2">
        <f t="shared" si="2"/>
        <v>29</v>
      </c>
      <c r="G87" s="2">
        <f t="shared" si="3"/>
        <v>2</v>
      </c>
      <c r="H87" s="1" t="s">
        <v>9</v>
      </c>
      <c r="I87" s="1">
        <v>1</v>
      </c>
      <c r="J87" s="1">
        <v>3</v>
      </c>
      <c r="K87" s="2"/>
      <c r="L87" s="2"/>
      <c r="M87" s="2"/>
      <c r="N87" s="2"/>
      <c r="O87" s="2"/>
      <c r="P87" s="2"/>
      <c r="Q87" s="2"/>
    </row>
    <row r="88" spans="1:17">
      <c r="A88" s="1" t="s">
        <v>25</v>
      </c>
      <c r="B88" s="1" t="s">
        <v>20</v>
      </c>
      <c r="C88" s="1" t="s">
        <v>16</v>
      </c>
      <c r="D88" s="2" t="s">
        <v>123</v>
      </c>
      <c r="E88" s="4">
        <v>45744</v>
      </c>
      <c r="F88" s="2">
        <f t="shared" si="2"/>
        <v>29</v>
      </c>
      <c r="G88" s="2">
        <f t="shared" si="3"/>
        <v>3</v>
      </c>
      <c r="H88" s="1" t="s">
        <v>9</v>
      </c>
      <c r="I88" s="1">
        <v>3</v>
      </c>
      <c r="J88" s="1">
        <v>3</v>
      </c>
      <c r="K88" s="2"/>
      <c r="L88" s="2"/>
      <c r="M88" s="2"/>
      <c r="N88" s="2"/>
      <c r="O88" s="2"/>
      <c r="P88" s="2"/>
      <c r="Q88" s="2"/>
    </row>
    <row r="89" spans="1:17">
      <c r="A89" s="1" t="s">
        <v>25</v>
      </c>
      <c r="B89" s="1" t="s">
        <v>20</v>
      </c>
      <c r="C89" s="1" t="s">
        <v>16</v>
      </c>
      <c r="D89" s="2" t="s">
        <v>123</v>
      </c>
      <c r="E89" s="4">
        <v>45747</v>
      </c>
      <c r="F89" s="2">
        <f t="shared" si="2"/>
        <v>30</v>
      </c>
      <c r="G89" s="2">
        <f t="shared" si="3"/>
        <v>1</v>
      </c>
      <c r="H89" s="1" t="s">
        <v>9</v>
      </c>
      <c r="I89" s="1">
        <v>1</v>
      </c>
      <c r="J89" s="1">
        <v>0</v>
      </c>
      <c r="K89" s="2"/>
      <c r="L89" s="2"/>
      <c r="M89" s="2"/>
      <c r="N89" s="2"/>
      <c r="O89" s="2"/>
      <c r="P89" s="2"/>
      <c r="Q89" s="2"/>
    </row>
    <row r="90" spans="1:17">
      <c r="A90" s="1" t="s">
        <v>25</v>
      </c>
      <c r="B90" s="1" t="s">
        <v>20</v>
      </c>
      <c r="C90" s="1" t="s">
        <v>16</v>
      </c>
      <c r="D90" s="2" t="s">
        <v>123</v>
      </c>
      <c r="E90" s="4">
        <v>45747</v>
      </c>
      <c r="F90" s="2">
        <f t="shared" si="2"/>
        <v>30</v>
      </c>
      <c r="G90" s="2">
        <f t="shared" si="3"/>
        <v>2</v>
      </c>
      <c r="H90" s="1" t="s">
        <v>9</v>
      </c>
      <c r="I90" s="1">
        <v>2</v>
      </c>
      <c r="J90" s="1">
        <v>1</v>
      </c>
      <c r="K90" s="2"/>
      <c r="L90" s="2"/>
      <c r="M90" s="2"/>
      <c r="N90" s="2"/>
      <c r="O90" s="2"/>
      <c r="P90" s="2"/>
      <c r="Q90" s="2"/>
    </row>
    <row r="91" spans="1:17">
      <c r="A91" s="1" t="s">
        <v>25</v>
      </c>
      <c r="B91" s="1" t="s">
        <v>20</v>
      </c>
      <c r="C91" s="1" t="s">
        <v>16</v>
      </c>
      <c r="D91" s="2" t="s">
        <v>123</v>
      </c>
      <c r="E91" s="4">
        <v>45747</v>
      </c>
      <c r="F91" s="2">
        <f t="shared" si="2"/>
        <v>30</v>
      </c>
      <c r="G91" s="2">
        <f t="shared" si="3"/>
        <v>3</v>
      </c>
      <c r="H91" s="1" t="s">
        <v>9</v>
      </c>
      <c r="I91" s="1">
        <v>4</v>
      </c>
      <c r="J91" s="1">
        <v>1</v>
      </c>
      <c r="K91" s="2"/>
      <c r="L91" s="2"/>
      <c r="M91" s="2"/>
      <c r="N91" s="2"/>
      <c r="O91" s="2"/>
      <c r="P91" s="2"/>
      <c r="Q91" s="2"/>
    </row>
    <row r="92" spans="1:17">
      <c r="A92" s="1" t="s">
        <v>25</v>
      </c>
      <c r="B92" s="1" t="s">
        <v>20</v>
      </c>
      <c r="C92" s="1" t="s">
        <v>16</v>
      </c>
      <c r="D92" s="2" t="s">
        <v>123</v>
      </c>
      <c r="E92" s="4">
        <v>45748</v>
      </c>
      <c r="F92" s="2">
        <f t="shared" si="2"/>
        <v>31</v>
      </c>
      <c r="G92" s="2">
        <f t="shared" si="3"/>
        <v>1</v>
      </c>
      <c r="H92" s="1" t="s">
        <v>11</v>
      </c>
      <c r="I92" s="1">
        <v>3</v>
      </c>
      <c r="J92" s="1">
        <v>1</v>
      </c>
      <c r="K92" s="2"/>
      <c r="L92" s="2"/>
      <c r="M92" s="2"/>
      <c r="N92" s="2"/>
      <c r="O92" s="2"/>
      <c r="P92" s="2"/>
      <c r="Q92" s="2"/>
    </row>
    <row r="93" spans="1:17">
      <c r="A93" s="1" t="s">
        <v>25</v>
      </c>
      <c r="B93" s="1" t="s">
        <v>20</v>
      </c>
      <c r="C93" s="1" t="s">
        <v>16</v>
      </c>
      <c r="D93" s="2" t="s">
        <v>123</v>
      </c>
      <c r="E93" s="4">
        <v>45748</v>
      </c>
      <c r="F93" s="2">
        <f t="shared" si="2"/>
        <v>31</v>
      </c>
      <c r="G93" s="2">
        <f t="shared" si="3"/>
        <v>2</v>
      </c>
      <c r="H93" s="1" t="s">
        <v>11</v>
      </c>
      <c r="I93" s="1">
        <v>2</v>
      </c>
      <c r="J93" s="1">
        <v>1</v>
      </c>
      <c r="K93" s="2"/>
      <c r="L93" s="2"/>
      <c r="M93" s="2"/>
      <c r="N93" s="2"/>
      <c r="O93" s="2"/>
      <c r="P93" s="2"/>
      <c r="Q93" s="2"/>
    </row>
    <row r="94" spans="1:17">
      <c r="A94" s="1" t="s">
        <v>25</v>
      </c>
      <c r="B94" s="1" t="s">
        <v>20</v>
      </c>
      <c r="C94" s="1" t="s">
        <v>16</v>
      </c>
      <c r="D94" s="2" t="s">
        <v>123</v>
      </c>
      <c r="E94" s="4">
        <v>45748</v>
      </c>
      <c r="F94" s="2">
        <f t="shared" si="2"/>
        <v>31</v>
      </c>
      <c r="G94" s="2">
        <f t="shared" si="3"/>
        <v>3</v>
      </c>
      <c r="H94" s="1" t="s">
        <v>11</v>
      </c>
      <c r="I94" s="1">
        <v>1</v>
      </c>
      <c r="J94" s="1">
        <v>3</v>
      </c>
      <c r="K94" s="2"/>
      <c r="L94" s="2"/>
      <c r="M94" s="2"/>
      <c r="N94" s="2"/>
      <c r="O94" s="2"/>
      <c r="P94" s="2"/>
      <c r="Q94" s="2"/>
    </row>
    <row r="95" spans="1:17">
      <c r="A95" s="1" t="s">
        <v>25</v>
      </c>
      <c r="B95" s="1" t="s">
        <v>19</v>
      </c>
      <c r="C95" s="1" t="s">
        <v>16</v>
      </c>
      <c r="D95" s="2" t="s">
        <v>123</v>
      </c>
      <c r="E95" s="4">
        <v>45749</v>
      </c>
      <c r="F95" s="2">
        <f t="shared" si="2"/>
        <v>32</v>
      </c>
      <c r="G95" s="2">
        <f t="shared" si="3"/>
        <v>1</v>
      </c>
      <c r="H95" s="1" t="s">
        <v>9</v>
      </c>
      <c r="I95" s="1">
        <v>0</v>
      </c>
      <c r="J95" s="1">
        <v>1</v>
      </c>
      <c r="K95" s="2"/>
      <c r="L95" s="2"/>
      <c r="M95" s="2"/>
      <c r="N95" s="2"/>
      <c r="O95" s="2"/>
      <c r="P95" s="2"/>
      <c r="Q95" s="2"/>
    </row>
    <row r="96" spans="1:17">
      <c r="A96" s="1" t="s">
        <v>25</v>
      </c>
      <c r="B96" s="1" t="s">
        <v>19</v>
      </c>
      <c r="C96" s="1" t="s">
        <v>16</v>
      </c>
      <c r="D96" s="2" t="s">
        <v>123</v>
      </c>
      <c r="E96" s="4">
        <v>45749</v>
      </c>
      <c r="F96" s="2">
        <f t="shared" si="2"/>
        <v>32</v>
      </c>
      <c r="G96" s="2">
        <f t="shared" si="3"/>
        <v>2</v>
      </c>
      <c r="H96" s="1" t="s">
        <v>9</v>
      </c>
      <c r="I96" s="1">
        <v>2</v>
      </c>
      <c r="J96" s="1">
        <v>3</v>
      </c>
      <c r="K96" s="2"/>
      <c r="L96" s="2"/>
      <c r="M96" s="2"/>
      <c r="N96" s="2"/>
      <c r="O96" s="2"/>
      <c r="P96" s="2"/>
      <c r="Q96" s="2"/>
    </row>
    <row r="97" spans="1:17">
      <c r="A97" s="1" t="s">
        <v>25</v>
      </c>
      <c r="B97" s="1" t="s">
        <v>19</v>
      </c>
      <c r="C97" s="1" t="s">
        <v>16</v>
      </c>
      <c r="D97" s="2" t="s">
        <v>123</v>
      </c>
      <c r="E97" s="4">
        <v>45749</v>
      </c>
      <c r="F97" s="2">
        <f t="shared" si="2"/>
        <v>32</v>
      </c>
      <c r="G97" s="2">
        <f t="shared" si="3"/>
        <v>3</v>
      </c>
      <c r="H97" s="1" t="s">
        <v>9</v>
      </c>
      <c r="I97" s="1">
        <v>2</v>
      </c>
      <c r="J97" s="1">
        <v>1</v>
      </c>
      <c r="K97" s="2"/>
      <c r="L97" s="2"/>
      <c r="M97" s="2"/>
      <c r="N97" s="2"/>
      <c r="O97" s="2"/>
      <c r="P97" s="2"/>
      <c r="Q97" s="2"/>
    </row>
    <row r="98" spans="1:17">
      <c r="A98" s="1" t="s">
        <v>25</v>
      </c>
      <c r="B98" s="1" t="s">
        <v>19</v>
      </c>
      <c r="C98" s="1" t="s">
        <v>16</v>
      </c>
      <c r="D98" s="2" t="s">
        <v>123</v>
      </c>
      <c r="E98" s="4">
        <v>45749</v>
      </c>
      <c r="F98" s="2">
        <f t="shared" si="2"/>
        <v>33</v>
      </c>
      <c r="G98" s="2">
        <f t="shared" si="3"/>
        <v>1</v>
      </c>
      <c r="H98" s="1" t="s">
        <v>9</v>
      </c>
      <c r="I98" s="1">
        <v>2</v>
      </c>
      <c r="J98" s="1">
        <v>0</v>
      </c>
      <c r="K98" s="2">
        <v>0</v>
      </c>
      <c r="L98" s="2"/>
      <c r="M98" s="2"/>
      <c r="N98" s="2"/>
      <c r="O98" s="2"/>
      <c r="P98" s="2"/>
      <c r="Q98" s="2"/>
    </row>
    <row r="99" spans="1:17">
      <c r="A99" s="1" t="s">
        <v>25</v>
      </c>
      <c r="B99" s="1" t="s">
        <v>19</v>
      </c>
      <c r="C99" s="1" t="s">
        <v>16</v>
      </c>
      <c r="D99" s="2" t="s">
        <v>123</v>
      </c>
      <c r="E99" s="4">
        <v>45749</v>
      </c>
      <c r="F99" s="2">
        <f t="shared" si="2"/>
        <v>33</v>
      </c>
      <c r="G99" s="2">
        <f t="shared" si="3"/>
        <v>2</v>
      </c>
      <c r="H99" s="1" t="s">
        <v>9</v>
      </c>
      <c r="I99" s="1">
        <v>2</v>
      </c>
      <c r="J99" s="1">
        <v>3</v>
      </c>
      <c r="K99" s="2">
        <v>0</v>
      </c>
      <c r="L99" s="2"/>
      <c r="M99" s="2"/>
      <c r="N99" s="2"/>
      <c r="O99" s="2"/>
      <c r="P99" s="2"/>
      <c r="Q99" s="2"/>
    </row>
    <row r="100" spans="1:17">
      <c r="A100" s="1" t="s">
        <v>25</v>
      </c>
      <c r="B100" s="1" t="s">
        <v>19</v>
      </c>
      <c r="C100" s="1" t="s">
        <v>16</v>
      </c>
      <c r="D100" s="2" t="s">
        <v>123</v>
      </c>
      <c r="E100" s="4">
        <v>45749</v>
      </c>
      <c r="F100" s="2">
        <f t="shared" si="2"/>
        <v>33</v>
      </c>
      <c r="G100" s="2">
        <f t="shared" si="3"/>
        <v>3</v>
      </c>
      <c r="H100" s="1" t="s">
        <v>9</v>
      </c>
      <c r="I100" s="1">
        <v>0</v>
      </c>
      <c r="J100" s="1">
        <v>2</v>
      </c>
      <c r="K100" s="2">
        <v>2</v>
      </c>
      <c r="L100" s="2"/>
      <c r="M100" s="2"/>
      <c r="N100" s="2"/>
      <c r="O100" s="2"/>
      <c r="P100" s="2"/>
      <c r="Q100" s="2"/>
    </row>
    <row r="101" spans="1:17">
      <c r="A101" s="1" t="s">
        <v>25</v>
      </c>
      <c r="B101" s="1" t="s">
        <v>21</v>
      </c>
      <c r="C101" s="1" t="s">
        <v>16</v>
      </c>
      <c r="D101" s="2" t="s">
        <v>123</v>
      </c>
      <c r="E101" s="4">
        <v>45750</v>
      </c>
      <c r="F101" s="2">
        <f t="shared" si="2"/>
        <v>34</v>
      </c>
      <c r="G101" s="2">
        <f t="shared" si="3"/>
        <v>1</v>
      </c>
      <c r="H101" s="1" t="s">
        <v>15</v>
      </c>
      <c r="I101" s="1">
        <v>2</v>
      </c>
      <c r="J101" s="1">
        <v>0</v>
      </c>
      <c r="K101" s="1">
        <v>0</v>
      </c>
      <c r="L101" s="2"/>
      <c r="M101" s="2"/>
      <c r="N101" s="2"/>
      <c r="O101" s="2"/>
      <c r="P101" s="2"/>
      <c r="Q101" s="2"/>
    </row>
    <row r="102" spans="1:17">
      <c r="A102" s="1" t="s">
        <v>25</v>
      </c>
      <c r="B102" s="1" t="s">
        <v>21</v>
      </c>
      <c r="C102" s="1" t="s">
        <v>16</v>
      </c>
      <c r="D102" s="2" t="s">
        <v>123</v>
      </c>
      <c r="E102" s="4">
        <v>45750</v>
      </c>
      <c r="F102" s="2">
        <f t="shared" si="2"/>
        <v>34</v>
      </c>
      <c r="G102" s="2">
        <f t="shared" si="3"/>
        <v>2</v>
      </c>
      <c r="H102" s="1" t="s">
        <v>15</v>
      </c>
      <c r="I102" s="1">
        <v>4</v>
      </c>
      <c r="J102" s="1">
        <v>1</v>
      </c>
      <c r="K102" s="1">
        <v>1</v>
      </c>
      <c r="L102" s="2"/>
      <c r="M102" s="2"/>
      <c r="N102" s="2"/>
      <c r="O102" s="2"/>
      <c r="P102" s="2"/>
      <c r="Q102" s="2"/>
    </row>
    <row r="103" spans="1:17">
      <c r="A103" s="1" t="s">
        <v>25</v>
      </c>
      <c r="B103" s="1" t="s">
        <v>21</v>
      </c>
      <c r="C103" s="1" t="s">
        <v>16</v>
      </c>
      <c r="D103" s="2" t="s">
        <v>123</v>
      </c>
      <c r="E103" s="4">
        <v>45750</v>
      </c>
      <c r="F103" s="2">
        <f t="shared" si="2"/>
        <v>34</v>
      </c>
      <c r="G103" s="2">
        <f t="shared" si="3"/>
        <v>3</v>
      </c>
      <c r="H103" s="1" t="s">
        <v>15</v>
      </c>
      <c r="I103" s="1">
        <v>2</v>
      </c>
      <c r="J103" s="1">
        <v>0</v>
      </c>
      <c r="K103" s="1">
        <v>0</v>
      </c>
      <c r="L103" s="2"/>
      <c r="M103" s="2"/>
      <c r="N103" s="2"/>
      <c r="O103" s="2"/>
      <c r="P103" s="2"/>
      <c r="Q103" s="2"/>
    </row>
    <row r="104" spans="1:17">
      <c r="A104" s="1" t="s">
        <v>25</v>
      </c>
      <c r="B104" s="1" t="s">
        <v>20</v>
      </c>
      <c r="C104" s="1" t="s">
        <v>16</v>
      </c>
      <c r="D104" s="2" t="s">
        <v>123</v>
      </c>
      <c r="E104" s="4">
        <v>45751</v>
      </c>
      <c r="F104" s="2">
        <f t="shared" si="2"/>
        <v>35</v>
      </c>
      <c r="G104" s="2">
        <f t="shared" si="3"/>
        <v>1</v>
      </c>
      <c r="H104" s="1" t="s">
        <v>11</v>
      </c>
      <c r="I104" s="1">
        <v>2</v>
      </c>
      <c r="J104" s="1">
        <v>1</v>
      </c>
      <c r="L104" s="2"/>
      <c r="M104" s="2"/>
      <c r="N104" s="2"/>
      <c r="O104" s="2"/>
      <c r="P104" s="2"/>
      <c r="Q104" s="2"/>
    </row>
    <row r="105" spans="1:17">
      <c r="A105" s="1" t="s">
        <v>25</v>
      </c>
      <c r="B105" s="1" t="s">
        <v>20</v>
      </c>
      <c r="C105" s="1" t="s">
        <v>16</v>
      </c>
      <c r="D105" s="2" t="s">
        <v>123</v>
      </c>
      <c r="E105" s="4">
        <v>45751</v>
      </c>
      <c r="F105" s="2">
        <f t="shared" si="2"/>
        <v>35</v>
      </c>
      <c r="G105" s="2">
        <f t="shared" si="3"/>
        <v>2</v>
      </c>
      <c r="H105" s="1" t="s">
        <v>11</v>
      </c>
      <c r="I105" s="1">
        <v>4</v>
      </c>
      <c r="J105" s="1">
        <v>1</v>
      </c>
      <c r="L105" s="2"/>
      <c r="M105" s="2"/>
      <c r="N105" s="2"/>
      <c r="O105" s="2"/>
      <c r="P105" s="2"/>
      <c r="Q105" s="2"/>
    </row>
    <row r="106" spans="1:17">
      <c r="A106" s="1" t="s">
        <v>25</v>
      </c>
      <c r="B106" s="1" t="s">
        <v>20</v>
      </c>
      <c r="C106" s="1" t="s">
        <v>16</v>
      </c>
      <c r="D106" s="2" t="s">
        <v>123</v>
      </c>
      <c r="E106" s="4">
        <v>45751</v>
      </c>
      <c r="F106" s="2">
        <f t="shared" si="2"/>
        <v>35</v>
      </c>
      <c r="G106" s="2">
        <f t="shared" si="3"/>
        <v>3</v>
      </c>
      <c r="H106" s="1" t="s">
        <v>11</v>
      </c>
      <c r="I106" s="1">
        <v>2</v>
      </c>
      <c r="J106" s="1">
        <v>0</v>
      </c>
      <c r="L106" s="2"/>
      <c r="M106" s="2"/>
      <c r="N106" s="2"/>
      <c r="O106" s="2"/>
      <c r="P106" s="2"/>
      <c r="Q106" s="2"/>
    </row>
    <row r="107" spans="1:17">
      <c r="A107" s="1" t="s">
        <v>25</v>
      </c>
      <c r="B107" s="1" t="s">
        <v>19</v>
      </c>
      <c r="C107" s="1" t="s">
        <v>16</v>
      </c>
      <c r="D107" s="2" t="s">
        <v>123</v>
      </c>
      <c r="E107" s="4">
        <v>45754</v>
      </c>
      <c r="F107" s="2">
        <f t="shared" si="2"/>
        <v>36</v>
      </c>
      <c r="G107" s="2">
        <f t="shared" si="3"/>
        <v>1</v>
      </c>
      <c r="H107" s="1" t="s">
        <v>15</v>
      </c>
      <c r="I107" s="1">
        <v>1</v>
      </c>
      <c r="J107" s="1">
        <v>0</v>
      </c>
      <c r="K107" s="1">
        <v>0</v>
      </c>
      <c r="L107" s="2"/>
      <c r="M107" s="2"/>
      <c r="N107" s="2"/>
      <c r="O107" s="2"/>
      <c r="P107" s="2"/>
      <c r="Q107" s="2"/>
    </row>
    <row r="108" spans="1:17">
      <c r="A108" s="1" t="s">
        <v>25</v>
      </c>
      <c r="B108" s="1" t="s">
        <v>19</v>
      </c>
      <c r="C108" s="1" t="s">
        <v>16</v>
      </c>
      <c r="D108" s="2" t="s">
        <v>123</v>
      </c>
      <c r="E108" s="4">
        <v>45754</v>
      </c>
      <c r="F108" s="2">
        <f t="shared" si="2"/>
        <v>36</v>
      </c>
      <c r="G108" s="2">
        <f t="shared" si="3"/>
        <v>2</v>
      </c>
      <c r="H108" s="1" t="s">
        <v>15</v>
      </c>
      <c r="I108" s="1">
        <v>0</v>
      </c>
      <c r="J108" s="1">
        <v>1</v>
      </c>
      <c r="K108" s="1">
        <v>0</v>
      </c>
      <c r="L108" s="2"/>
      <c r="M108" s="2"/>
      <c r="N108" s="2"/>
      <c r="O108" s="2"/>
      <c r="P108" s="2"/>
      <c r="Q108" s="2"/>
    </row>
    <row r="109" spans="1:17">
      <c r="A109" s="1" t="s">
        <v>25</v>
      </c>
      <c r="B109" s="1" t="s">
        <v>19</v>
      </c>
      <c r="C109" s="1" t="s">
        <v>16</v>
      </c>
      <c r="D109" s="2" t="s">
        <v>123</v>
      </c>
      <c r="E109" s="4">
        <v>45754</v>
      </c>
      <c r="F109" s="2">
        <f t="shared" si="2"/>
        <v>36</v>
      </c>
      <c r="G109" s="2">
        <f t="shared" si="3"/>
        <v>3</v>
      </c>
      <c r="H109" s="1" t="s">
        <v>15</v>
      </c>
      <c r="I109" s="1">
        <v>0</v>
      </c>
      <c r="J109" s="1">
        <v>1</v>
      </c>
      <c r="K109" s="1">
        <v>0</v>
      </c>
      <c r="L109" s="2"/>
      <c r="M109" s="2"/>
      <c r="N109" s="2"/>
      <c r="O109" s="2"/>
      <c r="P109" s="2"/>
      <c r="Q109" s="2"/>
    </row>
    <row r="110" spans="1:17">
      <c r="A110" s="1" t="s">
        <v>25</v>
      </c>
      <c r="B110" s="1" t="s">
        <v>20</v>
      </c>
      <c r="C110" s="1" t="s">
        <v>16</v>
      </c>
      <c r="D110" s="2" t="s">
        <v>123</v>
      </c>
      <c r="E110" s="4">
        <v>45754</v>
      </c>
      <c r="F110" s="2">
        <f t="shared" si="2"/>
        <v>37</v>
      </c>
      <c r="G110" s="2">
        <f t="shared" si="3"/>
        <v>1</v>
      </c>
      <c r="H110" s="1" t="s">
        <v>9</v>
      </c>
      <c r="I110" s="1">
        <v>0</v>
      </c>
      <c r="J110" s="1">
        <v>2</v>
      </c>
      <c r="L110" s="2"/>
      <c r="M110" s="2"/>
      <c r="N110" s="2"/>
      <c r="O110" s="2"/>
      <c r="P110" s="2"/>
      <c r="Q110" s="2"/>
    </row>
    <row r="111" spans="1:17">
      <c r="A111" s="1" t="s">
        <v>25</v>
      </c>
      <c r="B111" s="1" t="s">
        <v>20</v>
      </c>
      <c r="C111" s="1" t="s">
        <v>16</v>
      </c>
      <c r="D111" s="2" t="s">
        <v>123</v>
      </c>
      <c r="E111" s="4">
        <v>45754</v>
      </c>
      <c r="F111" s="2">
        <f t="shared" si="2"/>
        <v>37</v>
      </c>
      <c r="G111" s="2">
        <f t="shared" si="3"/>
        <v>2</v>
      </c>
      <c r="H111" s="1" t="s">
        <v>9</v>
      </c>
      <c r="I111" s="1">
        <v>3</v>
      </c>
      <c r="J111" s="1">
        <v>1</v>
      </c>
      <c r="L111" s="2"/>
      <c r="M111" s="2"/>
      <c r="N111" s="2"/>
      <c r="O111" s="2"/>
      <c r="P111" s="2"/>
      <c r="Q111" s="2"/>
    </row>
    <row r="112" spans="1:17">
      <c r="A112" s="1" t="s">
        <v>25</v>
      </c>
      <c r="B112" s="1" t="s">
        <v>20</v>
      </c>
      <c r="C112" s="1" t="s">
        <v>16</v>
      </c>
      <c r="D112" s="2" t="s">
        <v>123</v>
      </c>
      <c r="E112" s="4">
        <v>45754</v>
      </c>
      <c r="F112" s="2">
        <f t="shared" si="2"/>
        <v>37</v>
      </c>
      <c r="G112" s="2">
        <f t="shared" si="3"/>
        <v>3</v>
      </c>
      <c r="H112" s="1" t="s">
        <v>9</v>
      </c>
      <c r="I112" s="1">
        <v>5</v>
      </c>
      <c r="J112" s="1">
        <v>3</v>
      </c>
      <c r="L112" s="2"/>
      <c r="M112" s="2"/>
      <c r="N112" s="2"/>
      <c r="O112" s="2"/>
      <c r="P112" s="2"/>
      <c r="Q112" s="2"/>
    </row>
    <row r="113" spans="1:17">
      <c r="A113" s="1" t="s">
        <v>25</v>
      </c>
      <c r="B113" s="1" t="s">
        <v>21</v>
      </c>
      <c r="C113" s="1" t="s">
        <v>16</v>
      </c>
      <c r="D113" s="2" t="s">
        <v>123</v>
      </c>
      <c r="E113" s="4">
        <v>45755</v>
      </c>
      <c r="F113" s="2">
        <f t="shared" si="2"/>
        <v>38</v>
      </c>
      <c r="G113" s="2">
        <f t="shared" si="3"/>
        <v>1</v>
      </c>
      <c r="H113" s="1" t="s">
        <v>13</v>
      </c>
      <c r="I113" s="1">
        <v>0</v>
      </c>
      <c r="J113" s="1">
        <v>2</v>
      </c>
      <c r="L113" s="2">
        <v>4</v>
      </c>
      <c r="M113" s="2"/>
      <c r="N113" s="2"/>
      <c r="O113" s="2"/>
      <c r="P113" s="2"/>
      <c r="Q113" s="2"/>
    </row>
    <row r="114" spans="1:17">
      <c r="A114" s="1" t="s">
        <v>25</v>
      </c>
      <c r="B114" s="1" t="s">
        <v>21</v>
      </c>
      <c r="C114" s="1" t="s">
        <v>16</v>
      </c>
      <c r="D114" s="2" t="s">
        <v>123</v>
      </c>
      <c r="E114" s="4">
        <v>45755</v>
      </c>
      <c r="F114" s="2">
        <f t="shared" si="2"/>
        <v>38</v>
      </c>
      <c r="G114" s="2">
        <f t="shared" si="3"/>
        <v>2</v>
      </c>
      <c r="H114" s="1" t="s">
        <v>13</v>
      </c>
      <c r="I114" s="1">
        <v>0</v>
      </c>
      <c r="J114" s="1">
        <v>1</v>
      </c>
      <c r="L114" s="2">
        <v>4</v>
      </c>
      <c r="M114" s="2"/>
      <c r="N114" s="2"/>
      <c r="O114" s="2"/>
      <c r="P114" s="2"/>
      <c r="Q114" s="2"/>
    </row>
    <row r="115" spans="1:17">
      <c r="A115" s="1" t="s">
        <v>25</v>
      </c>
      <c r="B115" s="1" t="s">
        <v>21</v>
      </c>
      <c r="C115" s="1" t="s">
        <v>16</v>
      </c>
      <c r="D115" s="2" t="s">
        <v>123</v>
      </c>
      <c r="E115" s="4">
        <v>45755</v>
      </c>
      <c r="F115" s="2">
        <f t="shared" si="2"/>
        <v>38</v>
      </c>
      <c r="G115" s="2">
        <f t="shared" si="3"/>
        <v>3</v>
      </c>
      <c r="H115" s="1" t="s">
        <v>13</v>
      </c>
      <c r="I115" s="1">
        <v>1</v>
      </c>
      <c r="J115" s="1">
        <v>1</v>
      </c>
      <c r="L115" s="2">
        <v>1</v>
      </c>
      <c r="M115" s="2"/>
      <c r="N115" s="2"/>
      <c r="O115" s="2"/>
      <c r="P115" s="2"/>
      <c r="Q115" s="2"/>
    </row>
    <row r="116" spans="1:17">
      <c r="A116" s="1" t="s">
        <v>25</v>
      </c>
      <c r="B116" s="1" t="s">
        <v>20</v>
      </c>
      <c r="C116" s="1" t="s">
        <v>16</v>
      </c>
      <c r="D116" s="2" t="s">
        <v>123</v>
      </c>
      <c r="E116" s="4">
        <v>45756</v>
      </c>
      <c r="F116" s="2">
        <f t="shared" si="2"/>
        <v>39</v>
      </c>
      <c r="G116" s="2">
        <f t="shared" si="3"/>
        <v>1</v>
      </c>
      <c r="H116" s="1" t="s">
        <v>11</v>
      </c>
      <c r="I116" s="1">
        <v>5</v>
      </c>
      <c r="J116" s="1">
        <v>3</v>
      </c>
      <c r="L116" s="2"/>
      <c r="M116" s="2"/>
      <c r="N116" s="2"/>
      <c r="O116" s="2"/>
      <c r="P116" s="2"/>
      <c r="Q116" s="2"/>
    </row>
    <row r="117" spans="1:17">
      <c r="A117" s="1" t="s">
        <v>25</v>
      </c>
      <c r="B117" s="1" t="s">
        <v>20</v>
      </c>
      <c r="C117" s="1" t="s">
        <v>16</v>
      </c>
      <c r="D117" s="2" t="s">
        <v>123</v>
      </c>
      <c r="E117" s="4">
        <v>45756</v>
      </c>
      <c r="F117" s="2">
        <f t="shared" si="2"/>
        <v>39</v>
      </c>
      <c r="G117" s="2">
        <f t="shared" si="3"/>
        <v>2</v>
      </c>
      <c r="H117" s="1" t="s">
        <v>11</v>
      </c>
      <c r="I117" s="1">
        <v>7</v>
      </c>
      <c r="J117" s="1">
        <v>1</v>
      </c>
      <c r="L117" s="2"/>
      <c r="M117" s="2"/>
      <c r="N117" s="2"/>
      <c r="O117" s="2"/>
      <c r="P117" s="2"/>
      <c r="Q117" s="2"/>
    </row>
    <row r="118" spans="1:17">
      <c r="A118" s="1" t="s">
        <v>25</v>
      </c>
      <c r="B118" s="1" t="s">
        <v>20</v>
      </c>
      <c r="C118" s="1" t="s">
        <v>16</v>
      </c>
      <c r="D118" s="2" t="s">
        <v>123</v>
      </c>
      <c r="E118" s="4">
        <v>45756</v>
      </c>
      <c r="F118" s="2">
        <f t="shared" si="2"/>
        <v>39</v>
      </c>
      <c r="G118" s="2">
        <f t="shared" si="3"/>
        <v>3</v>
      </c>
      <c r="H118" s="1" t="s">
        <v>11</v>
      </c>
      <c r="I118" s="1">
        <v>3</v>
      </c>
      <c r="J118" s="1">
        <v>2</v>
      </c>
      <c r="L118" s="2"/>
      <c r="M118" s="2"/>
      <c r="N118" s="2"/>
      <c r="O118" s="2"/>
      <c r="P118" s="2"/>
      <c r="Q118" s="2"/>
    </row>
    <row r="119" spans="1:17">
      <c r="A119" s="1" t="s">
        <v>25</v>
      </c>
      <c r="B119" s="1" t="s">
        <v>19</v>
      </c>
      <c r="C119" s="1" t="s">
        <v>16</v>
      </c>
      <c r="D119" s="2" t="s">
        <v>123</v>
      </c>
      <c r="E119" s="4">
        <v>45756</v>
      </c>
      <c r="F119" s="2">
        <f t="shared" si="2"/>
        <v>40</v>
      </c>
      <c r="G119" s="2">
        <f t="shared" si="3"/>
        <v>1</v>
      </c>
      <c r="H119" s="1" t="s">
        <v>11</v>
      </c>
      <c r="I119" s="1">
        <v>1</v>
      </c>
      <c r="J119" s="1">
        <v>3</v>
      </c>
      <c r="L119" s="2"/>
      <c r="M119" s="2"/>
      <c r="N119" s="2"/>
      <c r="O119" s="2"/>
      <c r="P119" s="2"/>
      <c r="Q119" s="2"/>
    </row>
    <row r="120" spans="1:17">
      <c r="A120" s="1" t="s">
        <v>25</v>
      </c>
      <c r="B120" s="1" t="s">
        <v>19</v>
      </c>
      <c r="C120" s="1" t="s">
        <v>16</v>
      </c>
      <c r="D120" s="2" t="s">
        <v>123</v>
      </c>
      <c r="E120" s="4">
        <v>45756</v>
      </c>
      <c r="F120" s="2">
        <f t="shared" si="2"/>
        <v>40</v>
      </c>
      <c r="G120" s="2">
        <f t="shared" si="3"/>
        <v>2</v>
      </c>
      <c r="H120" s="1" t="s">
        <v>11</v>
      </c>
      <c r="I120" s="1">
        <v>2</v>
      </c>
      <c r="J120" s="1">
        <v>3</v>
      </c>
      <c r="L120" s="2"/>
      <c r="M120" s="2"/>
      <c r="N120" s="2"/>
      <c r="O120" s="2"/>
      <c r="P120" s="2"/>
      <c r="Q120" s="2"/>
    </row>
    <row r="121" spans="1:17">
      <c r="A121" s="1" t="s">
        <v>25</v>
      </c>
      <c r="B121" s="1" t="s">
        <v>19</v>
      </c>
      <c r="C121" s="1" t="s">
        <v>16</v>
      </c>
      <c r="D121" s="2" t="s">
        <v>123</v>
      </c>
      <c r="E121" s="4">
        <v>45756</v>
      </c>
      <c r="F121" s="2">
        <f t="shared" si="2"/>
        <v>40</v>
      </c>
      <c r="G121" s="2">
        <f t="shared" si="3"/>
        <v>3</v>
      </c>
      <c r="H121" s="1" t="s">
        <v>11</v>
      </c>
      <c r="I121" s="1">
        <v>5</v>
      </c>
      <c r="J121" s="1">
        <v>0</v>
      </c>
      <c r="L121" s="2"/>
      <c r="M121" s="2"/>
      <c r="N121" s="2"/>
      <c r="O121" s="2"/>
      <c r="P121" s="2"/>
      <c r="Q121" s="2"/>
    </row>
    <row r="122" spans="1:17">
      <c r="A122" s="1" t="s">
        <v>25</v>
      </c>
      <c r="B122" s="1" t="s">
        <v>21</v>
      </c>
      <c r="C122" s="1" t="s">
        <v>16</v>
      </c>
      <c r="D122" s="2" t="s">
        <v>123</v>
      </c>
      <c r="E122" s="4">
        <v>45756</v>
      </c>
      <c r="F122" s="2">
        <f t="shared" si="2"/>
        <v>41</v>
      </c>
      <c r="G122" s="2">
        <f t="shared" si="3"/>
        <v>1</v>
      </c>
      <c r="H122" s="1" t="s">
        <v>11</v>
      </c>
      <c r="I122" s="1">
        <v>0</v>
      </c>
      <c r="J122" s="1">
        <v>2</v>
      </c>
      <c r="L122" s="2"/>
      <c r="M122" s="2"/>
      <c r="N122" s="2"/>
      <c r="O122" s="2"/>
      <c r="P122" s="2"/>
      <c r="Q122" s="2"/>
    </row>
    <row r="123" spans="1:17">
      <c r="A123" s="1" t="s">
        <v>25</v>
      </c>
      <c r="B123" s="1" t="s">
        <v>21</v>
      </c>
      <c r="C123" s="1" t="s">
        <v>16</v>
      </c>
      <c r="D123" s="2" t="s">
        <v>123</v>
      </c>
      <c r="E123" s="4">
        <v>45756</v>
      </c>
      <c r="F123" s="2">
        <f t="shared" si="2"/>
        <v>41</v>
      </c>
      <c r="G123" s="2">
        <f t="shared" si="3"/>
        <v>2</v>
      </c>
      <c r="H123" s="1" t="s">
        <v>11</v>
      </c>
      <c r="I123" s="1">
        <v>3</v>
      </c>
      <c r="J123" s="1">
        <v>0</v>
      </c>
      <c r="L123" s="2"/>
      <c r="M123" s="2"/>
      <c r="N123" s="2"/>
      <c r="O123" s="2"/>
      <c r="P123" s="2"/>
      <c r="Q123" s="2"/>
    </row>
    <row r="124" spans="1:17">
      <c r="A124" s="1" t="s">
        <v>25</v>
      </c>
      <c r="B124" s="1" t="s">
        <v>21</v>
      </c>
      <c r="C124" s="1" t="s">
        <v>16</v>
      </c>
      <c r="D124" s="2" t="s">
        <v>123</v>
      </c>
      <c r="E124" s="4">
        <v>45756</v>
      </c>
      <c r="F124" s="2">
        <f t="shared" si="2"/>
        <v>41</v>
      </c>
      <c r="G124" s="2">
        <f t="shared" si="3"/>
        <v>3</v>
      </c>
      <c r="H124" s="1" t="s">
        <v>11</v>
      </c>
      <c r="I124" s="1">
        <v>1</v>
      </c>
      <c r="J124" s="1">
        <v>0</v>
      </c>
      <c r="L124" s="2"/>
      <c r="M124" s="2"/>
      <c r="N124" s="2"/>
      <c r="O124" s="2"/>
      <c r="P124" s="2"/>
      <c r="Q124" s="2"/>
    </row>
    <row r="125" spans="1:17">
      <c r="A125" s="1" t="s">
        <v>25</v>
      </c>
      <c r="B125" s="1" t="s">
        <v>19</v>
      </c>
      <c r="C125" s="1" t="s">
        <v>16</v>
      </c>
      <c r="D125" s="2" t="s">
        <v>123</v>
      </c>
      <c r="E125" s="4">
        <v>45757</v>
      </c>
      <c r="F125" s="2">
        <f t="shared" si="2"/>
        <v>42</v>
      </c>
      <c r="G125" s="2">
        <f t="shared" si="3"/>
        <v>1</v>
      </c>
      <c r="H125" s="1" t="s">
        <v>9</v>
      </c>
      <c r="I125" s="1">
        <v>3</v>
      </c>
      <c r="J125" s="1">
        <v>1</v>
      </c>
      <c r="L125" s="2"/>
      <c r="M125" s="2"/>
      <c r="N125" s="2"/>
      <c r="O125" s="2"/>
      <c r="P125" s="2"/>
      <c r="Q125" s="2"/>
    </row>
    <row r="126" spans="1:17">
      <c r="A126" s="1" t="s">
        <v>25</v>
      </c>
      <c r="B126" s="1" t="s">
        <v>19</v>
      </c>
      <c r="C126" s="1" t="s">
        <v>16</v>
      </c>
      <c r="D126" s="2" t="s">
        <v>123</v>
      </c>
      <c r="E126" s="4">
        <v>45757</v>
      </c>
      <c r="F126" s="2">
        <f t="shared" si="2"/>
        <v>42</v>
      </c>
      <c r="G126" s="2">
        <f t="shared" si="3"/>
        <v>2</v>
      </c>
      <c r="H126" s="1" t="s">
        <v>9</v>
      </c>
      <c r="I126" s="1">
        <v>1</v>
      </c>
      <c r="J126" s="1">
        <v>2</v>
      </c>
      <c r="L126" s="2"/>
      <c r="M126" s="2"/>
      <c r="N126" s="2"/>
      <c r="O126" s="2"/>
      <c r="P126" s="2"/>
      <c r="Q126" s="2"/>
    </row>
    <row r="127" spans="1:17">
      <c r="A127" s="1" t="s">
        <v>25</v>
      </c>
      <c r="B127" s="1" t="s">
        <v>19</v>
      </c>
      <c r="C127" s="1" t="s">
        <v>16</v>
      </c>
      <c r="D127" s="2" t="s">
        <v>123</v>
      </c>
      <c r="E127" s="4">
        <v>45757</v>
      </c>
      <c r="F127" s="2">
        <f t="shared" si="2"/>
        <v>42</v>
      </c>
      <c r="G127" s="2">
        <f t="shared" si="3"/>
        <v>3</v>
      </c>
      <c r="H127" s="1" t="s">
        <v>9</v>
      </c>
      <c r="I127" s="1">
        <v>1</v>
      </c>
      <c r="J127" s="1">
        <v>3</v>
      </c>
      <c r="L127" s="2"/>
      <c r="M127" s="2"/>
      <c r="N127" s="2"/>
      <c r="O127" s="2"/>
      <c r="P127" s="2"/>
      <c r="Q127" s="2"/>
    </row>
    <row r="128" spans="1:17">
      <c r="A128" s="1" t="s">
        <v>25</v>
      </c>
      <c r="B128" s="1" t="s">
        <v>20</v>
      </c>
      <c r="C128" s="1" t="s">
        <v>16</v>
      </c>
      <c r="D128" s="2" t="s">
        <v>123</v>
      </c>
      <c r="E128" s="4">
        <v>45761</v>
      </c>
      <c r="F128" s="2">
        <f t="shared" si="2"/>
        <v>43</v>
      </c>
      <c r="G128" s="2">
        <f t="shared" si="3"/>
        <v>1</v>
      </c>
      <c r="H128" s="1" t="s">
        <v>33</v>
      </c>
      <c r="I128" s="1">
        <v>7</v>
      </c>
      <c r="J128" s="1">
        <v>1</v>
      </c>
      <c r="L128" s="2">
        <v>2</v>
      </c>
      <c r="M128" s="2"/>
      <c r="N128" s="2"/>
      <c r="O128" s="2"/>
      <c r="P128" s="2"/>
      <c r="Q128" s="2"/>
    </row>
    <row r="129" spans="1:17">
      <c r="A129" s="1" t="s">
        <v>25</v>
      </c>
      <c r="B129" s="1" t="s">
        <v>20</v>
      </c>
      <c r="C129" s="1" t="s">
        <v>16</v>
      </c>
      <c r="D129" s="2" t="s">
        <v>123</v>
      </c>
      <c r="E129" s="4">
        <v>45761</v>
      </c>
      <c r="F129" s="2">
        <f t="shared" si="2"/>
        <v>43</v>
      </c>
      <c r="G129" s="2">
        <f t="shared" si="3"/>
        <v>2</v>
      </c>
      <c r="H129" s="1" t="s">
        <v>33</v>
      </c>
      <c r="I129" s="1">
        <v>0</v>
      </c>
      <c r="J129" s="1">
        <v>2</v>
      </c>
      <c r="L129" s="2">
        <v>2</v>
      </c>
      <c r="M129" s="2"/>
      <c r="N129" s="2"/>
      <c r="O129" s="2"/>
      <c r="P129" s="2"/>
      <c r="Q129" s="2"/>
    </row>
    <row r="130" spans="1:17">
      <c r="A130" s="1" t="s">
        <v>25</v>
      </c>
      <c r="B130" s="1" t="s">
        <v>20</v>
      </c>
      <c r="C130" s="1" t="s">
        <v>16</v>
      </c>
      <c r="D130" s="2" t="s">
        <v>123</v>
      </c>
      <c r="E130" s="4">
        <v>45761</v>
      </c>
      <c r="F130" s="2">
        <f t="shared" si="2"/>
        <v>43</v>
      </c>
      <c r="G130" s="2">
        <f t="shared" si="3"/>
        <v>3</v>
      </c>
      <c r="H130" s="1" t="s">
        <v>33</v>
      </c>
      <c r="I130" s="1">
        <v>1</v>
      </c>
      <c r="J130" s="1">
        <v>4</v>
      </c>
      <c r="L130" s="2">
        <v>0</v>
      </c>
      <c r="M130" s="2"/>
      <c r="N130" s="2"/>
      <c r="O130" s="2"/>
      <c r="P130" s="2"/>
      <c r="Q130" s="2"/>
    </row>
    <row r="131" spans="1:17">
      <c r="A131" s="1" t="s">
        <v>25</v>
      </c>
      <c r="B131" s="1" t="s">
        <v>20</v>
      </c>
      <c r="C131" s="1" t="s">
        <v>16</v>
      </c>
      <c r="D131" s="2" t="s">
        <v>123</v>
      </c>
      <c r="E131" s="4">
        <v>45762</v>
      </c>
      <c r="F131" s="2">
        <f t="shared" si="2"/>
        <v>44</v>
      </c>
      <c r="G131" s="2">
        <f t="shared" si="3"/>
        <v>1</v>
      </c>
      <c r="H131" s="1" t="s">
        <v>24</v>
      </c>
      <c r="I131" s="1">
        <v>0</v>
      </c>
      <c r="J131" s="1">
        <v>0</v>
      </c>
      <c r="L131" s="2"/>
      <c r="M131" s="2"/>
      <c r="N131" s="2"/>
      <c r="O131" s="2">
        <v>1</v>
      </c>
      <c r="P131" s="2"/>
      <c r="Q131" s="2"/>
    </row>
    <row r="132" spans="1:17">
      <c r="A132" s="1" t="s">
        <v>25</v>
      </c>
      <c r="B132" s="1" t="s">
        <v>20</v>
      </c>
      <c r="C132" s="1" t="s">
        <v>16</v>
      </c>
      <c r="D132" s="2" t="s">
        <v>123</v>
      </c>
      <c r="E132" s="4">
        <v>45762</v>
      </c>
      <c r="F132" s="2">
        <f t="shared" si="2"/>
        <v>44</v>
      </c>
      <c r="G132" s="2">
        <f t="shared" si="3"/>
        <v>2</v>
      </c>
      <c r="H132" s="1" t="s">
        <v>24</v>
      </c>
      <c r="I132" s="1">
        <v>1</v>
      </c>
      <c r="J132" s="1">
        <v>2</v>
      </c>
      <c r="L132" s="2"/>
      <c r="M132" s="2"/>
      <c r="N132" s="2"/>
      <c r="O132" s="2">
        <v>1</v>
      </c>
      <c r="P132" s="2"/>
      <c r="Q132" s="2"/>
    </row>
    <row r="133" spans="1:17">
      <c r="A133" s="1" t="s">
        <v>25</v>
      </c>
      <c r="B133" s="1" t="s">
        <v>20</v>
      </c>
      <c r="C133" s="1" t="s">
        <v>16</v>
      </c>
      <c r="D133" s="2" t="s">
        <v>123</v>
      </c>
      <c r="E133" s="4">
        <v>45762</v>
      </c>
      <c r="F133" s="2">
        <f t="shared" si="2"/>
        <v>44</v>
      </c>
      <c r="G133" s="2">
        <f t="shared" si="3"/>
        <v>3</v>
      </c>
      <c r="H133" s="1" t="s">
        <v>24</v>
      </c>
      <c r="I133" s="1">
        <v>6</v>
      </c>
      <c r="J133" s="1">
        <v>3</v>
      </c>
      <c r="L133" s="2"/>
      <c r="M133" s="2"/>
      <c r="N133" s="2"/>
      <c r="O133" s="2">
        <v>0</v>
      </c>
      <c r="P133" s="2"/>
      <c r="Q133" s="2"/>
    </row>
    <row r="134" spans="1:17">
      <c r="A134" s="1" t="s">
        <v>26</v>
      </c>
      <c r="B134" s="1" t="s">
        <v>20</v>
      </c>
      <c r="C134" s="1" t="s">
        <v>16</v>
      </c>
      <c r="D134" s="2" t="s">
        <v>123</v>
      </c>
      <c r="E134" s="4">
        <v>45762</v>
      </c>
      <c r="F134" s="2">
        <f t="shared" si="2"/>
        <v>45</v>
      </c>
      <c r="G134" s="2">
        <f t="shared" si="3"/>
        <v>1</v>
      </c>
      <c r="H134" s="1" t="s">
        <v>9</v>
      </c>
      <c r="I134" s="1">
        <v>4</v>
      </c>
      <c r="J134" s="1">
        <v>0</v>
      </c>
      <c r="L134" s="2">
        <v>0</v>
      </c>
      <c r="M134" s="2"/>
      <c r="N134" s="2"/>
      <c r="O134" s="2"/>
      <c r="P134" s="2"/>
      <c r="Q134" s="2"/>
    </row>
    <row r="135" spans="1:17">
      <c r="A135" s="1" t="s">
        <v>26</v>
      </c>
      <c r="B135" s="1" t="s">
        <v>20</v>
      </c>
      <c r="C135" s="1" t="s">
        <v>16</v>
      </c>
      <c r="D135" s="2" t="s">
        <v>123</v>
      </c>
      <c r="E135" s="4">
        <v>45762</v>
      </c>
      <c r="F135" s="2">
        <f t="shared" ref="F135:F175" si="4">F132+1</f>
        <v>45</v>
      </c>
      <c r="G135" s="2">
        <f t="shared" si="3"/>
        <v>2</v>
      </c>
      <c r="H135" s="1" t="s">
        <v>9</v>
      </c>
      <c r="I135" s="1">
        <v>0</v>
      </c>
      <c r="J135" s="1">
        <v>1</v>
      </c>
      <c r="L135" s="2">
        <v>0</v>
      </c>
      <c r="M135" s="2"/>
      <c r="N135" s="2"/>
      <c r="O135" s="2"/>
      <c r="P135" s="2"/>
      <c r="Q135" s="2"/>
    </row>
    <row r="136" spans="1:17">
      <c r="A136" s="1" t="s">
        <v>26</v>
      </c>
      <c r="B136" s="1" t="s">
        <v>20</v>
      </c>
      <c r="C136" s="1" t="s">
        <v>16</v>
      </c>
      <c r="D136" s="2" t="s">
        <v>123</v>
      </c>
      <c r="E136" s="4">
        <v>45762</v>
      </c>
      <c r="F136" s="2">
        <f t="shared" si="4"/>
        <v>45</v>
      </c>
      <c r="G136" s="2">
        <f t="shared" ref="G136" si="5">G133</f>
        <v>3</v>
      </c>
      <c r="H136" s="1" t="s">
        <v>9</v>
      </c>
      <c r="I136" s="1">
        <v>3</v>
      </c>
      <c r="J136" s="1">
        <v>0</v>
      </c>
      <c r="L136" s="2">
        <v>0</v>
      </c>
      <c r="M136" s="2"/>
      <c r="N136" s="2"/>
      <c r="O136" s="2"/>
      <c r="P136" s="2"/>
      <c r="Q136" s="2"/>
    </row>
    <row r="137" spans="1:17">
      <c r="A137" s="1" t="s">
        <v>25</v>
      </c>
      <c r="B137" s="1" t="s">
        <v>19</v>
      </c>
      <c r="C137" s="1" t="s">
        <v>16</v>
      </c>
      <c r="D137" s="2" t="s">
        <v>123</v>
      </c>
      <c r="E137" s="4">
        <v>45762</v>
      </c>
      <c r="F137" s="2">
        <f t="shared" si="4"/>
        <v>46</v>
      </c>
      <c r="G137" s="2">
        <f t="shared" si="3"/>
        <v>1</v>
      </c>
      <c r="H137" s="1" t="s">
        <v>11</v>
      </c>
      <c r="I137" s="1">
        <v>3</v>
      </c>
      <c r="J137" s="1">
        <v>0</v>
      </c>
      <c r="L137" s="2"/>
      <c r="M137" s="2"/>
      <c r="N137" s="2"/>
      <c r="O137" s="2"/>
      <c r="P137" s="2"/>
      <c r="Q137" s="2"/>
    </row>
    <row r="138" spans="1:17">
      <c r="A138" s="1" t="s">
        <v>25</v>
      </c>
      <c r="B138" s="1" t="s">
        <v>19</v>
      </c>
      <c r="C138" s="1" t="s">
        <v>16</v>
      </c>
      <c r="D138" s="2" t="s">
        <v>123</v>
      </c>
      <c r="E138" s="4">
        <v>45762</v>
      </c>
      <c r="F138" s="2">
        <f t="shared" si="4"/>
        <v>46</v>
      </c>
      <c r="G138" s="2">
        <f t="shared" ref="G138:G175" si="6">G135</f>
        <v>2</v>
      </c>
      <c r="H138" s="1" t="s">
        <v>11</v>
      </c>
      <c r="I138" s="1">
        <v>3</v>
      </c>
      <c r="J138" s="1">
        <v>1</v>
      </c>
      <c r="L138" s="2"/>
      <c r="M138" s="2"/>
      <c r="N138" s="2"/>
      <c r="O138" s="2"/>
      <c r="P138" s="2"/>
      <c r="Q138" s="2"/>
    </row>
    <row r="139" spans="1:17">
      <c r="A139" s="1" t="s">
        <v>25</v>
      </c>
      <c r="B139" s="1" t="s">
        <v>19</v>
      </c>
      <c r="C139" s="1" t="s">
        <v>16</v>
      </c>
      <c r="D139" s="2" t="s">
        <v>123</v>
      </c>
      <c r="E139" s="4">
        <v>45762</v>
      </c>
      <c r="F139" s="2">
        <f t="shared" si="4"/>
        <v>46</v>
      </c>
      <c r="G139" s="2">
        <f t="shared" si="6"/>
        <v>3</v>
      </c>
      <c r="H139" s="1" t="s">
        <v>11</v>
      </c>
      <c r="I139" s="1">
        <v>4</v>
      </c>
      <c r="J139" s="1">
        <v>1</v>
      </c>
      <c r="L139" s="2"/>
      <c r="M139" s="2"/>
      <c r="N139" s="2"/>
      <c r="O139" s="2"/>
      <c r="P139" s="2"/>
      <c r="Q139" s="2"/>
    </row>
    <row r="140" spans="1:17">
      <c r="A140" s="1" t="s">
        <v>25</v>
      </c>
      <c r="B140" s="1" t="s">
        <v>20</v>
      </c>
      <c r="C140" s="1" t="s">
        <v>16</v>
      </c>
      <c r="D140" s="2" t="s">
        <v>123</v>
      </c>
      <c r="E140" s="4">
        <v>45762</v>
      </c>
      <c r="F140" s="2">
        <f t="shared" si="4"/>
        <v>47</v>
      </c>
      <c r="G140" s="2">
        <f t="shared" si="6"/>
        <v>1</v>
      </c>
      <c r="H140" s="1" t="s">
        <v>27</v>
      </c>
      <c r="J140" s="1">
        <v>0</v>
      </c>
      <c r="L140" s="2">
        <v>1</v>
      </c>
      <c r="M140" s="2"/>
      <c r="N140" s="2"/>
      <c r="O140" s="2"/>
      <c r="P140" s="2"/>
      <c r="Q140" s="2"/>
    </row>
    <row r="141" spans="1:17">
      <c r="A141" s="1" t="s">
        <v>25</v>
      </c>
      <c r="B141" s="1" t="s">
        <v>20</v>
      </c>
      <c r="C141" s="1" t="s">
        <v>16</v>
      </c>
      <c r="D141" s="2" t="s">
        <v>123</v>
      </c>
      <c r="E141" s="4">
        <v>45762</v>
      </c>
      <c r="F141" s="2">
        <f t="shared" si="4"/>
        <v>47</v>
      </c>
      <c r="G141" s="2">
        <f t="shared" si="6"/>
        <v>2</v>
      </c>
      <c r="H141" s="1" t="s">
        <v>27</v>
      </c>
      <c r="J141" s="1">
        <v>3</v>
      </c>
      <c r="L141" s="2">
        <v>0</v>
      </c>
      <c r="M141" s="2"/>
      <c r="N141" s="2"/>
      <c r="O141" s="2"/>
      <c r="P141" s="2"/>
      <c r="Q141" s="2"/>
    </row>
    <row r="142" spans="1:17">
      <c r="A142" s="1" t="s">
        <v>25</v>
      </c>
      <c r="B142" s="1" t="s">
        <v>20</v>
      </c>
      <c r="C142" s="1" t="s">
        <v>16</v>
      </c>
      <c r="D142" s="2" t="s">
        <v>123</v>
      </c>
      <c r="E142" s="4">
        <v>45762</v>
      </c>
      <c r="F142" s="2">
        <f t="shared" si="4"/>
        <v>47</v>
      </c>
      <c r="G142" s="2">
        <f t="shared" si="6"/>
        <v>3</v>
      </c>
      <c r="H142" s="1" t="s">
        <v>27</v>
      </c>
      <c r="J142" s="1">
        <v>0</v>
      </c>
      <c r="L142" s="2">
        <v>0</v>
      </c>
      <c r="M142" s="2"/>
      <c r="N142" s="2"/>
      <c r="O142" s="2"/>
      <c r="P142" s="2"/>
      <c r="Q142" s="2"/>
    </row>
    <row r="143" spans="1:17">
      <c r="A143" s="1" t="s">
        <v>25</v>
      </c>
      <c r="B143" s="1" t="s">
        <v>21</v>
      </c>
      <c r="C143" s="1" t="s">
        <v>16</v>
      </c>
      <c r="D143" s="2" t="s">
        <v>123</v>
      </c>
      <c r="E143" s="4">
        <v>45763</v>
      </c>
      <c r="F143" s="2">
        <f t="shared" si="4"/>
        <v>48</v>
      </c>
      <c r="G143" s="2">
        <f t="shared" si="6"/>
        <v>1</v>
      </c>
      <c r="H143" s="1" t="s">
        <v>9</v>
      </c>
      <c r="I143" s="1">
        <v>1</v>
      </c>
      <c r="J143" s="1">
        <v>0</v>
      </c>
      <c r="L143" s="2"/>
      <c r="M143" s="2"/>
      <c r="N143" s="2"/>
      <c r="O143" s="2"/>
      <c r="P143" s="2"/>
      <c r="Q143" s="2"/>
    </row>
    <row r="144" spans="1:17">
      <c r="A144" s="1" t="s">
        <v>25</v>
      </c>
      <c r="B144" s="1" t="s">
        <v>21</v>
      </c>
      <c r="C144" s="1" t="s">
        <v>16</v>
      </c>
      <c r="D144" s="2" t="s">
        <v>123</v>
      </c>
      <c r="E144" s="4">
        <v>45763</v>
      </c>
      <c r="F144" s="2">
        <f t="shared" si="4"/>
        <v>48</v>
      </c>
      <c r="G144" s="2">
        <f t="shared" si="6"/>
        <v>2</v>
      </c>
      <c r="H144" s="1" t="s">
        <v>9</v>
      </c>
      <c r="I144" s="1">
        <v>1</v>
      </c>
      <c r="J144" s="1">
        <v>4</v>
      </c>
      <c r="L144" s="2"/>
      <c r="M144" s="2"/>
      <c r="N144" s="2"/>
      <c r="O144" s="2"/>
      <c r="P144" s="2"/>
      <c r="Q144" s="2"/>
    </row>
    <row r="145" spans="1:17">
      <c r="A145" s="1" t="s">
        <v>25</v>
      </c>
      <c r="B145" s="1" t="s">
        <v>21</v>
      </c>
      <c r="C145" s="1" t="s">
        <v>16</v>
      </c>
      <c r="D145" s="2" t="s">
        <v>123</v>
      </c>
      <c r="E145" s="4">
        <v>45763</v>
      </c>
      <c r="F145" s="2">
        <f t="shared" si="4"/>
        <v>48</v>
      </c>
      <c r="G145" s="2">
        <f t="shared" si="6"/>
        <v>3</v>
      </c>
      <c r="H145" s="1" t="s">
        <v>9</v>
      </c>
      <c r="I145" s="1">
        <v>1</v>
      </c>
      <c r="J145" s="1">
        <v>0</v>
      </c>
      <c r="L145" s="2"/>
      <c r="M145" s="2"/>
      <c r="N145" s="2"/>
      <c r="O145" s="2"/>
      <c r="P145" s="2"/>
      <c r="Q145" s="2"/>
    </row>
    <row r="146" spans="1:17">
      <c r="A146" s="1" t="s">
        <v>25</v>
      </c>
      <c r="B146" s="1" t="s">
        <v>19</v>
      </c>
      <c r="C146" s="1" t="s">
        <v>16</v>
      </c>
      <c r="D146" s="2" t="s">
        <v>123</v>
      </c>
      <c r="E146" s="4">
        <v>45763</v>
      </c>
      <c r="F146" s="2">
        <f t="shared" si="4"/>
        <v>49</v>
      </c>
      <c r="G146" s="2">
        <f t="shared" si="6"/>
        <v>1</v>
      </c>
      <c r="H146" s="1" t="s">
        <v>11</v>
      </c>
      <c r="I146" s="1">
        <v>2</v>
      </c>
      <c r="J146" s="1">
        <v>0</v>
      </c>
      <c r="L146" s="2"/>
      <c r="M146" s="2"/>
      <c r="N146" s="2"/>
      <c r="O146" s="2"/>
      <c r="P146" s="2"/>
      <c r="Q146" s="2"/>
    </row>
    <row r="147" spans="1:17">
      <c r="A147" s="1" t="s">
        <v>25</v>
      </c>
      <c r="B147" s="1" t="s">
        <v>19</v>
      </c>
      <c r="C147" s="1" t="s">
        <v>16</v>
      </c>
      <c r="D147" s="2" t="s">
        <v>123</v>
      </c>
      <c r="E147" s="4">
        <v>45763</v>
      </c>
      <c r="F147" s="2">
        <f t="shared" si="4"/>
        <v>49</v>
      </c>
      <c r="G147" s="2">
        <f t="shared" si="6"/>
        <v>2</v>
      </c>
      <c r="H147" s="1" t="s">
        <v>11</v>
      </c>
      <c r="I147" s="1">
        <v>2</v>
      </c>
      <c r="J147" s="1">
        <v>1</v>
      </c>
      <c r="L147" s="2"/>
      <c r="M147" s="2"/>
      <c r="N147" s="2"/>
      <c r="O147" s="2"/>
      <c r="P147" s="2"/>
      <c r="Q147" s="2"/>
    </row>
    <row r="148" spans="1:17">
      <c r="A148" s="1" t="s">
        <v>25</v>
      </c>
      <c r="B148" s="1" t="s">
        <v>19</v>
      </c>
      <c r="C148" s="1" t="s">
        <v>16</v>
      </c>
      <c r="D148" s="2" t="s">
        <v>123</v>
      </c>
      <c r="E148" s="4">
        <v>45763</v>
      </c>
      <c r="F148" s="2">
        <f t="shared" si="4"/>
        <v>49</v>
      </c>
      <c r="G148" s="2">
        <f t="shared" si="6"/>
        <v>3</v>
      </c>
      <c r="H148" s="1" t="s">
        <v>11</v>
      </c>
      <c r="I148" s="1">
        <v>3</v>
      </c>
      <c r="J148" s="1">
        <v>3</v>
      </c>
      <c r="L148" s="2"/>
      <c r="M148" s="2"/>
      <c r="N148" s="2"/>
      <c r="O148" s="2"/>
      <c r="P148" s="2"/>
      <c r="Q148" s="2"/>
    </row>
    <row r="149" spans="1:17">
      <c r="A149" s="1" t="s">
        <v>25</v>
      </c>
      <c r="B149" s="1" t="s">
        <v>20</v>
      </c>
      <c r="C149" s="1" t="s">
        <v>16</v>
      </c>
      <c r="D149" s="2" t="s">
        <v>123</v>
      </c>
      <c r="E149" s="4">
        <v>45763</v>
      </c>
      <c r="F149" s="2">
        <f t="shared" si="4"/>
        <v>50</v>
      </c>
      <c r="G149" s="2">
        <f t="shared" si="6"/>
        <v>1</v>
      </c>
      <c r="H149" s="1" t="s">
        <v>11</v>
      </c>
      <c r="I149" s="1">
        <v>0</v>
      </c>
      <c r="J149" s="1">
        <v>0</v>
      </c>
      <c r="L149" s="2"/>
      <c r="M149" s="2"/>
      <c r="N149" s="2"/>
      <c r="O149" s="2"/>
      <c r="P149" s="2"/>
      <c r="Q149" s="2"/>
    </row>
    <row r="150" spans="1:17">
      <c r="A150" s="1" t="s">
        <v>25</v>
      </c>
      <c r="B150" s="1" t="s">
        <v>20</v>
      </c>
      <c r="C150" s="1" t="s">
        <v>16</v>
      </c>
      <c r="D150" s="2" t="s">
        <v>123</v>
      </c>
      <c r="E150" s="4">
        <v>45763</v>
      </c>
      <c r="F150" s="2">
        <f t="shared" si="4"/>
        <v>50</v>
      </c>
      <c r="G150" s="2">
        <f t="shared" si="6"/>
        <v>2</v>
      </c>
      <c r="H150" s="1" t="s">
        <v>11</v>
      </c>
      <c r="I150" s="1">
        <v>0</v>
      </c>
      <c r="J150" s="1">
        <v>1</v>
      </c>
      <c r="L150" s="2"/>
      <c r="M150" s="2"/>
      <c r="N150" s="2"/>
      <c r="O150" s="2"/>
      <c r="P150" s="2"/>
      <c r="Q150" s="2"/>
    </row>
    <row r="151" spans="1:17">
      <c r="A151" s="1" t="s">
        <v>25</v>
      </c>
      <c r="B151" s="1" t="s">
        <v>20</v>
      </c>
      <c r="C151" s="1" t="s">
        <v>16</v>
      </c>
      <c r="D151" s="2" t="s">
        <v>123</v>
      </c>
      <c r="E151" s="4">
        <v>45763</v>
      </c>
      <c r="F151" s="2">
        <f t="shared" si="4"/>
        <v>50</v>
      </c>
      <c r="G151" s="2">
        <f t="shared" si="6"/>
        <v>3</v>
      </c>
      <c r="H151" s="1" t="s">
        <v>11</v>
      </c>
      <c r="I151" s="1">
        <v>3</v>
      </c>
      <c r="J151" s="1">
        <v>4</v>
      </c>
      <c r="L151" s="2"/>
      <c r="M151" s="2"/>
      <c r="N151" s="2"/>
      <c r="O151" s="2"/>
      <c r="P151" s="2"/>
      <c r="Q151" s="2"/>
    </row>
    <row r="152" spans="1:17">
      <c r="A152" s="1" t="s">
        <v>25</v>
      </c>
      <c r="B152" s="1" t="s">
        <v>20</v>
      </c>
      <c r="C152" s="1" t="s">
        <v>16</v>
      </c>
      <c r="D152" s="2" t="s">
        <v>123</v>
      </c>
      <c r="E152" s="4">
        <v>45763</v>
      </c>
      <c r="F152" s="2">
        <f t="shared" si="4"/>
        <v>51</v>
      </c>
      <c r="G152" s="2">
        <f t="shared" si="6"/>
        <v>1</v>
      </c>
      <c r="H152" s="1" t="s">
        <v>9</v>
      </c>
      <c r="I152" s="1">
        <v>0</v>
      </c>
      <c r="J152" s="1">
        <v>0</v>
      </c>
      <c r="L152" s="2"/>
      <c r="M152" s="2"/>
      <c r="N152" s="2"/>
      <c r="O152" s="2"/>
      <c r="P152" s="2"/>
      <c r="Q152" s="2"/>
    </row>
    <row r="153" spans="1:17">
      <c r="A153" s="1" t="s">
        <v>25</v>
      </c>
      <c r="B153" s="1" t="s">
        <v>20</v>
      </c>
      <c r="C153" s="1" t="s">
        <v>16</v>
      </c>
      <c r="D153" s="2" t="s">
        <v>123</v>
      </c>
      <c r="E153" s="4">
        <v>45763</v>
      </c>
      <c r="F153" s="2">
        <f t="shared" si="4"/>
        <v>51</v>
      </c>
      <c r="G153" s="2">
        <f t="shared" si="6"/>
        <v>2</v>
      </c>
      <c r="H153" s="1" t="s">
        <v>9</v>
      </c>
      <c r="I153" s="1">
        <v>3</v>
      </c>
      <c r="J153" s="1">
        <v>2</v>
      </c>
      <c r="L153" s="2"/>
      <c r="M153" s="2"/>
      <c r="N153" s="2"/>
      <c r="O153" s="2"/>
      <c r="P153" s="2"/>
      <c r="Q153" s="2"/>
    </row>
    <row r="154" spans="1:17">
      <c r="A154" s="1" t="s">
        <v>25</v>
      </c>
      <c r="B154" s="1" t="s">
        <v>20</v>
      </c>
      <c r="C154" s="1" t="s">
        <v>16</v>
      </c>
      <c r="D154" s="2" t="s">
        <v>123</v>
      </c>
      <c r="E154" s="4">
        <v>45763</v>
      </c>
      <c r="F154" s="2">
        <f t="shared" si="4"/>
        <v>51</v>
      </c>
      <c r="G154" s="2">
        <f t="shared" si="6"/>
        <v>3</v>
      </c>
      <c r="H154" s="1" t="s">
        <v>9</v>
      </c>
      <c r="I154" s="1">
        <v>3</v>
      </c>
      <c r="J154" s="1">
        <v>5</v>
      </c>
      <c r="L154" s="2"/>
      <c r="M154" s="2"/>
      <c r="N154" s="2"/>
      <c r="O154" s="2"/>
      <c r="P154" s="2"/>
      <c r="Q154" s="2"/>
    </row>
    <row r="155" spans="1:17">
      <c r="A155" s="1" t="s">
        <v>25</v>
      </c>
      <c r="B155" s="1" t="s">
        <v>20</v>
      </c>
      <c r="C155" s="1" t="s">
        <v>16</v>
      </c>
      <c r="D155" s="2" t="s">
        <v>123</v>
      </c>
      <c r="E155" s="4">
        <v>45763</v>
      </c>
      <c r="F155" s="2">
        <f t="shared" si="4"/>
        <v>52</v>
      </c>
      <c r="G155" s="2">
        <f t="shared" si="6"/>
        <v>1</v>
      </c>
      <c r="H155" s="1" t="s">
        <v>11</v>
      </c>
      <c r="I155" s="1">
        <v>5</v>
      </c>
      <c r="J155" s="1">
        <v>0</v>
      </c>
      <c r="L155" s="2"/>
      <c r="M155" s="2"/>
      <c r="N155" s="2"/>
      <c r="O155" s="2"/>
      <c r="P155" s="2"/>
      <c r="Q155" s="2"/>
    </row>
    <row r="156" spans="1:17">
      <c r="A156" s="1" t="s">
        <v>25</v>
      </c>
      <c r="B156" s="1" t="s">
        <v>20</v>
      </c>
      <c r="C156" s="1" t="s">
        <v>16</v>
      </c>
      <c r="D156" s="2" t="s">
        <v>123</v>
      </c>
      <c r="E156" s="4">
        <v>45763</v>
      </c>
      <c r="F156" s="2">
        <f t="shared" si="4"/>
        <v>52</v>
      </c>
      <c r="G156" s="2">
        <f t="shared" si="6"/>
        <v>2</v>
      </c>
      <c r="H156" s="1" t="s">
        <v>11</v>
      </c>
      <c r="I156" s="1">
        <v>4</v>
      </c>
      <c r="J156" s="1">
        <v>3</v>
      </c>
      <c r="L156" s="2"/>
      <c r="M156" s="2"/>
      <c r="N156" s="2"/>
      <c r="O156" s="2"/>
      <c r="P156" s="2"/>
      <c r="Q156" s="2"/>
    </row>
    <row r="157" spans="1:17">
      <c r="A157" s="1" t="s">
        <v>25</v>
      </c>
      <c r="B157" s="1" t="s">
        <v>20</v>
      </c>
      <c r="C157" s="1" t="s">
        <v>16</v>
      </c>
      <c r="D157" s="2" t="s">
        <v>123</v>
      </c>
      <c r="E157" s="4">
        <v>45763</v>
      </c>
      <c r="F157" s="2">
        <f t="shared" si="4"/>
        <v>52</v>
      </c>
      <c r="G157" s="2">
        <f t="shared" si="6"/>
        <v>3</v>
      </c>
      <c r="H157" s="1" t="s">
        <v>11</v>
      </c>
      <c r="I157" s="1">
        <v>1</v>
      </c>
      <c r="J157" s="1">
        <v>2</v>
      </c>
      <c r="L157" s="2"/>
      <c r="M157" s="2"/>
      <c r="N157" s="2"/>
      <c r="O157" s="2"/>
      <c r="P157" s="2"/>
      <c r="Q157" s="2"/>
    </row>
    <row r="158" spans="1:17">
      <c r="A158" s="1" t="s">
        <v>25</v>
      </c>
      <c r="B158" s="1" t="s">
        <v>20</v>
      </c>
      <c r="C158" s="1" t="s">
        <v>16</v>
      </c>
      <c r="D158" s="2" t="s">
        <v>123</v>
      </c>
      <c r="E158" s="4">
        <v>45764</v>
      </c>
      <c r="F158" s="2">
        <f t="shared" si="4"/>
        <v>53</v>
      </c>
      <c r="G158" s="2">
        <f t="shared" si="6"/>
        <v>1</v>
      </c>
      <c r="H158" s="1" t="s">
        <v>11</v>
      </c>
      <c r="I158" s="1">
        <v>3</v>
      </c>
      <c r="J158" s="1">
        <v>0</v>
      </c>
      <c r="L158" s="2"/>
      <c r="M158" s="2"/>
      <c r="N158" s="2"/>
      <c r="O158" s="2"/>
      <c r="P158" s="2"/>
      <c r="Q158" s="2"/>
    </row>
    <row r="159" spans="1:17">
      <c r="A159" s="1" t="s">
        <v>25</v>
      </c>
      <c r="B159" s="1" t="s">
        <v>20</v>
      </c>
      <c r="C159" s="1" t="s">
        <v>16</v>
      </c>
      <c r="D159" s="2" t="s">
        <v>123</v>
      </c>
      <c r="E159" s="4">
        <v>45764</v>
      </c>
      <c r="F159" s="2">
        <f t="shared" si="4"/>
        <v>53</v>
      </c>
      <c r="G159" s="2">
        <f t="shared" si="6"/>
        <v>2</v>
      </c>
      <c r="H159" s="1" t="s">
        <v>11</v>
      </c>
      <c r="I159" s="1">
        <v>3</v>
      </c>
      <c r="J159" s="1">
        <v>0</v>
      </c>
      <c r="L159" s="2"/>
      <c r="M159" s="2"/>
      <c r="N159" s="2"/>
      <c r="O159" s="2"/>
      <c r="P159" s="2"/>
      <c r="Q159" s="2"/>
    </row>
    <row r="160" spans="1:17">
      <c r="A160" s="1" t="s">
        <v>25</v>
      </c>
      <c r="B160" s="1" t="s">
        <v>20</v>
      </c>
      <c r="C160" s="1" t="s">
        <v>16</v>
      </c>
      <c r="D160" s="2" t="s">
        <v>123</v>
      </c>
      <c r="E160" s="4">
        <v>45764</v>
      </c>
      <c r="F160" s="2">
        <f t="shared" si="4"/>
        <v>53</v>
      </c>
      <c r="G160" s="2">
        <f t="shared" si="6"/>
        <v>3</v>
      </c>
      <c r="H160" s="1" t="s">
        <v>11</v>
      </c>
      <c r="I160" s="1">
        <v>4</v>
      </c>
      <c r="J160" s="1">
        <v>0</v>
      </c>
      <c r="L160" s="2"/>
      <c r="M160" s="2"/>
      <c r="N160" s="2"/>
      <c r="O160" s="2"/>
      <c r="P160" s="2"/>
      <c r="Q160" s="2"/>
    </row>
    <row r="161" spans="1:17">
      <c r="A161" s="1" t="s">
        <v>25</v>
      </c>
      <c r="B161" s="1" t="s">
        <v>21</v>
      </c>
      <c r="C161" s="1" t="s">
        <v>16</v>
      </c>
      <c r="D161" s="2" t="s">
        <v>123</v>
      </c>
      <c r="E161" s="4">
        <v>45764</v>
      </c>
      <c r="F161" s="2">
        <f t="shared" si="4"/>
        <v>54</v>
      </c>
      <c r="G161" s="2">
        <f t="shared" si="6"/>
        <v>1</v>
      </c>
      <c r="H161" s="1" t="s">
        <v>28</v>
      </c>
      <c r="I161" s="1">
        <v>2</v>
      </c>
      <c r="J161" s="1">
        <v>1</v>
      </c>
      <c r="K161" s="1">
        <v>0</v>
      </c>
      <c r="L161" s="2">
        <v>1</v>
      </c>
      <c r="M161" s="2">
        <v>0</v>
      </c>
      <c r="N161" s="2"/>
      <c r="O161" s="2"/>
      <c r="P161" s="2"/>
      <c r="Q161" s="2"/>
    </row>
    <row r="162" spans="1:17">
      <c r="A162" s="1" t="s">
        <v>25</v>
      </c>
      <c r="B162" s="1" t="s">
        <v>21</v>
      </c>
      <c r="C162" s="1" t="s">
        <v>16</v>
      </c>
      <c r="D162" s="2" t="s">
        <v>123</v>
      </c>
      <c r="E162" s="4">
        <v>45764</v>
      </c>
      <c r="F162" s="2">
        <f t="shared" si="4"/>
        <v>54</v>
      </c>
      <c r="G162" s="2">
        <f t="shared" si="6"/>
        <v>2</v>
      </c>
      <c r="H162" s="1" t="s">
        <v>28</v>
      </c>
      <c r="I162" s="1">
        <v>1</v>
      </c>
      <c r="J162" s="1">
        <v>1</v>
      </c>
      <c r="K162" s="1">
        <v>0</v>
      </c>
      <c r="L162" s="2">
        <v>2</v>
      </c>
      <c r="M162" s="2">
        <v>0</v>
      </c>
      <c r="N162" s="2"/>
      <c r="O162" s="2"/>
      <c r="P162" s="2"/>
      <c r="Q162" s="2"/>
    </row>
    <row r="163" spans="1:17">
      <c r="A163" s="1" t="s">
        <v>25</v>
      </c>
      <c r="B163" s="1" t="s">
        <v>21</v>
      </c>
      <c r="C163" s="1" t="s">
        <v>16</v>
      </c>
      <c r="D163" s="2" t="s">
        <v>123</v>
      </c>
      <c r="E163" s="4">
        <v>45764</v>
      </c>
      <c r="F163" s="2">
        <f t="shared" si="4"/>
        <v>54</v>
      </c>
      <c r="G163" s="2">
        <f t="shared" si="6"/>
        <v>3</v>
      </c>
      <c r="H163" s="1" t="s">
        <v>28</v>
      </c>
      <c r="I163" s="1">
        <v>3</v>
      </c>
      <c r="J163" s="1">
        <v>1</v>
      </c>
      <c r="K163" s="1">
        <v>0</v>
      </c>
      <c r="L163" s="2">
        <v>0</v>
      </c>
      <c r="M163" s="2">
        <v>1</v>
      </c>
      <c r="N163" s="2"/>
      <c r="O163" s="2"/>
      <c r="P163" s="2"/>
      <c r="Q163" s="2"/>
    </row>
    <row r="164" spans="1:17">
      <c r="A164" s="1" t="s">
        <v>25</v>
      </c>
      <c r="B164" s="1" t="s">
        <v>20</v>
      </c>
      <c r="C164" s="1" t="s">
        <v>16</v>
      </c>
      <c r="D164" s="2" t="s">
        <v>123</v>
      </c>
      <c r="E164" s="4">
        <v>45765</v>
      </c>
      <c r="F164" s="2">
        <f t="shared" si="4"/>
        <v>55</v>
      </c>
      <c r="G164" s="2">
        <f t="shared" si="6"/>
        <v>1</v>
      </c>
      <c r="H164" s="1" t="s">
        <v>11</v>
      </c>
      <c r="I164" s="1">
        <v>0</v>
      </c>
      <c r="J164" s="1">
        <v>1</v>
      </c>
      <c r="L164" s="2"/>
      <c r="M164" s="2"/>
      <c r="N164" s="2"/>
      <c r="O164" s="2"/>
      <c r="P164" s="2"/>
      <c r="Q164" s="2"/>
    </row>
    <row r="165" spans="1:17">
      <c r="A165" s="1" t="s">
        <v>25</v>
      </c>
      <c r="B165" s="1" t="s">
        <v>20</v>
      </c>
      <c r="C165" s="1" t="s">
        <v>16</v>
      </c>
      <c r="D165" s="2" t="s">
        <v>123</v>
      </c>
      <c r="E165" s="4">
        <v>45765</v>
      </c>
      <c r="F165" s="2">
        <f t="shared" si="4"/>
        <v>55</v>
      </c>
      <c r="G165" s="2">
        <f t="shared" si="6"/>
        <v>2</v>
      </c>
      <c r="H165" s="1" t="s">
        <v>11</v>
      </c>
      <c r="I165" s="1">
        <v>3</v>
      </c>
      <c r="J165" s="1">
        <v>4</v>
      </c>
      <c r="L165" s="2"/>
      <c r="M165" s="2"/>
      <c r="N165" s="2"/>
      <c r="O165" s="2"/>
      <c r="P165" s="2"/>
      <c r="Q165" s="2"/>
    </row>
    <row r="166" spans="1:17">
      <c r="A166" s="1" t="s">
        <v>25</v>
      </c>
      <c r="B166" s="1" t="s">
        <v>20</v>
      </c>
      <c r="C166" s="1" t="s">
        <v>16</v>
      </c>
      <c r="D166" s="2" t="s">
        <v>123</v>
      </c>
      <c r="E166" s="4">
        <v>45765</v>
      </c>
      <c r="F166" s="2">
        <f t="shared" si="4"/>
        <v>55</v>
      </c>
      <c r="G166" s="2">
        <f t="shared" si="6"/>
        <v>3</v>
      </c>
      <c r="H166" s="1" t="s">
        <v>11</v>
      </c>
      <c r="I166" s="1">
        <v>6</v>
      </c>
      <c r="J166" s="1">
        <v>2</v>
      </c>
      <c r="L166" s="2"/>
      <c r="M166" s="2"/>
      <c r="N166" s="2"/>
      <c r="O166" s="2"/>
      <c r="P166" s="2"/>
      <c r="Q166" s="2"/>
    </row>
    <row r="167" spans="1:17">
      <c r="A167" s="1" t="s">
        <v>25</v>
      </c>
      <c r="B167" s="1" t="s">
        <v>19</v>
      </c>
      <c r="C167" s="1" t="s">
        <v>16</v>
      </c>
      <c r="D167" s="2" t="s">
        <v>123</v>
      </c>
      <c r="E167" s="4">
        <v>45765</v>
      </c>
      <c r="F167" s="2">
        <f t="shared" si="4"/>
        <v>56</v>
      </c>
      <c r="G167" s="2">
        <f t="shared" si="6"/>
        <v>1</v>
      </c>
      <c r="H167" s="1" t="s">
        <v>11</v>
      </c>
      <c r="I167" s="1">
        <v>5</v>
      </c>
      <c r="J167" s="1">
        <v>2</v>
      </c>
      <c r="L167" s="2"/>
      <c r="M167" s="2"/>
      <c r="N167" s="2"/>
      <c r="O167" s="2"/>
      <c r="P167" s="2"/>
      <c r="Q167" s="2"/>
    </row>
    <row r="168" spans="1:17">
      <c r="A168" s="1" t="s">
        <v>25</v>
      </c>
      <c r="B168" s="1" t="s">
        <v>19</v>
      </c>
      <c r="C168" s="1" t="s">
        <v>16</v>
      </c>
      <c r="D168" s="2" t="s">
        <v>123</v>
      </c>
      <c r="E168" s="4">
        <v>45765</v>
      </c>
      <c r="F168" s="2">
        <f t="shared" si="4"/>
        <v>56</v>
      </c>
      <c r="G168" s="2">
        <f t="shared" si="6"/>
        <v>2</v>
      </c>
      <c r="H168" s="1" t="s">
        <v>11</v>
      </c>
      <c r="I168" s="1">
        <v>5</v>
      </c>
      <c r="J168" s="1">
        <v>1</v>
      </c>
      <c r="L168" s="2"/>
      <c r="M168" s="2"/>
      <c r="N168" s="2"/>
      <c r="O168" s="2"/>
      <c r="P168" s="2"/>
      <c r="Q168" s="2"/>
    </row>
    <row r="169" spans="1:17">
      <c r="A169" s="1" t="s">
        <v>25</v>
      </c>
      <c r="B169" s="1" t="s">
        <v>19</v>
      </c>
      <c r="C169" s="1" t="s">
        <v>16</v>
      </c>
      <c r="D169" s="2" t="s">
        <v>123</v>
      </c>
      <c r="E169" s="4">
        <v>45765</v>
      </c>
      <c r="F169" s="2">
        <f t="shared" si="4"/>
        <v>56</v>
      </c>
      <c r="G169" s="2">
        <f t="shared" si="6"/>
        <v>3</v>
      </c>
      <c r="H169" s="1" t="s">
        <v>11</v>
      </c>
      <c r="I169" s="1">
        <v>0</v>
      </c>
      <c r="J169" s="1">
        <v>0</v>
      </c>
      <c r="L169" s="2"/>
      <c r="M169" s="2"/>
      <c r="N169" s="2"/>
      <c r="O169" s="2"/>
      <c r="P169" s="2"/>
      <c r="Q169" s="2"/>
    </row>
    <row r="170" spans="1:17">
      <c r="A170" s="1" t="s">
        <v>25</v>
      </c>
      <c r="B170" s="1" t="s">
        <v>20</v>
      </c>
      <c r="C170" s="1" t="s">
        <v>16</v>
      </c>
      <c r="D170" s="2" t="s">
        <v>123</v>
      </c>
      <c r="E170" s="4">
        <v>45768</v>
      </c>
      <c r="F170" s="2">
        <f t="shared" si="4"/>
        <v>57</v>
      </c>
      <c r="G170" s="2">
        <f t="shared" si="6"/>
        <v>1</v>
      </c>
      <c r="H170" s="1" t="s">
        <v>30</v>
      </c>
      <c r="I170" s="1">
        <v>1</v>
      </c>
      <c r="J170" s="1">
        <v>3</v>
      </c>
      <c r="L170" s="2"/>
      <c r="M170" s="2"/>
      <c r="N170" s="2">
        <v>0</v>
      </c>
      <c r="O170" s="2"/>
      <c r="P170" s="2"/>
      <c r="Q170" s="2"/>
    </row>
    <row r="171" spans="1:17">
      <c r="A171" s="1" t="s">
        <v>25</v>
      </c>
      <c r="B171" s="1" t="s">
        <v>20</v>
      </c>
      <c r="C171" s="1" t="s">
        <v>16</v>
      </c>
      <c r="D171" s="2" t="s">
        <v>123</v>
      </c>
      <c r="E171" s="4">
        <v>45768</v>
      </c>
      <c r="F171" s="2">
        <f t="shared" si="4"/>
        <v>57</v>
      </c>
      <c r="G171" s="2">
        <f t="shared" si="6"/>
        <v>2</v>
      </c>
      <c r="H171" s="1" t="s">
        <v>30</v>
      </c>
      <c r="I171" s="1">
        <v>4</v>
      </c>
      <c r="J171" s="1">
        <v>1</v>
      </c>
      <c r="L171" s="2"/>
      <c r="M171" s="2"/>
      <c r="N171" s="2">
        <v>0</v>
      </c>
      <c r="O171" s="2"/>
      <c r="P171" s="2"/>
      <c r="Q171" s="2"/>
    </row>
    <row r="172" spans="1:17">
      <c r="A172" s="1" t="s">
        <v>25</v>
      </c>
      <c r="B172" s="1" t="s">
        <v>20</v>
      </c>
      <c r="C172" s="1" t="s">
        <v>16</v>
      </c>
      <c r="D172" s="2" t="s">
        <v>123</v>
      </c>
      <c r="E172" s="4">
        <v>45768</v>
      </c>
      <c r="F172" s="2">
        <f t="shared" si="4"/>
        <v>57</v>
      </c>
      <c r="G172" s="2">
        <f t="shared" si="6"/>
        <v>3</v>
      </c>
      <c r="H172" s="1" t="s">
        <v>30</v>
      </c>
      <c r="I172" s="1">
        <v>0</v>
      </c>
      <c r="J172" s="1">
        <v>3</v>
      </c>
      <c r="L172" s="2"/>
      <c r="M172" s="2"/>
      <c r="N172" s="2">
        <v>0</v>
      </c>
      <c r="O172" s="2"/>
      <c r="P172" s="2"/>
      <c r="Q172" s="2"/>
    </row>
    <row r="173" spans="1:17">
      <c r="A173" s="1" t="s">
        <v>25</v>
      </c>
      <c r="B173" s="1" t="s">
        <v>19</v>
      </c>
      <c r="C173" s="1" t="s">
        <v>16</v>
      </c>
      <c r="D173" s="2" t="s">
        <v>123</v>
      </c>
      <c r="E173" s="4">
        <v>45768</v>
      </c>
      <c r="F173" s="2">
        <f t="shared" si="4"/>
        <v>58</v>
      </c>
      <c r="G173" s="2">
        <f t="shared" si="6"/>
        <v>1</v>
      </c>
      <c r="H173" s="1" t="s">
        <v>32</v>
      </c>
      <c r="I173" s="1">
        <v>0</v>
      </c>
      <c r="J173" s="1">
        <v>1</v>
      </c>
      <c r="L173" s="2"/>
      <c r="M173" s="2"/>
      <c r="N173" s="2">
        <v>0</v>
      </c>
      <c r="O173" s="2"/>
      <c r="P173" s="2"/>
      <c r="Q173" s="2"/>
    </row>
    <row r="174" spans="1:17">
      <c r="A174" s="1" t="s">
        <v>25</v>
      </c>
      <c r="B174" s="1" t="s">
        <v>19</v>
      </c>
      <c r="C174" s="1" t="s">
        <v>16</v>
      </c>
      <c r="D174" s="2" t="s">
        <v>123</v>
      </c>
      <c r="E174" s="4">
        <v>45768</v>
      </c>
      <c r="F174" s="2">
        <f t="shared" si="4"/>
        <v>58</v>
      </c>
      <c r="G174" s="2">
        <f t="shared" si="6"/>
        <v>2</v>
      </c>
      <c r="H174" s="1" t="s">
        <v>32</v>
      </c>
      <c r="I174" s="1">
        <v>2</v>
      </c>
      <c r="J174" s="1">
        <v>0</v>
      </c>
      <c r="L174" s="2"/>
      <c r="M174" s="2"/>
      <c r="N174" s="2">
        <v>3</v>
      </c>
      <c r="O174" s="2"/>
      <c r="P174" s="2"/>
      <c r="Q174" s="2"/>
    </row>
    <row r="175" spans="1:17">
      <c r="A175" s="1" t="s">
        <v>25</v>
      </c>
      <c r="B175" s="1" t="s">
        <v>19</v>
      </c>
      <c r="C175" s="1" t="s">
        <v>16</v>
      </c>
      <c r="D175" s="2" t="s">
        <v>123</v>
      </c>
      <c r="E175" s="4">
        <v>45768</v>
      </c>
      <c r="F175" s="2">
        <f t="shared" si="4"/>
        <v>58</v>
      </c>
      <c r="G175" s="2">
        <f t="shared" si="6"/>
        <v>3</v>
      </c>
      <c r="H175" s="1" t="s">
        <v>32</v>
      </c>
      <c r="I175" s="1">
        <v>2</v>
      </c>
      <c r="J175" s="1">
        <v>2</v>
      </c>
      <c r="L175" s="2"/>
      <c r="M175" s="2"/>
      <c r="N175" s="2">
        <v>1</v>
      </c>
      <c r="O175" s="2"/>
      <c r="P175" s="2"/>
      <c r="Q175" s="2"/>
    </row>
    <row r="176" spans="1:17">
      <c r="A176" s="1" t="s">
        <v>25</v>
      </c>
      <c r="B176" s="1" t="s">
        <v>19</v>
      </c>
      <c r="C176" s="1" t="s">
        <v>16</v>
      </c>
      <c r="D176" s="2" t="s">
        <v>123</v>
      </c>
      <c r="E176" s="4">
        <v>45768</v>
      </c>
      <c r="F176" s="2">
        <v>58</v>
      </c>
      <c r="G176" s="2" t="s">
        <v>82</v>
      </c>
      <c r="H176" s="1" t="s">
        <v>32</v>
      </c>
      <c r="I176" s="1">
        <v>0</v>
      </c>
      <c r="L176" s="2"/>
      <c r="M176" s="2"/>
      <c r="N176" s="2">
        <v>0</v>
      </c>
      <c r="O176" s="2"/>
      <c r="P176" s="2"/>
      <c r="Q176" s="2"/>
    </row>
    <row r="177" spans="1:17">
      <c r="A177" s="1" t="s">
        <v>25</v>
      </c>
      <c r="B177" s="1" t="s">
        <v>19</v>
      </c>
      <c r="C177" s="1" t="s">
        <v>16</v>
      </c>
      <c r="D177" s="2" t="s">
        <v>123</v>
      </c>
      <c r="E177" s="4">
        <v>45768</v>
      </c>
      <c r="F177" s="2">
        <v>58</v>
      </c>
      <c r="G177" s="2" t="s">
        <v>83</v>
      </c>
      <c r="H177" s="1" t="s">
        <v>32</v>
      </c>
      <c r="I177" s="1">
        <v>5</v>
      </c>
      <c r="L177" s="2"/>
      <c r="M177" s="2"/>
      <c r="N177" s="2">
        <v>0</v>
      </c>
      <c r="O177" s="2"/>
      <c r="P177" s="2"/>
      <c r="Q177" s="2"/>
    </row>
    <row r="178" spans="1:17">
      <c r="A178" s="1" t="s">
        <v>25</v>
      </c>
      <c r="B178" s="1" t="s">
        <v>21</v>
      </c>
      <c r="C178" s="1" t="s">
        <v>16</v>
      </c>
      <c r="D178" s="2" t="s">
        <v>123</v>
      </c>
      <c r="E178" s="4">
        <v>45768</v>
      </c>
      <c r="F178" s="2">
        <f t="shared" ref="F178:F224" si="7">F175+1</f>
        <v>59</v>
      </c>
      <c r="G178" s="2">
        <f>G173</f>
        <v>1</v>
      </c>
      <c r="H178" s="1" t="s">
        <v>11</v>
      </c>
      <c r="I178" s="1">
        <v>4</v>
      </c>
      <c r="J178" s="1">
        <v>1</v>
      </c>
      <c r="L178" s="2"/>
      <c r="M178" s="2"/>
      <c r="N178" s="2"/>
      <c r="O178" s="2"/>
      <c r="P178" s="2"/>
      <c r="Q178" s="2"/>
    </row>
    <row r="179" spans="1:17">
      <c r="A179" s="1" t="s">
        <v>25</v>
      </c>
      <c r="B179" s="1" t="s">
        <v>21</v>
      </c>
      <c r="C179" s="1" t="s">
        <v>16</v>
      </c>
      <c r="D179" s="2" t="s">
        <v>123</v>
      </c>
      <c r="E179" s="4">
        <v>45768</v>
      </c>
      <c r="F179" s="2">
        <f t="shared" si="7"/>
        <v>59</v>
      </c>
      <c r="G179" s="2">
        <f>G174</f>
        <v>2</v>
      </c>
      <c r="H179" s="1" t="s">
        <v>11</v>
      </c>
      <c r="I179" s="1">
        <v>3</v>
      </c>
      <c r="J179" s="1">
        <v>0</v>
      </c>
      <c r="L179" s="2"/>
      <c r="M179" s="2"/>
      <c r="N179" s="2"/>
      <c r="O179" s="2"/>
      <c r="P179" s="2"/>
      <c r="Q179" s="2"/>
    </row>
    <row r="180" spans="1:17">
      <c r="A180" s="1" t="s">
        <v>25</v>
      </c>
      <c r="B180" s="1" t="s">
        <v>21</v>
      </c>
      <c r="C180" s="1" t="s">
        <v>16</v>
      </c>
      <c r="D180" s="2" t="s">
        <v>123</v>
      </c>
      <c r="E180" s="4">
        <v>45768</v>
      </c>
      <c r="F180" s="2">
        <f t="shared" si="7"/>
        <v>59</v>
      </c>
      <c r="G180" s="2">
        <f>G175</f>
        <v>3</v>
      </c>
      <c r="H180" s="1" t="s">
        <v>11</v>
      </c>
      <c r="I180" s="1">
        <v>5</v>
      </c>
      <c r="J180" s="1">
        <v>0</v>
      </c>
      <c r="L180" s="2"/>
      <c r="M180" s="2"/>
      <c r="N180" s="2"/>
      <c r="O180" s="2"/>
      <c r="P180" s="2"/>
      <c r="Q180" s="2"/>
    </row>
    <row r="181" spans="1:17">
      <c r="A181" s="1" t="s">
        <v>25</v>
      </c>
      <c r="B181" s="1" t="s">
        <v>20</v>
      </c>
      <c r="C181" s="1" t="s">
        <v>16</v>
      </c>
      <c r="D181" s="2" t="s">
        <v>123</v>
      </c>
      <c r="E181" s="4">
        <v>45769</v>
      </c>
      <c r="F181" s="2">
        <f t="shared" si="7"/>
        <v>60</v>
      </c>
      <c r="G181" s="2">
        <f t="shared" ref="G181:G195" si="8">G178</f>
        <v>1</v>
      </c>
      <c r="H181" s="1" t="s">
        <v>9</v>
      </c>
      <c r="I181" s="1">
        <v>2</v>
      </c>
      <c r="J181" s="1">
        <v>4</v>
      </c>
      <c r="L181" s="2"/>
      <c r="M181" s="2"/>
      <c r="N181" s="2"/>
      <c r="O181" s="2"/>
      <c r="P181" s="2"/>
      <c r="Q181" s="2"/>
    </row>
    <row r="182" spans="1:17">
      <c r="A182" s="1" t="s">
        <v>25</v>
      </c>
      <c r="B182" s="1" t="s">
        <v>20</v>
      </c>
      <c r="C182" s="1" t="s">
        <v>16</v>
      </c>
      <c r="D182" s="2" t="s">
        <v>123</v>
      </c>
      <c r="E182" s="4">
        <v>45769</v>
      </c>
      <c r="F182" s="2">
        <f t="shared" si="7"/>
        <v>60</v>
      </c>
      <c r="G182" s="2">
        <f t="shared" si="8"/>
        <v>2</v>
      </c>
      <c r="H182" s="1" t="s">
        <v>9</v>
      </c>
      <c r="I182" s="1">
        <v>3</v>
      </c>
      <c r="J182" s="1">
        <v>5</v>
      </c>
      <c r="L182" s="2"/>
      <c r="M182" s="2"/>
      <c r="N182" s="2"/>
      <c r="O182" s="2"/>
      <c r="P182" s="2"/>
      <c r="Q182" s="2"/>
    </row>
    <row r="183" spans="1:17">
      <c r="A183" s="1" t="s">
        <v>25</v>
      </c>
      <c r="B183" s="1" t="s">
        <v>20</v>
      </c>
      <c r="C183" s="1" t="s">
        <v>16</v>
      </c>
      <c r="D183" s="2" t="s">
        <v>123</v>
      </c>
      <c r="E183" s="4">
        <v>45769</v>
      </c>
      <c r="F183" s="2">
        <f t="shared" si="7"/>
        <v>60</v>
      </c>
      <c r="G183" s="2">
        <f t="shared" si="8"/>
        <v>3</v>
      </c>
      <c r="H183" s="1" t="s">
        <v>9</v>
      </c>
      <c r="I183" s="1">
        <v>0</v>
      </c>
      <c r="J183" s="1">
        <v>3</v>
      </c>
      <c r="L183" s="2"/>
      <c r="M183" s="2"/>
      <c r="N183" s="2"/>
      <c r="O183" s="2"/>
      <c r="P183" s="2"/>
      <c r="Q183" s="2"/>
    </row>
    <row r="184" spans="1:17">
      <c r="A184" s="1" t="s">
        <v>25</v>
      </c>
      <c r="B184" s="1" t="s">
        <v>19</v>
      </c>
      <c r="C184" s="1" t="s">
        <v>16</v>
      </c>
      <c r="D184" s="2" t="s">
        <v>123</v>
      </c>
      <c r="E184" s="4">
        <v>45769</v>
      </c>
      <c r="F184" s="2">
        <f t="shared" si="7"/>
        <v>61</v>
      </c>
      <c r="G184" s="2">
        <f t="shared" si="8"/>
        <v>1</v>
      </c>
      <c r="H184" s="1" t="s">
        <v>11</v>
      </c>
      <c r="I184" s="1">
        <v>5</v>
      </c>
      <c r="J184" s="1">
        <v>1</v>
      </c>
      <c r="L184" s="2"/>
      <c r="M184" s="2"/>
      <c r="N184" s="2"/>
      <c r="O184" s="2"/>
      <c r="P184" s="2"/>
      <c r="Q184" s="2"/>
    </row>
    <row r="185" spans="1:17">
      <c r="A185" s="1" t="s">
        <v>25</v>
      </c>
      <c r="B185" s="1" t="s">
        <v>19</v>
      </c>
      <c r="C185" s="1" t="s">
        <v>16</v>
      </c>
      <c r="D185" s="2" t="s">
        <v>123</v>
      </c>
      <c r="E185" s="4">
        <v>45769</v>
      </c>
      <c r="F185" s="2">
        <f t="shared" si="7"/>
        <v>61</v>
      </c>
      <c r="G185" s="2">
        <f t="shared" si="8"/>
        <v>2</v>
      </c>
      <c r="H185" s="1" t="s">
        <v>11</v>
      </c>
      <c r="I185" s="1">
        <v>7</v>
      </c>
      <c r="J185" s="1">
        <v>1</v>
      </c>
      <c r="L185" s="2"/>
      <c r="M185" s="2"/>
      <c r="N185" s="2"/>
      <c r="O185" s="2"/>
      <c r="P185" s="2"/>
      <c r="Q185" s="2"/>
    </row>
    <row r="186" spans="1:17">
      <c r="A186" s="1" t="s">
        <v>25</v>
      </c>
      <c r="B186" s="1" t="s">
        <v>19</v>
      </c>
      <c r="C186" s="1" t="s">
        <v>16</v>
      </c>
      <c r="D186" s="2" t="s">
        <v>123</v>
      </c>
      <c r="E186" s="4">
        <v>45769</v>
      </c>
      <c r="F186" s="2">
        <f t="shared" si="7"/>
        <v>61</v>
      </c>
      <c r="G186" s="2">
        <f t="shared" si="8"/>
        <v>3</v>
      </c>
      <c r="H186" s="1" t="s">
        <v>11</v>
      </c>
      <c r="I186" s="1">
        <v>1</v>
      </c>
      <c r="J186" s="1">
        <v>0</v>
      </c>
      <c r="L186" s="2"/>
      <c r="M186" s="2"/>
      <c r="N186" s="2"/>
      <c r="O186" s="2"/>
      <c r="P186" s="2"/>
      <c r="Q186" s="2"/>
    </row>
    <row r="187" spans="1:17">
      <c r="A187" s="1" t="s">
        <v>25</v>
      </c>
      <c r="B187" s="1" t="s">
        <v>21</v>
      </c>
      <c r="C187" s="1" t="s">
        <v>16</v>
      </c>
      <c r="D187" s="2" t="s">
        <v>123</v>
      </c>
      <c r="E187" s="4">
        <v>45769</v>
      </c>
      <c r="F187" s="2">
        <f t="shared" si="7"/>
        <v>62</v>
      </c>
      <c r="G187" s="2">
        <f t="shared" si="8"/>
        <v>1</v>
      </c>
      <c r="H187" s="1" t="s">
        <v>33</v>
      </c>
      <c r="I187" s="1">
        <v>0</v>
      </c>
      <c r="J187" s="1">
        <v>1</v>
      </c>
      <c r="L187" s="2">
        <v>0</v>
      </c>
      <c r="M187" s="2"/>
      <c r="N187" s="2"/>
      <c r="O187" s="2"/>
      <c r="P187" s="2"/>
      <c r="Q187" s="2"/>
    </row>
    <row r="188" spans="1:17">
      <c r="A188" s="1" t="s">
        <v>25</v>
      </c>
      <c r="B188" s="1" t="s">
        <v>21</v>
      </c>
      <c r="C188" s="1" t="s">
        <v>16</v>
      </c>
      <c r="D188" s="2" t="s">
        <v>123</v>
      </c>
      <c r="E188" s="4">
        <v>45769</v>
      </c>
      <c r="F188" s="2">
        <f t="shared" si="7"/>
        <v>62</v>
      </c>
      <c r="G188" s="2">
        <f t="shared" si="8"/>
        <v>2</v>
      </c>
      <c r="H188" s="1" t="s">
        <v>33</v>
      </c>
      <c r="I188" s="1">
        <v>6</v>
      </c>
      <c r="J188" s="1">
        <v>0</v>
      </c>
      <c r="L188" s="2">
        <v>0</v>
      </c>
      <c r="M188" s="2"/>
      <c r="N188" s="2"/>
      <c r="O188" s="2"/>
      <c r="P188" s="2"/>
      <c r="Q188" s="2"/>
    </row>
    <row r="189" spans="1:17">
      <c r="A189" s="1" t="s">
        <v>25</v>
      </c>
      <c r="B189" s="1" t="s">
        <v>21</v>
      </c>
      <c r="C189" s="1" t="s">
        <v>16</v>
      </c>
      <c r="D189" s="2" t="s">
        <v>123</v>
      </c>
      <c r="E189" s="4">
        <v>45769</v>
      </c>
      <c r="F189" s="2">
        <f t="shared" si="7"/>
        <v>62</v>
      </c>
      <c r="G189" s="2">
        <f t="shared" si="8"/>
        <v>3</v>
      </c>
      <c r="H189" s="1" t="s">
        <v>33</v>
      </c>
      <c r="I189" s="1">
        <v>2</v>
      </c>
      <c r="J189" s="1">
        <v>1</v>
      </c>
      <c r="L189" s="2">
        <v>1</v>
      </c>
      <c r="M189" s="2"/>
      <c r="N189" s="2"/>
      <c r="O189" s="2"/>
      <c r="P189" s="2"/>
      <c r="Q189" s="2"/>
    </row>
    <row r="190" spans="1:17">
      <c r="A190" s="1" t="s">
        <v>25</v>
      </c>
      <c r="B190" s="1" t="s">
        <v>20</v>
      </c>
      <c r="C190" s="1" t="s">
        <v>16</v>
      </c>
      <c r="D190" s="2" t="s">
        <v>123</v>
      </c>
      <c r="E190" s="4">
        <v>45770</v>
      </c>
      <c r="F190" s="2">
        <f t="shared" si="7"/>
        <v>63</v>
      </c>
      <c r="G190" s="2">
        <f t="shared" si="8"/>
        <v>1</v>
      </c>
      <c r="H190" s="1" t="s">
        <v>11</v>
      </c>
      <c r="I190" s="1">
        <v>3</v>
      </c>
      <c r="J190" s="1">
        <v>0</v>
      </c>
      <c r="L190" s="2"/>
      <c r="M190" s="2"/>
      <c r="N190" s="2"/>
      <c r="O190" s="2"/>
      <c r="P190" s="2"/>
      <c r="Q190" s="2"/>
    </row>
    <row r="191" spans="1:17">
      <c r="A191" s="1" t="s">
        <v>25</v>
      </c>
      <c r="B191" s="1" t="s">
        <v>20</v>
      </c>
      <c r="C191" s="1" t="s">
        <v>16</v>
      </c>
      <c r="D191" s="2" t="s">
        <v>123</v>
      </c>
      <c r="E191" s="4">
        <v>45770</v>
      </c>
      <c r="F191" s="2">
        <f t="shared" si="7"/>
        <v>63</v>
      </c>
      <c r="G191" s="2">
        <f t="shared" si="8"/>
        <v>2</v>
      </c>
      <c r="H191" s="1" t="s">
        <v>11</v>
      </c>
      <c r="I191" s="1">
        <v>3</v>
      </c>
      <c r="J191" s="1">
        <v>4</v>
      </c>
      <c r="L191" s="2"/>
      <c r="M191" s="2"/>
      <c r="N191" s="2"/>
      <c r="O191" s="2"/>
      <c r="P191" s="2"/>
      <c r="Q191" s="2"/>
    </row>
    <row r="192" spans="1:17">
      <c r="A192" s="1" t="s">
        <v>25</v>
      </c>
      <c r="B192" s="1" t="s">
        <v>20</v>
      </c>
      <c r="C192" s="1" t="s">
        <v>16</v>
      </c>
      <c r="D192" s="2" t="s">
        <v>123</v>
      </c>
      <c r="E192" s="4">
        <v>45770</v>
      </c>
      <c r="F192" s="2">
        <f t="shared" si="7"/>
        <v>63</v>
      </c>
      <c r="G192" s="2">
        <f t="shared" si="8"/>
        <v>3</v>
      </c>
      <c r="H192" s="1" t="s">
        <v>11</v>
      </c>
      <c r="I192" s="1">
        <v>3</v>
      </c>
      <c r="J192" s="1">
        <v>0</v>
      </c>
      <c r="L192" s="2"/>
      <c r="M192" s="2"/>
      <c r="N192" s="2"/>
      <c r="O192" s="2"/>
      <c r="P192" s="2"/>
      <c r="Q192" s="2"/>
    </row>
    <row r="193" spans="1:17">
      <c r="A193" s="1" t="s">
        <v>25</v>
      </c>
      <c r="B193" s="1" t="s">
        <v>20</v>
      </c>
      <c r="C193" s="1" t="s">
        <v>16</v>
      </c>
      <c r="D193" s="2" t="s">
        <v>123</v>
      </c>
      <c r="E193" s="4">
        <v>45770</v>
      </c>
      <c r="F193" s="2">
        <f t="shared" si="7"/>
        <v>64</v>
      </c>
      <c r="G193" s="2">
        <f t="shared" si="8"/>
        <v>1</v>
      </c>
      <c r="H193" s="1" t="s">
        <v>34</v>
      </c>
      <c r="J193" s="1">
        <v>0</v>
      </c>
      <c r="K193" s="1">
        <v>1</v>
      </c>
      <c r="L193" s="2"/>
      <c r="M193" s="2"/>
      <c r="N193" s="2"/>
      <c r="O193" s="2"/>
      <c r="P193" s="2"/>
      <c r="Q193" s="2"/>
    </row>
    <row r="194" spans="1:17">
      <c r="A194" s="1" t="s">
        <v>25</v>
      </c>
      <c r="B194" s="1" t="s">
        <v>20</v>
      </c>
      <c r="C194" s="1" t="s">
        <v>16</v>
      </c>
      <c r="D194" s="2" t="s">
        <v>123</v>
      </c>
      <c r="E194" s="4">
        <v>45770</v>
      </c>
      <c r="F194" s="2">
        <f t="shared" si="7"/>
        <v>64</v>
      </c>
      <c r="G194" s="2">
        <f t="shared" si="8"/>
        <v>2</v>
      </c>
      <c r="H194" s="1" t="s">
        <v>34</v>
      </c>
      <c r="J194" s="1">
        <v>0</v>
      </c>
      <c r="K194" s="1">
        <v>0</v>
      </c>
      <c r="L194" s="2"/>
      <c r="M194" s="2"/>
      <c r="N194" s="2"/>
      <c r="O194" s="2"/>
      <c r="P194" s="2"/>
      <c r="Q194" s="2"/>
    </row>
    <row r="195" spans="1:17">
      <c r="A195" s="1" t="s">
        <v>25</v>
      </c>
      <c r="B195" s="1" t="s">
        <v>20</v>
      </c>
      <c r="C195" s="1" t="s">
        <v>16</v>
      </c>
      <c r="D195" s="2" t="s">
        <v>123</v>
      </c>
      <c r="E195" s="4">
        <v>45770</v>
      </c>
      <c r="F195" s="2">
        <f t="shared" si="7"/>
        <v>64</v>
      </c>
      <c r="G195" s="2">
        <f t="shared" si="8"/>
        <v>3</v>
      </c>
      <c r="H195" s="1" t="s">
        <v>34</v>
      </c>
      <c r="J195" s="1">
        <v>3</v>
      </c>
      <c r="K195" s="1">
        <v>2</v>
      </c>
      <c r="L195" s="2"/>
      <c r="M195" s="2"/>
      <c r="N195" s="2"/>
      <c r="O195" s="2"/>
      <c r="P195" s="2"/>
      <c r="Q195" s="2"/>
    </row>
    <row r="196" spans="1:17">
      <c r="A196" s="1" t="s">
        <v>25</v>
      </c>
      <c r="B196" s="1" t="s">
        <v>20</v>
      </c>
      <c r="C196" s="1" t="s">
        <v>16</v>
      </c>
      <c r="D196" s="2" t="s">
        <v>123</v>
      </c>
      <c r="E196" s="4">
        <v>45770</v>
      </c>
      <c r="F196" s="2">
        <v>64</v>
      </c>
      <c r="G196" s="2" t="s">
        <v>82</v>
      </c>
      <c r="H196" s="1" t="s">
        <v>34</v>
      </c>
      <c r="J196" s="1">
        <v>3</v>
      </c>
      <c r="K196" s="1">
        <v>3</v>
      </c>
      <c r="L196" s="2"/>
      <c r="M196" s="2"/>
      <c r="N196" s="2"/>
      <c r="O196" s="2"/>
      <c r="P196" s="2"/>
      <c r="Q196" s="2"/>
    </row>
    <row r="197" spans="1:17">
      <c r="A197" s="1" t="s">
        <v>25</v>
      </c>
      <c r="B197" s="1" t="s">
        <v>20</v>
      </c>
      <c r="C197" s="1" t="s">
        <v>16</v>
      </c>
      <c r="D197" s="2" t="s">
        <v>123</v>
      </c>
      <c r="E197" s="4">
        <v>45770</v>
      </c>
      <c r="F197" s="2">
        <v>64</v>
      </c>
      <c r="G197" s="2" t="s">
        <v>83</v>
      </c>
      <c r="H197" s="1" t="s">
        <v>34</v>
      </c>
      <c r="J197" s="1">
        <v>3</v>
      </c>
      <c r="K197" s="1">
        <v>1</v>
      </c>
      <c r="L197" s="2"/>
      <c r="M197" s="2"/>
      <c r="N197" s="2"/>
      <c r="O197" s="2"/>
      <c r="P197" s="2"/>
      <c r="Q197" s="2"/>
    </row>
    <row r="198" spans="1:17">
      <c r="A198" s="1" t="s">
        <v>25</v>
      </c>
      <c r="B198" s="1" t="s">
        <v>20</v>
      </c>
      <c r="C198" s="1" t="s">
        <v>16</v>
      </c>
      <c r="D198" s="2" t="s">
        <v>123</v>
      </c>
      <c r="E198" s="4">
        <v>45770</v>
      </c>
      <c r="F198" s="2">
        <f t="shared" si="7"/>
        <v>65</v>
      </c>
      <c r="G198" s="2">
        <v>1</v>
      </c>
      <c r="H198" s="1" t="s">
        <v>12</v>
      </c>
      <c r="I198" s="1">
        <v>2</v>
      </c>
      <c r="J198" s="1">
        <v>1</v>
      </c>
      <c r="L198" s="2">
        <v>2</v>
      </c>
      <c r="M198" s="2"/>
      <c r="N198" s="2"/>
      <c r="O198" s="2"/>
      <c r="P198" s="2"/>
      <c r="Q198" s="2"/>
    </row>
    <row r="199" spans="1:17">
      <c r="A199" s="1" t="s">
        <v>25</v>
      </c>
      <c r="B199" s="1" t="s">
        <v>20</v>
      </c>
      <c r="C199" s="1" t="s">
        <v>16</v>
      </c>
      <c r="D199" s="2" t="s">
        <v>123</v>
      </c>
      <c r="E199" s="4">
        <v>45770</v>
      </c>
      <c r="F199" s="2">
        <f t="shared" si="7"/>
        <v>65</v>
      </c>
      <c r="G199" s="2">
        <v>2</v>
      </c>
      <c r="H199" s="1" t="s">
        <v>12</v>
      </c>
      <c r="I199" s="1">
        <v>3</v>
      </c>
      <c r="J199" s="1">
        <v>2</v>
      </c>
      <c r="L199" s="2">
        <v>1</v>
      </c>
      <c r="M199" s="2"/>
      <c r="N199" s="2"/>
      <c r="O199" s="2"/>
      <c r="P199" s="2"/>
      <c r="Q199" s="2"/>
    </row>
    <row r="200" spans="1:17">
      <c r="A200" s="1" t="s">
        <v>25</v>
      </c>
      <c r="B200" s="1" t="s">
        <v>20</v>
      </c>
      <c r="C200" s="1" t="s">
        <v>16</v>
      </c>
      <c r="D200" s="2" t="s">
        <v>123</v>
      </c>
      <c r="E200" s="4">
        <v>45770</v>
      </c>
      <c r="F200" s="2">
        <f t="shared" si="7"/>
        <v>65</v>
      </c>
      <c r="G200" s="2">
        <v>3</v>
      </c>
      <c r="H200" s="1" t="s">
        <v>12</v>
      </c>
      <c r="I200" s="1">
        <v>2</v>
      </c>
      <c r="J200" s="1">
        <v>0</v>
      </c>
      <c r="L200" s="2">
        <v>1</v>
      </c>
      <c r="M200" s="2"/>
      <c r="N200" s="2"/>
      <c r="O200" s="2"/>
      <c r="P200" s="2"/>
      <c r="Q200" s="2"/>
    </row>
    <row r="201" spans="1:17">
      <c r="A201" s="1" t="s">
        <v>25</v>
      </c>
      <c r="B201" s="1" t="s">
        <v>21</v>
      </c>
      <c r="C201" s="1" t="s">
        <v>16</v>
      </c>
      <c r="D201" s="2" t="s">
        <v>123</v>
      </c>
      <c r="E201" s="4">
        <v>45771</v>
      </c>
      <c r="F201" s="2">
        <f t="shared" si="7"/>
        <v>66</v>
      </c>
      <c r="G201" s="2">
        <v>1</v>
      </c>
      <c r="H201" s="1" t="s">
        <v>9</v>
      </c>
      <c r="I201" s="1">
        <v>5</v>
      </c>
      <c r="J201" s="1">
        <v>1</v>
      </c>
      <c r="L201" s="2"/>
      <c r="M201" s="2"/>
      <c r="N201" s="2"/>
      <c r="O201" s="2"/>
      <c r="P201" s="2"/>
      <c r="Q201" s="2"/>
    </row>
    <row r="202" spans="1:17">
      <c r="A202" s="1" t="s">
        <v>25</v>
      </c>
      <c r="B202" s="1" t="s">
        <v>21</v>
      </c>
      <c r="C202" s="1" t="s">
        <v>16</v>
      </c>
      <c r="D202" s="2" t="s">
        <v>123</v>
      </c>
      <c r="E202" s="4">
        <v>45771</v>
      </c>
      <c r="F202" s="2">
        <f t="shared" si="7"/>
        <v>66</v>
      </c>
      <c r="G202" s="2">
        <v>2</v>
      </c>
      <c r="H202" s="1" t="s">
        <v>9</v>
      </c>
      <c r="I202" s="1">
        <v>0</v>
      </c>
      <c r="J202" s="1">
        <v>2</v>
      </c>
      <c r="L202" s="2"/>
      <c r="M202" s="2"/>
      <c r="N202" s="2"/>
      <c r="O202" s="2"/>
      <c r="P202" s="2"/>
      <c r="Q202" s="2"/>
    </row>
    <row r="203" spans="1:17">
      <c r="A203" s="1" t="s">
        <v>25</v>
      </c>
      <c r="B203" s="1" t="s">
        <v>21</v>
      </c>
      <c r="C203" s="1" t="s">
        <v>16</v>
      </c>
      <c r="D203" s="2" t="s">
        <v>123</v>
      </c>
      <c r="E203" s="4">
        <v>45771</v>
      </c>
      <c r="F203" s="2">
        <f t="shared" si="7"/>
        <v>66</v>
      </c>
      <c r="G203" s="2">
        <v>3</v>
      </c>
      <c r="H203" s="1" t="s">
        <v>9</v>
      </c>
      <c r="I203" s="1">
        <v>1</v>
      </c>
      <c r="J203" s="1">
        <v>0</v>
      </c>
      <c r="L203" s="2"/>
      <c r="M203" s="2"/>
      <c r="N203" s="2"/>
      <c r="O203" s="2"/>
      <c r="P203" s="2"/>
      <c r="Q203" s="2"/>
    </row>
    <row r="204" spans="1:17">
      <c r="A204" s="1" t="s">
        <v>25</v>
      </c>
      <c r="B204" s="1" t="s">
        <v>19</v>
      </c>
      <c r="C204" s="1" t="s">
        <v>16</v>
      </c>
      <c r="D204" s="2" t="s">
        <v>123</v>
      </c>
      <c r="E204" s="4">
        <v>45771</v>
      </c>
      <c r="F204" s="2">
        <f t="shared" si="7"/>
        <v>67</v>
      </c>
      <c r="G204" s="2">
        <v>1</v>
      </c>
      <c r="H204" s="1" t="s">
        <v>11</v>
      </c>
      <c r="I204" s="1">
        <v>5</v>
      </c>
      <c r="J204" s="1">
        <v>1</v>
      </c>
      <c r="L204" s="2"/>
      <c r="M204" s="2"/>
      <c r="N204" s="2"/>
      <c r="O204" s="2"/>
      <c r="P204" s="2"/>
      <c r="Q204" s="2"/>
    </row>
    <row r="205" spans="1:17">
      <c r="A205" s="1" t="s">
        <v>25</v>
      </c>
      <c r="B205" s="1" t="s">
        <v>19</v>
      </c>
      <c r="C205" s="1" t="s">
        <v>16</v>
      </c>
      <c r="D205" s="2" t="s">
        <v>123</v>
      </c>
      <c r="E205" s="4">
        <v>45771</v>
      </c>
      <c r="F205" s="2">
        <f t="shared" si="7"/>
        <v>67</v>
      </c>
      <c r="G205" s="2">
        <v>2</v>
      </c>
      <c r="H205" s="1" t="s">
        <v>11</v>
      </c>
      <c r="I205" s="1">
        <v>0</v>
      </c>
      <c r="J205" s="1">
        <v>1</v>
      </c>
      <c r="L205" s="2"/>
      <c r="M205" s="2"/>
      <c r="N205" s="2"/>
      <c r="O205" s="2"/>
      <c r="P205" s="2"/>
      <c r="Q205" s="2"/>
    </row>
    <row r="206" spans="1:17">
      <c r="A206" s="1" t="s">
        <v>25</v>
      </c>
      <c r="B206" s="1" t="s">
        <v>19</v>
      </c>
      <c r="C206" s="1" t="s">
        <v>16</v>
      </c>
      <c r="D206" s="2" t="s">
        <v>123</v>
      </c>
      <c r="E206" s="4">
        <v>45771</v>
      </c>
      <c r="F206" s="2">
        <f t="shared" si="7"/>
        <v>67</v>
      </c>
      <c r="G206" s="2">
        <v>3</v>
      </c>
      <c r="H206" s="1" t="s">
        <v>11</v>
      </c>
      <c r="I206" s="1">
        <v>6</v>
      </c>
      <c r="J206" s="1">
        <v>1</v>
      </c>
      <c r="L206" s="2"/>
      <c r="M206" s="2"/>
      <c r="N206" s="2"/>
      <c r="O206" s="2"/>
      <c r="P206" s="2"/>
      <c r="Q206" s="2"/>
    </row>
    <row r="207" spans="1:17">
      <c r="A207" s="1" t="s">
        <v>25</v>
      </c>
      <c r="B207" s="1" t="s">
        <v>20</v>
      </c>
      <c r="C207" s="1" t="s">
        <v>16</v>
      </c>
      <c r="D207" s="2" t="s">
        <v>123</v>
      </c>
      <c r="E207" s="4">
        <v>45771</v>
      </c>
      <c r="F207" s="2">
        <f t="shared" si="7"/>
        <v>68</v>
      </c>
      <c r="G207" s="2">
        <v>1</v>
      </c>
      <c r="H207" s="1" t="s">
        <v>15</v>
      </c>
      <c r="I207" s="1">
        <v>3</v>
      </c>
      <c r="J207" s="1">
        <v>1</v>
      </c>
      <c r="K207" s="1">
        <v>1</v>
      </c>
      <c r="L207" s="2"/>
      <c r="M207" s="2"/>
      <c r="N207" s="2"/>
      <c r="O207" s="2"/>
      <c r="P207" s="2"/>
      <c r="Q207" s="2"/>
    </row>
    <row r="208" spans="1:17">
      <c r="A208" s="1" t="s">
        <v>25</v>
      </c>
      <c r="B208" s="1" t="s">
        <v>20</v>
      </c>
      <c r="C208" s="1" t="s">
        <v>16</v>
      </c>
      <c r="D208" s="2" t="s">
        <v>123</v>
      </c>
      <c r="E208" s="4">
        <v>45771</v>
      </c>
      <c r="F208" s="2">
        <f t="shared" si="7"/>
        <v>68</v>
      </c>
      <c r="G208" s="2">
        <v>2</v>
      </c>
      <c r="H208" s="1" t="s">
        <v>15</v>
      </c>
      <c r="I208" s="1">
        <v>3</v>
      </c>
      <c r="J208" s="1">
        <v>0</v>
      </c>
      <c r="K208" s="1">
        <v>1</v>
      </c>
      <c r="L208" s="2"/>
      <c r="M208" s="2"/>
      <c r="N208" s="2"/>
      <c r="O208" s="2"/>
      <c r="P208" s="2"/>
      <c r="Q208" s="2"/>
    </row>
    <row r="209" spans="1:17">
      <c r="A209" s="1" t="s">
        <v>25</v>
      </c>
      <c r="B209" s="1" t="s">
        <v>20</v>
      </c>
      <c r="C209" s="1" t="s">
        <v>16</v>
      </c>
      <c r="D209" s="2" t="s">
        <v>123</v>
      </c>
      <c r="E209" s="4">
        <v>45771</v>
      </c>
      <c r="F209" s="2">
        <f t="shared" si="7"/>
        <v>68</v>
      </c>
      <c r="G209" s="2">
        <v>3</v>
      </c>
      <c r="H209" s="1" t="s">
        <v>15</v>
      </c>
      <c r="I209" s="1">
        <v>4</v>
      </c>
      <c r="J209" s="1">
        <v>0</v>
      </c>
      <c r="K209" s="1">
        <v>2</v>
      </c>
      <c r="L209" s="2"/>
      <c r="M209" s="2"/>
      <c r="N209" s="2"/>
      <c r="O209" s="2"/>
      <c r="P209" s="2"/>
      <c r="Q209" s="2"/>
    </row>
    <row r="210" spans="1:17">
      <c r="A210" s="1" t="s">
        <v>25</v>
      </c>
      <c r="B210" s="1" t="s">
        <v>20</v>
      </c>
      <c r="C210" s="1" t="s">
        <v>16</v>
      </c>
      <c r="D210" s="2" t="s">
        <v>123</v>
      </c>
      <c r="E210" s="4">
        <v>45771</v>
      </c>
      <c r="F210" s="2">
        <f t="shared" si="7"/>
        <v>69</v>
      </c>
      <c r="G210" s="2">
        <v>1</v>
      </c>
      <c r="H210" s="1" t="s">
        <v>8</v>
      </c>
      <c r="I210" s="1">
        <v>2</v>
      </c>
      <c r="J210" s="1">
        <v>0</v>
      </c>
      <c r="K210" s="1">
        <v>2</v>
      </c>
      <c r="L210" s="2"/>
      <c r="M210" s="2"/>
      <c r="N210" s="2"/>
      <c r="O210" s="2"/>
      <c r="P210" s="2"/>
      <c r="Q210" s="2"/>
    </row>
    <row r="211" spans="1:17">
      <c r="A211" s="1" t="s">
        <v>25</v>
      </c>
      <c r="B211" s="1" t="s">
        <v>20</v>
      </c>
      <c r="C211" s="1" t="s">
        <v>16</v>
      </c>
      <c r="D211" s="2" t="s">
        <v>123</v>
      </c>
      <c r="E211" s="4">
        <v>45771</v>
      </c>
      <c r="F211" s="2">
        <f t="shared" si="7"/>
        <v>69</v>
      </c>
      <c r="G211" s="2">
        <v>2</v>
      </c>
      <c r="H211" s="1" t="s">
        <v>8</v>
      </c>
      <c r="I211" s="1">
        <v>3</v>
      </c>
      <c r="J211" s="1">
        <v>2</v>
      </c>
      <c r="K211" s="1">
        <v>1</v>
      </c>
      <c r="L211" s="2"/>
      <c r="M211" s="2"/>
      <c r="N211" s="2"/>
      <c r="O211" s="2"/>
      <c r="P211" s="2"/>
      <c r="Q211" s="2"/>
    </row>
    <row r="212" spans="1:17">
      <c r="A212" s="1" t="s">
        <v>25</v>
      </c>
      <c r="B212" s="1" t="s">
        <v>20</v>
      </c>
      <c r="C212" s="1" t="s">
        <v>16</v>
      </c>
      <c r="D212" s="2" t="s">
        <v>123</v>
      </c>
      <c r="E212" s="4">
        <v>45771</v>
      </c>
      <c r="F212" s="2">
        <f t="shared" si="7"/>
        <v>69</v>
      </c>
      <c r="G212" s="2">
        <v>3</v>
      </c>
      <c r="H212" s="1" t="s">
        <v>8</v>
      </c>
      <c r="I212" s="1">
        <v>6</v>
      </c>
      <c r="J212" s="1">
        <v>3</v>
      </c>
      <c r="K212" s="1">
        <v>1</v>
      </c>
      <c r="L212" s="2"/>
      <c r="M212" s="2"/>
      <c r="N212" s="2"/>
      <c r="O212" s="2"/>
      <c r="P212" s="2"/>
      <c r="Q212" s="2"/>
    </row>
    <row r="213" spans="1:17">
      <c r="A213" s="1" t="s">
        <v>25</v>
      </c>
      <c r="B213" s="1" t="s">
        <v>20</v>
      </c>
      <c r="C213" s="1" t="s">
        <v>16</v>
      </c>
      <c r="D213" s="2" t="s">
        <v>123</v>
      </c>
      <c r="E213" s="4">
        <v>45772</v>
      </c>
      <c r="F213" s="2">
        <f t="shared" si="7"/>
        <v>70</v>
      </c>
      <c r="G213" s="2">
        <v>1</v>
      </c>
      <c r="H213" s="1" t="s">
        <v>9</v>
      </c>
      <c r="I213" s="1">
        <v>0</v>
      </c>
      <c r="J213" s="1">
        <v>4</v>
      </c>
      <c r="L213" s="2"/>
      <c r="M213" s="2"/>
      <c r="N213" s="2"/>
      <c r="O213" s="2"/>
      <c r="P213" s="2"/>
      <c r="Q213" s="2"/>
    </row>
    <row r="214" spans="1:17">
      <c r="A214" s="1" t="s">
        <v>25</v>
      </c>
      <c r="B214" s="1" t="s">
        <v>20</v>
      </c>
      <c r="C214" s="1" t="s">
        <v>16</v>
      </c>
      <c r="D214" s="2" t="s">
        <v>123</v>
      </c>
      <c r="E214" s="4">
        <v>45772</v>
      </c>
      <c r="F214" s="2">
        <f t="shared" si="7"/>
        <v>70</v>
      </c>
      <c r="G214" s="2">
        <v>2</v>
      </c>
      <c r="H214" s="1" t="s">
        <v>9</v>
      </c>
      <c r="I214" s="1">
        <v>5</v>
      </c>
      <c r="J214" s="1">
        <v>2</v>
      </c>
      <c r="L214" s="2"/>
      <c r="M214" s="2"/>
      <c r="N214" s="2"/>
      <c r="O214" s="2"/>
      <c r="P214" s="2"/>
      <c r="Q214" s="2"/>
    </row>
    <row r="215" spans="1:17">
      <c r="A215" s="1" t="s">
        <v>25</v>
      </c>
      <c r="B215" s="1" t="s">
        <v>20</v>
      </c>
      <c r="C215" s="1" t="s">
        <v>16</v>
      </c>
      <c r="D215" s="2" t="s">
        <v>123</v>
      </c>
      <c r="E215" s="4">
        <v>45772</v>
      </c>
      <c r="F215" s="2">
        <f t="shared" si="7"/>
        <v>70</v>
      </c>
      <c r="G215" s="2">
        <v>3</v>
      </c>
      <c r="H215" s="1" t="s">
        <v>9</v>
      </c>
      <c r="I215" s="1">
        <v>4</v>
      </c>
      <c r="J215" s="1">
        <v>1</v>
      </c>
      <c r="L215" s="2"/>
      <c r="M215" s="2"/>
      <c r="N215" s="2"/>
      <c r="O215" s="2"/>
      <c r="P215" s="2"/>
      <c r="Q215" s="2"/>
    </row>
    <row r="216" spans="1:17">
      <c r="A216" s="1" t="s">
        <v>25</v>
      </c>
      <c r="B216" s="1" t="s">
        <v>19</v>
      </c>
      <c r="C216" s="1" t="s">
        <v>16</v>
      </c>
      <c r="D216" s="2" t="s">
        <v>123</v>
      </c>
      <c r="E216" s="4">
        <v>45772</v>
      </c>
      <c r="F216" s="2">
        <f t="shared" si="7"/>
        <v>71</v>
      </c>
      <c r="G216" s="2">
        <v>1</v>
      </c>
      <c r="H216" s="1" t="s">
        <v>11</v>
      </c>
      <c r="I216" s="1">
        <v>8</v>
      </c>
      <c r="J216" s="1">
        <v>3</v>
      </c>
      <c r="L216" s="2"/>
      <c r="M216" s="2"/>
      <c r="N216" s="2"/>
      <c r="O216" s="2"/>
      <c r="P216" s="2"/>
      <c r="Q216" s="2"/>
    </row>
    <row r="217" spans="1:17">
      <c r="A217" s="1" t="s">
        <v>25</v>
      </c>
      <c r="B217" s="1" t="s">
        <v>19</v>
      </c>
      <c r="C217" s="1" t="s">
        <v>16</v>
      </c>
      <c r="D217" s="2" t="s">
        <v>123</v>
      </c>
      <c r="E217" s="4">
        <v>45772</v>
      </c>
      <c r="F217" s="2">
        <f t="shared" si="7"/>
        <v>71</v>
      </c>
      <c r="G217" s="2">
        <v>2</v>
      </c>
      <c r="H217" s="1" t="s">
        <v>11</v>
      </c>
      <c r="I217" s="1">
        <v>2</v>
      </c>
      <c r="J217" s="1">
        <v>2</v>
      </c>
      <c r="L217" s="2"/>
      <c r="M217" s="2"/>
      <c r="N217" s="2"/>
      <c r="O217" s="2"/>
      <c r="P217" s="2"/>
      <c r="Q217" s="2"/>
    </row>
    <row r="218" spans="1:17">
      <c r="A218" s="1" t="s">
        <v>25</v>
      </c>
      <c r="B218" s="1" t="s">
        <v>19</v>
      </c>
      <c r="C218" s="1" t="s">
        <v>16</v>
      </c>
      <c r="D218" s="2" t="s">
        <v>123</v>
      </c>
      <c r="E218" s="4">
        <v>45772</v>
      </c>
      <c r="F218" s="2">
        <f t="shared" si="7"/>
        <v>71</v>
      </c>
      <c r="G218" s="2">
        <v>3</v>
      </c>
      <c r="H218" s="1" t="s">
        <v>11</v>
      </c>
      <c r="I218" s="1">
        <v>3</v>
      </c>
      <c r="J218" s="1">
        <v>3</v>
      </c>
      <c r="L218" s="2"/>
      <c r="M218" s="2"/>
      <c r="N218" s="2"/>
      <c r="O218" s="2"/>
      <c r="P218" s="2"/>
      <c r="Q218" s="2"/>
    </row>
    <row r="219" spans="1:17">
      <c r="A219" s="1" t="s">
        <v>25</v>
      </c>
      <c r="B219" s="1" t="s">
        <v>20</v>
      </c>
      <c r="C219" s="1" t="s">
        <v>16</v>
      </c>
      <c r="D219" s="2" t="s">
        <v>123</v>
      </c>
      <c r="E219" s="4">
        <v>45775</v>
      </c>
      <c r="F219" s="2">
        <f t="shared" si="7"/>
        <v>72</v>
      </c>
      <c r="G219" s="2">
        <v>1</v>
      </c>
      <c r="H219" s="1" t="s">
        <v>12</v>
      </c>
      <c r="I219" s="1">
        <v>3</v>
      </c>
      <c r="J219" s="1">
        <v>0</v>
      </c>
      <c r="L219" s="2">
        <v>0</v>
      </c>
      <c r="M219" s="2"/>
      <c r="N219" s="2"/>
      <c r="O219" s="2"/>
      <c r="P219" s="2"/>
      <c r="Q219" s="2"/>
    </row>
    <row r="220" spans="1:17">
      <c r="A220" s="1" t="s">
        <v>25</v>
      </c>
      <c r="B220" s="1" t="s">
        <v>20</v>
      </c>
      <c r="C220" s="1" t="s">
        <v>16</v>
      </c>
      <c r="D220" s="2" t="s">
        <v>123</v>
      </c>
      <c r="E220" s="4">
        <v>45775</v>
      </c>
      <c r="F220" s="2">
        <f t="shared" si="7"/>
        <v>72</v>
      </c>
      <c r="G220" s="2">
        <v>2</v>
      </c>
      <c r="H220" s="1" t="s">
        <v>12</v>
      </c>
      <c r="I220" s="1">
        <v>0</v>
      </c>
      <c r="J220" s="1">
        <v>1</v>
      </c>
      <c r="L220" s="2">
        <v>0</v>
      </c>
      <c r="M220" s="2"/>
      <c r="N220" s="2"/>
      <c r="O220" s="2"/>
      <c r="P220" s="2"/>
      <c r="Q220" s="2"/>
    </row>
    <row r="221" spans="1:17">
      <c r="A221" s="1" t="s">
        <v>25</v>
      </c>
      <c r="B221" s="1" t="s">
        <v>20</v>
      </c>
      <c r="C221" s="1" t="s">
        <v>16</v>
      </c>
      <c r="D221" s="2" t="s">
        <v>123</v>
      </c>
      <c r="E221" s="4">
        <v>45775</v>
      </c>
      <c r="F221" s="2">
        <f t="shared" si="7"/>
        <v>72</v>
      </c>
      <c r="G221" s="2">
        <v>3</v>
      </c>
      <c r="H221" s="1" t="s">
        <v>12</v>
      </c>
      <c r="I221" s="1">
        <v>1</v>
      </c>
      <c r="J221" s="1">
        <v>0</v>
      </c>
      <c r="L221" s="2">
        <v>0</v>
      </c>
      <c r="M221" s="2"/>
      <c r="N221" s="2"/>
      <c r="O221" s="2"/>
      <c r="P221" s="2"/>
      <c r="Q221" s="2"/>
    </row>
    <row r="222" spans="1:17">
      <c r="A222" s="1" t="s">
        <v>25</v>
      </c>
      <c r="B222" s="1" t="s">
        <v>19</v>
      </c>
      <c r="C222" s="1" t="s">
        <v>16</v>
      </c>
      <c r="D222" s="2" t="s">
        <v>123</v>
      </c>
      <c r="E222" s="4">
        <v>45775</v>
      </c>
      <c r="F222" s="2">
        <f t="shared" si="7"/>
        <v>73</v>
      </c>
      <c r="G222" s="2">
        <v>1</v>
      </c>
      <c r="H222" s="1" t="s">
        <v>9</v>
      </c>
      <c r="I222" s="1">
        <v>1</v>
      </c>
      <c r="J222" s="1">
        <v>6</v>
      </c>
      <c r="L222" s="2"/>
      <c r="M222" s="2"/>
      <c r="N222" s="2"/>
      <c r="O222" s="2"/>
      <c r="P222" s="2"/>
      <c r="Q222" s="2"/>
    </row>
    <row r="223" spans="1:17">
      <c r="A223" s="1" t="s">
        <v>25</v>
      </c>
      <c r="B223" s="1" t="s">
        <v>19</v>
      </c>
      <c r="C223" s="1" t="s">
        <v>16</v>
      </c>
      <c r="D223" s="2" t="s">
        <v>123</v>
      </c>
      <c r="E223" s="4">
        <v>45775</v>
      </c>
      <c r="F223" s="2">
        <f t="shared" si="7"/>
        <v>73</v>
      </c>
      <c r="G223" s="2">
        <v>2</v>
      </c>
      <c r="H223" s="1" t="s">
        <v>9</v>
      </c>
      <c r="I223" s="1">
        <v>0</v>
      </c>
      <c r="J223" s="1">
        <v>4</v>
      </c>
      <c r="L223" s="2"/>
      <c r="M223" s="2"/>
      <c r="N223" s="2"/>
      <c r="O223" s="2"/>
      <c r="P223" s="2"/>
      <c r="Q223" s="2"/>
    </row>
    <row r="224" spans="1:17">
      <c r="A224" s="1" t="s">
        <v>25</v>
      </c>
      <c r="B224" s="1" t="s">
        <v>19</v>
      </c>
      <c r="C224" s="1" t="s">
        <v>16</v>
      </c>
      <c r="D224" s="2" t="s">
        <v>123</v>
      </c>
      <c r="E224" s="4">
        <v>45775</v>
      </c>
      <c r="F224" s="2">
        <f t="shared" si="7"/>
        <v>73</v>
      </c>
      <c r="G224" s="2">
        <v>3</v>
      </c>
      <c r="H224" s="1" t="s">
        <v>9</v>
      </c>
      <c r="I224" s="1">
        <v>1</v>
      </c>
      <c r="J224" s="1">
        <v>0</v>
      </c>
      <c r="L224" s="2"/>
      <c r="M224" s="2"/>
      <c r="N224" s="2"/>
      <c r="O224" s="2"/>
      <c r="P224" s="2"/>
      <c r="Q224" s="2"/>
    </row>
    <row r="225" spans="1:17">
      <c r="A225" s="1" t="s">
        <v>25</v>
      </c>
      <c r="B225" s="1" t="s">
        <v>21</v>
      </c>
      <c r="C225" s="1" t="s">
        <v>16</v>
      </c>
      <c r="D225" s="2" t="s">
        <v>123</v>
      </c>
      <c r="E225" s="4">
        <v>45775</v>
      </c>
      <c r="F225" s="2">
        <f>F222+1</f>
        <v>74</v>
      </c>
      <c r="G225" s="2">
        <v>1</v>
      </c>
      <c r="H225" s="1" t="s">
        <v>33</v>
      </c>
      <c r="I225" s="1">
        <v>4</v>
      </c>
      <c r="J225" s="1">
        <v>0</v>
      </c>
      <c r="L225" s="2">
        <v>0</v>
      </c>
      <c r="M225" s="2"/>
      <c r="N225" s="2"/>
      <c r="O225" s="2"/>
      <c r="P225" s="2"/>
      <c r="Q225" s="2"/>
    </row>
    <row r="226" spans="1:17">
      <c r="A226" s="1" t="s">
        <v>25</v>
      </c>
      <c r="B226" s="1" t="s">
        <v>21</v>
      </c>
      <c r="C226" s="1" t="s">
        <v>16</v>
      </c>
      <c r="D226" s="2" t="s">
        <v>123</v>
      </c>
      <c r="E226" s="4">
        <v>45775</v>
      </c>
      <c r="F226" s="2">
        <f>F223+1</f>
        <v>74</v>
      </c>
      <c r="G226" s="2">
        <v>2</v>
      </c>
      <c r="H226" s="1" t="s">
        <v>33</v>
      </c>
      <c r="I226" s="1">
        <v>1</v>
      </c>
      <c r="J226" s="1">
        <v>1</v>
      </c>
      <c r="L226" s="2">
        <v>2</v>
      </c>
      <c r="M226" s="2"/>
      <c r="N226" s="2"/>
      <c r="O226" s="2"/>
      <c r="P226" s="2"/>
      <c r="Q226" s="2"/>
    </row>
    <row r="227" spans="1:17">
      <c r="A227" s="1" t="s">
        <v>25</v>
      </c>
      <c r="B227" s="1" t="s">
        <v>21</v>
      </c>
      <c r="C227" s="1" t="s">
        <v>16</v>
      </c>
      <c r="D227" s="2" t="s">
        <v>123</v>
      </c>
      <c r="E227" s="4">
        <v>45775</v>
      </c>
      <c r="F227" s="2">
        <f>F224+1</f>
        <v>74</v>
      </c>
      <c r="G227" s="2">
        <v>3</v>
      </c>
      <c r="H227" s="1" t="s">
        <v>33</v>
      </c>
      <c r="I227" s="1">
        <v>2</v>
      </c>
      <c r="J227" s="1">
        <v>0</v>
      </c>
      <c r="L227" s="2">
        <v>1</v>
      </c>
      <c r="M227" s="2"/>
      <c r="N227" s="2"/>
      <c r="O227" s="2"/>
      <c r="P227" s="2"/>
      <c r="Q227" s="2"/>
    </row>
    <row r="228" spans="1:17">
      <c r="A228" s="1" t="s">
        <v>25</v>
      </c>
      <c r="B228" s="1" t="s">
        <v>20</v>
      </c>
      <c r="C228" s="1" t="s">
        <v>16</v>
      </c>
      <c r="D228" s="2" t="s">
        <v>123</v>
      </c>
      <c r="E228" s="4">
        <v>45775</v>
      </c>
      <c r="F228" s="2">
        <f t="shared" ref="F228:F230" si="9">F225+1</f>
        <v>75</v>
      </c>
      <c r="G228" s="2">
        <v>1</v>
      </c>
      <c r="H228" s="1" t="s">
        <v>11</v>
      </c>
      <c r="I228" s="1">
        <v>5</v>
      </c>
      <c r="J228" s="1">
        <v>4</v>
      </c>
      <c r="L228" s="2"/>
      <c r="M228" s="2"/>
      <c r="N228" s="2"/>
      <c r="O228" s="2"/>
      <c r="P228" s="2"/>
      <c r="Q228" s="2"/>
    </row>
    <row r="229" spans="1:17">
      <c r="A229" s="1" t="s">
        <v>25</v>
      </c>
      <c r="B229" s="1" t="s">
        <v>20</v>
      </c>
      <c r="C229" s="1" t="s">
        <v>16</v>
      </c>
      <c r="D229" s="2" t="s">
        <v>123</v>
      </c>
      <c r="E229" s="4">
        <v>45775</v>
      </c>
      <c r="F229" s="2">
        <f t="shared" si="9"/>
        <v>75</v>
      </c>
      <c r="G229" s="2">
        <v>2</v>
      </c>
      <c r="H229" s="1" t="s">
        <v>11</v>
      </c>
      <c r="I229" s="1">
        <v>2</v>
      </c>
      <c r="J229" s="1">
        <v>3</v>
      </c>
      <c r="L229" s="2"/>
      <c r="M229" s="2"/>
      <c r="N229" s="2"/>
      <c r="O229" s="2"/>
      <c r="P229" s="2"/>
      <c r="Q229" s="2"/>
    </row>
    <row r="230" spans="1:17">
      <c r="A230" s="1" t="s">
        <v>25</v>
      </c>
      <c r="B230" s="1" t="s">
        <v>20</v>
      </c>
      <c r="C230" s="1" t="s">
        <v>16</v>
      </c>
      <c r="D230" s="2" t="s">
        <v>123</v>
      </c>
      <c r="E230" s="4">
        <v>45775</v>
      </c>
      <c r="F230" s="2">
        <f t="shared" si="9"/>
        <v>75</v>
      </c>
      <c r="G230" s="2">
        <v>3</v>
      </c>
      <c r="H230" s="1" t="s">
        <v>11</v>
      </c>
      <c r="I230" s="1">
        <v>0</v>
      </c>
      <c r="J230" s="1">
        <v>0</v>
      </c>
      <c r="L230" s="2"/>
      <c r="M230" s="2"/>
      <c r="N230" s="2"/>
      <c r="O230" s="2"/>
      <c r="P230" s="2"/>
      <c r="Q230" s="2"/>
    </row>
    <row r="231" spans="1:17">
      <c r="A231" s="1" t="s">
        <v>25</v>
      </c>
      <c r="B231" s="1" t="s">
        <v>20</v>
      </c>
      <c r="C231" s="1" t="s">
        <v>16</v>
      </c>
      <c r="D231" s="2" t="s">
        <v>123</v>
      </c>
      <c r="E231" s="4">
        <v>45775</v>
      </c>
      <c r="F231" s="2">
        <v>75</v>
      </c>
      <c r="G231" s="2" t="s">
        <v>82</v>
      </c>
      <c r="H231" s="1" t="s">
        <v>11</v>
      </c>
      <c r="I231" s="1">
        <v>3</v>
      </c>
      <c r="J231" s="1">
        <v>1</v>
      </c>
      <c r="L231" s="2"/>
      <c r="M231" s="2"/>
      <c r="N231" s="2"/>
      <c r="O231" s="2"/>
      <c r="P231" s="2"/>
      <c r="Q231" s="2"/>
    </row>
    <row r="232" spans="1:17">
      <c r="A232" s="1" t="s">
        <v>25</v>
      </c>
      <c r="B232" s="1" t="s">
        <v>20</v>
      </c>
      <c r="C232" s="1" t="s">
        <v>16</v>
      </c>
      <c r="D232" s="2" t="s">
        <v>123</v>
      </c>
      <c r="E232" s="4">
        <v>45776</v>
      </c>
      <c r="F232" s="2">
        <f t="shared" ref="F232:F296" si="10">F229+1</f>
        <v>76</v>
      </c>
      <c r="G232" s="2">
        <v>1</v>
      </c>
      <c r="H232" s="1" t="s">
        <v>9</v>
      </c>
      <c r="I232" s="1">
        <v>1</v>
      </c>
      <c r="J232" s="1">
        <v>0</v>
      </c>
      <c r="L232" s="2"/>
      <c r="M232" s="2"/>
      <c r="N232" s="2"/>
      <c r="O232" s="2"/>
      <c r="P232" s="2"/>
      <c r="Q232" s="2"/>
    </row>
    <row r="233" spans="1:17">
      <c r="A233" s="1" t="s">
        <v>25</v>
      </c>
      <c r="B233" s="1" t="s">
        <v>20</v>
      </c>
      <c r="C233" s="1" t="s">
        <v>16</v>
      </c>
      <c r="D233" s="2" t="s">
        <v>123</v>
      </c>
      <c r="E233" s="4">
        <v>45776</v>
      </c>
      <c r="F233" s="2">
        <f t="shared" si="10"/>
        <v>76</v>
      </c>
      <c r="G233" s="2">
        <v>2</v>
      </c>
      <c r="H233" s="1" t="s">
        <v>9</v>
      </c>
      <c r="I233" s="1">
        <v>0</v>
      </c>
      <c r="J233" s="1">
        <v>0</v>
      </c>
      <c r="L233" s="2"/>
      <c r="M233" s="2"/>
      <c r="N233" s="2"/>
      <c r="O233" s="2"/>
      <c r="P233" s="2"/>
      <c r="Q233" s="2"/>
    </row>
    <row r="234" spans="1:17">
      <c r="A234" s="1" t="s">
        <v>25</v>
      </c>
      <c r="B234" s="1" t="s">
        <v>20</v>
      </c>
      <c r="C234" s="1" t="s">
        <v>16</v>
      </c>
      <c r="D234" s="2" t="s">
        <v>123</v>
      </c>
      <c r="E234" s="4">
        <v>45776</v>
      </c>
      <c r="F234" s="2">
        <f t="shared" si="10"/>
        <v>76</v>
      </c>
      <c r="G234" s="2">
        <v>3</v>
      </c>
      <c r="H234" s="1" t="s">
        <v>9</v>
      </c>
      <c r="I234" s="1">
        <v>4</v>
      </c>
      <c r="J234" s="1">
        <v>0</v>
      </c>
      <c r="L234" s="2"/>
      <c r="M234" s="2"/>
      <c r="N234" s="2"/>
      <c r="O234" s="2"/>
      <c r="P234" s="2"/>
      <c r="Q234" s="2"/>
    </row>
    <row r="235" spans="1:17">
      <c r="A235" s="1" t="s">
        <v>25</v>
      </c>
      <c r="B235" s="1" t="s">
        <v>20</v>
      </c>
      <c r="C235" s="1" t="s">
        <v>16</v>
      </c>
      <c r="D235" s="2" t="s">
        <v>123</v>
      </c>
      <c r="E235" s="4">
        <v>45776</v>
      </c>
      <c r="F235" s="2">
        <f t="shared" si="10"/>
        <v>77</v>
      </c>
      <c r="G235" s="2">
        <v>1</v>
      </c>
      <c r="H235" s="1" t="s">
        <v>57</v>
      </c>
      <c r="I235" s="1">
        <v>0</v>
      </c>
      <c r="J235" s="1">
        <v>0</v>
      </c>
      <c r="K235" s="1">
        <v>5</v>
      </c>
      <c r="L235" s="2"/>
      <c r="M235" s="2"/>
      <c r="N235" s="2"/>
      <c r="O235" s="2"/>
      <c r="P235" s="2"/>
      <c r="Q235" s="2"/>
    </row>
    <row r="236" spans="1:17">
      <c r="A236" s="1" t="s">
        <v>25</v>
      </c>
      <c r="B236" s="1" t="s">
        <v>20</v>
      </c>
      <c r="C236" s="1" t="s">
        <v>16</v>
      </c>
      <c r="D236" s="2" t="s">
        <v>123</v>
      </c>
      <c r="E236" s="4">
        <v>45776</v>
      </c>
      <c r="F236" s="2">
        <f t="shared" si="10"/>
        <v>77</v>
      </c>
      <c r="G236" s="2">
        <v>2</v>
      </c>
      <c r="H236" s="1" t="s">
        <v>57</v>
      </c>
      <c r="I236" s="1">
        <v>1</v>
      </c>
      <c r="J236" s="1">
        <v>5</v>
      </c>
      <c r="K236" s="1">
        <v>3</v>
      </c>
      <c r="L236" s="2"/>
      <c r="M236" s="2"/>
      <c r="N236" s="2"/>
      <c r="O236" s="2"/>
      <c r="P236" s="2"/>
      <c r="Q236" s="2"/>
    </row>
    <row r="237" spans="1:17">
      <c r="A237" s="1" t="s">
        <v>25</v>
      </c>
      <c r="B237" s="1" t="s">
        <v>20</v>
      </c>
      <c r="C237" s="1" t="s">
        <v>16</v>
      </c>
      <c r="D237" s="2" t="s">
        <v>123</v>
      </c>
      <c r="E237" s="4">
        <v>45776</v>
      </c>
      <c r="F237" s="2">
        <f t="shared" si="10"/>
        <v>77</v>
      </c>
      <c r="G237" s="2">
        <v>3</v>
      </c>
      <c r="H237" s="1" t="s">
        <v>57</v>
      </c>
      <c r="I237" s="1">
        <v>0</v>
      </c>
      <c r="J237" s="1">
        <v>0</v>
      </c>
      <c r="K237" s="1">
        <v>0</v>
      </c>
      <c r="L237" s="2"/>
      <c r="M237" s="2"/>
      <c r="N237" s="2"/>
      <c r="O237" s="2"/>
      <c r="P237" s="2"/>
      <c r="Q237" s="2"/>
    </row>
    <row r="238" spans="1:17">
      <c r="A238" s="1" t="s">
        <v>25</v>
      </c>
      <c r="B238" s="1" t="s">
        <v>20</v>
      </c>
      <c r="C238" s="1" t="s">
        <v>16</v>
      </c>
      <c r="D238" s="2" t="s">
        <v>123</v>
      </c>
      <c r="E238" s="4">
        <v>45776</v>
      </c>
      <c r="F238" s="2">
        <f t="shared" si="10"/>
        <v>78</v>
      </c>
      <c r="G238" s="2">
        <v>1</v>
      </c>
      <c r="H238" s="1" t="s">
        <v>58</v>
      </c>
      <c r="I238" s="1">
        <v>3</v>
      </c>
      <c r="L238" s="2">
        <v>0</v>
      </c>
      <c r="M238" s="2"/>
      <c r="N238" s="2"/>
      <c r="O238" s="2"/>
      <c r="P238" s="2"/>
      <c r="Q238" s="2"/>
    </row>
    <row r="239" spans="1:17">
      <c r="A239" s="1" t="s">
        <v>25</v>
      </c>
      <c r="B239" s="1" t="s">
        <v>20</v>
      </c>
      <c r="C239" s="1" t="s">
        <v>16</v>
      </c>
      <c r="D239" s="2" t="s">
        <v>123</v>
      </c>
      <c r="E239" s="4">
        <v>45776</v>
      </c>
      <c r="F239" s="2">
        <f t="shared" si="10"/>
        <v>78</v>
      </c>
      <c r="G239" s="2">
        <v>2</v>
      </c>
      <c r="H239" s="1" t="s">
        <v>58</v>
      </c>
      <c r="I239" s="1">
        <v>3</v>
      </c>
      <c r="L239" s="2">
        <v>3</v>
      </c>
      <c r="M239" s="2"/>
      <c r="N239" s="2"/>
      <c r="O239" s="2"/>
      <c r="P239" s="2"/>
      <c r="Q239" s="2"/>
    </row>
    <row r="240" spans="1:17">
      <c r="A240" s="1" t="s">
        <v>25</v>
      </c>
      <c r="B240" s="1" t="s">
        <v>20</v>
      </c>
      <c r="C240" s="1" t="s">
        <v>16</v>
      </c>
      <c r="D240" s="2" t="s">
        <v>123</v>
      </c>
      <c r="E240" s="4">
        <v>45776</v>
      </c>
      <c r="F240" s="2">
        <f t="shared" si="10"/>
        <v>78</v>
      </c>
      <c r="G240" s="2">
        <v>3</v>
      </c>
      <c r="H240" s="1" t="s">
        <v>58</v>
      </c>
      <c r="I240" s="1">
        <v>3</v>
      </c>
      <c r="L240" s="2">
        <v>1</v>
      </c>
      <c r="M240" s="2"/>
      <c r="N240" s="2"/>
      <c r="O240" s="2"/>
      <c r="P240" s="2"/>
      <c r="Q240" s="2"/>
    </row>
    <row r="241" spans="1:17">
      <c r="A241" s="1" t="s">
        <v>25</v>
      </c>
      <c r="B241" s="1" t="s">
        <v>20</v>
      </c>
      <c r="C241" s="1" t="s">
        <v>16</v>
      </c>
      <c r="D241" s="2" t="s">
        <v>123</v>
      </c>
      <c r="E241" s="4">
        <v>45776</v>
      </c>
      <c r="F241" s="2">
        <f t="shared" si="10"/>
        <v>79</v>
      </c>
      <c r="G241" s="2">
        <v>1</v>
      </c>
      <c r="H241" s="1" t="s">
        <v>59</v>
      </c>
      <c r="I241" s="1">
        <v>4</v>
      </c>
      <c r="J241" s="1">
        <v>0</v>
      </c>
      <c r="K241" s="1">
        <v>0</v>
      </c>
      <c r="L241" s="2">
        <v>0</v>
      </c>
      <c r="M241" s="2"/>
      <c r="N241" s="2"/>
      <c r="O241" s="2"/>
      <c r="P241" s="2"/>
      <c r="Q241" s="2"/>
    </row>
    <row r="242" spans="1:17">
      <c r="A242" s="1" t="s">
        <v>25</v>
      </c>
      <c r="B242" s="1" t="s">
        <v>20</v>
      </c>
      <c r="C242" s="1" t="s">
        <v>16</v>
      </c>
      <c r="D242" s="2" t="s">
        <v>123</v>
      </c>
      <c r="E242" s="4">
        <v>45776</v>
      </c>
      <c r="F242" s="2">
        <f t="shared" si="10"/>
        <v>79</v>
      </c>
      <c r="G242" s="2">
        <v>2</v>
      </c>
      <c r="H242" s="1" t="s">
        <v>59</v>
      </c>
      <c r="I242" s="1">
        <v>0</v>
      </c>
      <c r="J242" s="1">
        <v>1</v>
      </c>
      <c r="K242" s="1">
        <v>0</v>
      </c>
      <c r="L242" s="2">
        <v>2</v>
      </c>
      <c r="M242" s="2"/>
      <c r="N242" s="2"/>
      <c r="O242" s="2"/>
      <c r="P242" s="2"/>
      <c r="Q242" s="2"/>
    </row>
    <row r="243" spans="1:17">
      <c r="A243" s="1" t="s">
        <v>25</v>
      </c>
      <c r="B243" s="1" t="s">
        <v>20</v>
      </c>
      <c r="C243" s="1" t="s">
        <v>16</v>
      </c>
      <c r="D243" s="2" t="s">
        <v>123</v>
      </c>
      <c r="E243" s="4">
        <v>45776</v>
      </c>
      <c r="F243" s="2">
        <f t="shared" si="10"/>
        <v>79</v>
      </c>
      <c r="G243" s="2">
        <v>3</v>
      </c>
      <c r="H243" s="1" t="s">
        <v>59</v>
      </c>
      <c r="I243" s="1">
        <v>3</v>
      </c>
      <c r="J243" s="1">
        <v>0</v>
      </c>
      <c r="K243" s="1">
        <v>1</v>
      </c>
      <c r="L243" s="2">
        <v>3</v>
      </c>
      <c r="M243" s="2"/>
      <c r="N243" s="2"/>
      <c r="O243" s="2"/>
      <c r="P243" s="2"/>
      <c r="Q243" s="2"/>
    </row>
    <row r="244" spans="1:17">
      <c r="A244" s="1" t="s">
        <v>25</v>
      </c>
      <c r="B244" s="1" t="s">
        <v>20</v>
      </c>
      <c r="C244" s="1" t="s">
        <v>16</v>
      </c>
      <c r="D244" s="2" t="s">
        <v>123</v>
      </c>
      <c r="E244" s="4">
        <v>45777</v>
      </c>
      <c r="F244" s="2">
        <f t="shared" si="10"/>
        <v>80</v>
      </c>
      <c r="G244" s="2">
        <v>1</v>
      </c>
      <c r="H244" s="1" t="s">
        <v>8</v>
      </c>
      <c r="I244" s="1">
        <v>3</v>
      </c>
      <c r="J244" s="1">
        <v>2</v>
      </c>
      <c r="K244" s="1">
        <v>3</v>
      </c>
      <c r="L244" s="2"/>
      <c r="M244" s="2"/>
      <c r="N244" s="2"/>
      <c r="O244" s="2"/>
      <c r="P244" s="2"/>
      <c r="Q244" s="2"/>
    </row>
    <row r="245" spans="1:17">
      <c r="A245" s="1" t="s">
        <v>25</v>
      </c>
      <c r="B245" s="1" t="s">
        <v>20</v>
      </c>
      <c r="C245" s="1" t="s">
        <v>16</v>
      </c>
      <c r="D245" s="2" t="s">
        <v>123</v>
      </c>
      <c r="E245" s="4">
        <v>45777</v>
      </c>
      <c r="F245" s="2">
        <f t="shared" si="10"/>
        <v>80</v>
      </c>
      <c r="G245" s="2">
        <v>2</v>
      </c>
      <c r="H245" s="1" t="s">
        <v>8</v>
      </c>
      <c r="I245" s="1">
        <v>4</v>
      </c>
      <c r="J245" s="1">
        <v>1</v>
      </c>
      <c r="K245" s="1">
        <v>0</v>
      </c>
      <c r="L245" s="2"/>
      <c r="M245" s="2"/>
      <c r="N245" s="2"/>
      <c r="O245" s="2"/>
      <c r="P245" s="2"/>
      <c r="Q245" s="2"/>
    </row>
    <row r="246" spans="1:17">
      <c r="A246" s="1" t="s">
        <v>25</v>
      </c>
      <c r="B246" s="1" t="s">
        <v>20</v>
      </c>
      <c r="C246" s="1" t="s">
        <v>16</v>
      </c>
      <c r="D246" s="2" t="s">
        <v>123</v>
      </c>
      <c r="E246" s="4">
        <v>45777</v>
      </c>
      <c r="F246" s="2">
        <f t="shared" si="10"/>
        <v>80</v>
      </c>
      <c r="G246" s="2">
        <v>3</v>
      </c>
      <c r="H246" s="1" t="s">
        <v>8</v>
      </c>
      <c r="I246" s="1">
        <v>5</v>
      </c>
      <c r="J246" s="1">
        <v>0</v>
      </c>
      <c r="K246" s="1">
        <v>1</v>
      </c>
      <c r="L246" s="2"/>
      <c r="M246" s="2"/>
      <c r="N246" s="2"/>
      <c r="O246" s="2"/>
      <c r="P246" s="2"/>
      <c r="Q246" s="2"/>
    </row>
    <row r="247" spans="1:17">
      <c r="A247" s="1" t="s">
        <v>25</v>
      </c>
      <c r="B247" s="1" t="s">
        <v>19</v>
      </c>
      <c r="C247" s="1" t="s">
        <v>16</v>
      </c>
      <c r="D247" s="2" t="s">
        <v>123</v>
      </c>
      <c r="E247" s="4">
        <v>45777</v>
      </c>
      <c r="F247" s="2">
        <f t="shared" si="10"/>
        <v>81</v>
      </c>
      <c r="G247" s="2">
        <v>1</v>
      </c>
      <c r="H247" s="1" t="s">
        <v>11</v>
      </c>
      <c r="I247" s="1">
        <v>3</v>
      </c>
      <c r="J247" s="1">
        <v>0</v>
      </c>
      <c r="L247" s="2"/>
      <c r="M247" s="2"/>
      <c r="N247" s="2"/>
      <c r="O247" s="2"/>
      <c r="P247" s="2"/>
      <c r="Q247" s="2"/>
    </row>
    <row r="248" spans="1:17">
      <c r="A248" s="1" t="s">
        <v>25</v>
      </c>
      <c r="B248" s="1" t="s">
        <v>19</v>
      </c>
      <c r="C248" s="1" t="s">
        <v>16</v>
      </c>
      <c r="D248" s="2" t="s">
        <v>123</v>
      </c>
      <c r="E248" s="4">
        <v>45777</v>
      </c>
      <c r="F248" s="2">
        <f t="shared" si="10"/>
        <v>81</v>
      </c>
      <c r="G248" s="2">
        <v>2</v>
      </c>
      <c r="H248" s="1" t="s">
        <v>11</v>
      </c>
      <c r="I248" s="1">
        <v>1</v>
      </c>
      <c r="J248" s="1">
        <v>0</v>
      </c>
      <c r="L248" s="2"/>
      <c r="M248" s="2"/>
      <c r="N248" s="2"/>
      <c r="O248" s="2"/>
      <c r="P248" s="2"/>
      <c r="Q248" s="2"/>
    </row>
    <row r="249" spans="1:17">
      <c r="A249" s="1" t="s">
        <v>25</v>
      </c>
      <c r="B249" s="1" t="s">
        <v>19</v>
      </c>
      <c r="C249" s="1" t="s">
        <v>16</v>
      </c>
      <c r="D249" s="2" t="s">
        <v>123</v>
      </c>
      <c r="E249" s="4">
        <v>45777</v>
      </c>
      <c r="F249" s="2">
        <f t="shared" si="10"/>
        <v>81</v>
      </c>
      <c r="G249" s="2">
        <v>3</v>
      </c>
      <c r="H249" s="1" t="s">
        <v>11</v>
      </c>
      <c r="I249" s="1">
        <v>2</v>
      </c>
      <c r="J249" s="1">
        <v>0</v>
      </c>
      <c r="L249" s="2"/>
      <c r="M249" s="2"/>
      <c r="N249" s="2"/>
      <c r="O249" s="2"/>
      <c r="P249" s="2"/>
      <c r="Q249" s="2"/>
    </row>
    <row r="250" spans="1:17">
      <c r="A250" s="1" t="s">
        <v>25</v>
      </c>
      <c r="B250" s="1" t="s">
        <v>21</v>
      </c>
      <c r="C250" s="1" t="s">
        <v>16</v>
      </c>
      <c r="D250" s="2" t="s">
        <v>123</v>
      </c>
      <c r="E250" s="4">
        <v>45777</v>
      </c>
      <c r="F250" s="2">
        <f t="shared" si="10"/>
        <v>82</v>
      </c>
      <c r="G250" s="2">
        <v>1</v>
      </c>
      <c r="H250" s="1" t="s">
        <v>62</v>
      </c>
      <c r="I250" s="1">
        <v>3</v>
      </c>
      <c r="J250" s="1">
        <v>0</v>
      </c>
      <c r="L250" s="2">
        <v>0</v>
      </c>
      <c r="M250" s="2"/>
      <c r="N250" s="2"/>
      <c r="O250" s="2"/>
      <c r="P250" s="2"/>
      <c r="Q250" s="2"/>
    </row>
    <row r="251" spans="1:17">
      <c r="A251" s="1" t="s">
        <v>25</v>
      </c>
      <c r="B251" s="1" t="s">
        <v>21</v>
      </c>
      <c r="C251" s="1" t="s">
        <v>16</v>
      </c>
      <c r="D251" s="2" t="s">
        <v>123</v>
      </c>
      <c r="E251" s="4">
        <v>45777</v>
      </c>
      <c r="F251" s="2">
        <f t="shared" si="10"/>
        <v>82</v>
      </c>
      <c r="G251" s="2">
        <v>2</v>
      </c>
      <c r="H251" s="1" t="s">
        <v>62</v>
      </c>
      <c r="I251" s="1">
        <v>6</v>
      </c>
      <c r="J251" s="1">
        <v>2</v>
      </c>
      <c r="L251" s="2">
        <v>1</v>
      </c>
      <c r="M251" s="2"/>
      <c r="N251" s="2"/>
      <c r="O251" s="2"/>
      <c r="P251" s="2"/>
      <c r="Q251" s="2"/>
    </row>
    <row r="252" spans="1:17">
      <c r="A252" s="1" t="s">
        <v>25</v>
      </c>
      <c r="B252" s="1" t="s">
        <v>21</v>
      </c>
      <c r="C252" s="1" t="s">
        <v>16</v>
      </c>
      <c r="D252" s="2" t="s">
        <v>123</v>
      </c>
      <c r="E252" s="4">
        <v>45777</v>
      </c>
      <c r="F252" s="2">
        <f t="shared" si="10"/>
        <v>82</v>
      </c>
      <c r="G252" s="2">
        <v>3</v>
      </c>
      <c r="H252" s="1" t="s">
        <v>62</v>
      </c>
      <c r="I252" s="1">
        <v>3</v>
      </c>
      <c r="J252" s="1">
        <v>3</v>
      </c>
      <c r="L252" s="2">
        <v>1</v>
      </c>
      <c r="M252" s="2"/>
      <c r="N252" s="2"/>
      <c r="O252" s="2"/>
      <c r="P252" s="2"/>
      <c r="Q252" s="2"/>
    </row>
    <row r="253" spans="1:17">
      <c r="A253" s="1" t="s">
        <v>25</v>
      </c>
      <c r="B253" s="1" t="s">
        <v>20</v>
      </c>
      <c r="C253" s="1" t="s">
        <v>16</v>
      </c>
      <c r="D253" s="2" t="s">
        <v>123</v>
      </c>
      <c r="E253" s="4">
        <v>45777</v>
      </c>
      <c r="F253" s="2">
        <f t="shared" si="10"/>
        <v>83</v>
      </c>
      <c r="G253" s="2">
        <v>1</v>
      </c>
      <c r="H253" s="1" t="s">
        <v>11</v>
      </c>
      <c r="I253" s="1">
        <v>6</v>
      </c>
      <c r="J253" s="1">
        <v>4</v>
      </c>
      <c r="L253" s="2"/>
      <c r="M253" s="2"/>
      <c r="N253" s="2"/>
      <c r="O253" s="2"/>
      <c r="P253" s="2"/>
      <c r="Q253" s="2"/>
    </row>
    <row r="254" spans="1:17">
      <c r="A254" s="1" t="s">
        <v>25</v>
      </c>
      <c r="B254" s="1" t="s">
        <v>20</v>
      </c>
      <c r="C254" s="1" t="s">
        <v>16</v>
      </c>
      <c r="D254" s="2" t="s">
        <v>123</v>
      </c>
      <c r="E254" s="4">
        <v>45777</v>
      </c>
      <c r="F254" s="2">
        <f t="shared" si="10"/>
        <v>83</v>
      </c>
      <c r="G254" s="2">
        <v>2</v>
      </c>
      <c r="H254" s="1" t="s">
        <v>11</v>
      </c>
      <c r="I254" s="1">
        <v>3</v>
      </c>
      <c r="J254" s="1">
        <v>0</v>
      </c>
      <c r="L254" s="2"/>
      <c r="M254" s="2"/>
      <c r="N254" s="2"/>
      <c r="O254" s="2"/>
      <c r="P254" s="2"/>
      <c r="Q254" s="2"/>
    </row>
    <row r="255" spans="1:17">
      <c r="A255" s="1" t="s">
        <v>25</v>
      </c>
      <c r="B255" s="1" t="s">
        <v>20</v>
      </c>
      <c r="C255" s="1" t="s">
        <v>16</v>
      </c>
      <c r="D255" s="2" t="s">
        <v>123</v>
      </c>
      <c r="E255" s="4">
        <v>45777</v>
      </c>
      <c r="F255" s="2">
        <f t="shared" si="10"/>
        <v>83</v>
      </c>
      <c r="G255" s="2">
        <v>3</v>
      </c>
      <c r="H255" s="1" t="s">
        <v>11</v>
      </c>
      <c r="I255" s="1">
        <v>3</v>
      </c>
      <c r="J255" s="1">
        <v>1</v>
      </c>
      <c r="L255" s="2"/>
      <c r="M255" s="2"/>
      <c r="N255" s="2"/>
      <c r="O255" s="2"/>
      <c r="P255" s="2"/>
      <c r="Q255" s="2"/>
    </row>
    <row r="256" spans="1:17">
      <c r="A256" s="1" t="s">
        <v>25</v>
      </c>
      <c r="B256" s="1" t="s">
        <v>20</v>
      </c>
      <c r="C256" s="1" t="s">
        <v>16</v>
      </c>
      <c r="D256" s="2" t="s">
        <v>123</v>
      </c>
      <c r="E256" s="4">
        <v>45778</v>
      </c>
      <c r="F256" s="2">
        <f t="shared" si="10"/>
        <v>84</v>
      </c>
      <c r="G256" s="2">
        <v>1</v>
      </c>
      <c r="H256" s="1" t="s">
        <v>9</v>
      </c>
      <c r="I256" s="1">
        <v>2</v>
      </c>
      <c r="J256" s="1">
        <v>3</v>
      </c>
      <c r="L256" s="2"/>
      <c r="M256" s="2"/>
      <c r="N256" s="2"/>
      <c r="O256" s="2"/>
      <c r="P256" s="2"/>
      <c r="Q256" s="2"/>
    </row>
    <row r="257" spans="1:17">
      <c r="A257" s="1" t="s">
        <v>25</v>
      </c>
      <c r="B257" s="1" t="s">
        <v>20</v>
      </c>
      <c r="C257" s="1" t="s">
        <v>16</v>
      </c>
      <c r="D257" s="2" t="s">
        <v>123</v>
      </c>
      <c r="E257" s="4">
        <v>45778</v>
      </c>
      <c r="F257" s="2">
        <f t="shared" si="10"/>
        <v>84</v>
      </c>
      <c r="G257" s="2">
        <v>2</v>
      </c>
      <c r="H257" s="1" t="s">
        <v>9</v>
      </c>
      <c r="I257" s="1">
        <v>1</v>
      </c>
      <c r="J257" s="1">
        <v>0</v>
      </c>
      <c r="L257" s="2"/>
      <c r="M257" s="2"/>
      <c r="N257" s="2"/>
      <c r="O257" s="2"/>
      <c r="P257" s="2"/>
      <c r="Q257" s="2"/>
    </row>
    <row r="258" spans="1:17">
      <c r="A258" s="1" t="s">
        <v>25</v>
      </c>
      <c r="B258" s="1" t="s">
        <v>20</v>
      </c>
      <c r="C258" s="1" t="s">
        <v>16</v>
      </c>
      <c r="D258" s="2" t="s">
        <v>123</v>
      </c>
      <c r="E258" s="4">
        <v>45778</v>
      </c>
      <c r="F258" s="2">
        <f t="shared" si="10"/>
        <v>84</v>
      </c>
      <c r="G258" s="2">
        <v>3</v>
      </c>
      <c r="H258" s="1" t="s">
        <v>9</v>
      </c>
      <c r="I258" s="1">
        <v>7</v>
      </c>
      <c r="J258" s="1">
        <v>2</v>
      </c>
      <c r="L258" s="2"/>
      <c r="M258" s="2"/>
      <c r="N258" s="2"/>
      <c r="O258" s="2"/>
      <c r="P258" s="2"/>
      <c r="Q258" s="2"/>
    </row>
    <row r="259" spans="1:17">
      <c r="A259" s="1" t="s">
        <v>25</v>
      </c>
      <c r="B259" s="1" t="s">
        <v>19</v>
      </c>
      <c r="C259" s="1" t="s">
        <v>16</v>
      </c>
      <c r="D259" s="2" t="s">
        <v>123</v>
      </c>
      <c r="E259" s="4">
        <v>45778</v>
      </c>
      <c r="F259" s="2">
        <f t="shared" si="10"/>
        <v>85</v>
      </c>
      <c r="G259" s="2">
        <v>1</v>
      </c>
      <c r="H259" s="1" t="s">
        <v>9</v>
      </c>
      <c r="I259" s="1">
        <v>1</v>
      </c>
      <c r="J259" s="1">
        <v>0</v>
      </c>
      <c r="L259" s="2"/>
      <c r="M259" s="2"/>
      <c r="N259" s="2"/>
      <c r="O259" s="2"/>
      <c r="P259" s="2"/>
      <c r="Q259" s="2"/>
    </row>
    <row r="260" spans="1:17">
      <c r="A260" s="1" t="s">
        <v>25</v>
      </c>
      <c r="B260" s="1" t="s">
        <v>19</v>
      </c>
      <c r="C260" s="1" t="s">
        <v>16</v>
      </c>
      <c r="D260" s="2" t="s">
        <v>123</v>
      </c>
      <c r="E260" s="4">
        <v>45778</v>
      </c>
      <c r="F260" s="2">
        <f t="shared" si="10"/>
        <v>85</v>
      </c>
      <c r="G260" s="2">
        <v>2</v>
      </c>
      <c r="H260" s="1" t="s">
        <v>9</v>
      </c>
      <c r="I260" s="1">
        <v>0</v>
      </c>
      <c r="J260" s="1">
        <v>2</v>
      </c>
      <c r="L260" s="2"/>
      <c r="M260" s="2"/>
      <c r="N260" s="2"/>
      <c r="O260" s="2"/>
      <c r="P260" s="2"/>
      <c r="Q260" s="2"/>
    </row>
    <row r="261" spans="1:17">
      <c r="A261" s="1" t="s">
        <v>25</v>
      </c>
      <c r="B261" s="1" t="s">
        <v>19</v>
      </c>
      <c r="C261" s="1" t="s">
        <v>16</v>
      </c>
      <c r="D261" s="2" t="s">
        <v>123</v>
      </c>
      <c r="E261" s="4">
        <v>45778</v>
      </c>
      <c r="F261" s="2">
        <f t="shared" si="10"/>
        <v>85</v>
      </c>
      <c r="G261" s="2">
        <v>3</v>
      </c>
      <c r="H261" s="1" t="s">
        <v>9</v>
      </c>
      <c r="I261" s="1">
        <v>4</v>
      </c>
      <c r="J261" s="1">
        <v>3</v>
      </c>
      <c r="L261" s="2"/>
      <c r="M261" s="2"/>
      <c r="N261" s="2"/>
      <c r="O261" s="2"/>
      <c r="P261" s="2"/>
      <c r="Q261" s="2"/>
    </row>
    <row r="262" spans="1:17">
      <c r="A262" s="1" t="s">
        <v>25</v>
      </c>
      <c r="B262" s="1" t="s">
        <v>19</v>
      </c>
      <c r="C262" s="1" t="s">
        <v>16</v>
      </c>
      <c r="D262" s="2" t="s">
        <v>123</v>
      </c>
      <c r="E262" s="4">
        <v>45778</v>
      </c>
      <c r="F262" s="2">
        <v>85</v>
      </c>
      <c r="G262" s="2" t="s">
        <v>82</v>
      </c>
      <c r="H262" s="1" t="s">
        <v>9</v>
      </c>
      <c r="I262" s="1">
        <v>5</v>
      </c>
      <c r="J262" s="1">
        <v>1</v>
      </c>
      <c r="L262" s="2"/>
      <c r="M262" s="2"/>
      <c r="N262" s="2"/>
      <c r="O262" s="2"/>
      <c r="P262" s="2"/>
      <c r="Q262" s="2"/>
    </row>
    <row r="263" spans="1:17">
      <c r="A263" s="1" t="s">
        <v>25</v>
      </c>
      <c r="B263" s="1" t="s">
        <v>21</v>
      </c>
      <c r="C263" s="1" t="s">
        <v>16</v>
      </c>
      <c r="D263" s="2" t="s">
        <v>123</v>
      </c>
      <c r="E263" s="4">
        <v>45778</v>
      </c>
      <c r="F263" s="2">
        <f t="shared" si="10"/>
        <v>86</v>
      </c>
      <c r="G263" s="2">
        <v>1</v>
      </c>
      <c r="H263" s="1" t="s">
        <v>11</v>
      </c>
      <c r="I263" s="1">
        <v>3</v>
      </c>
      <c r="J263" s="1">
        <v>0</v>
      </c>
      <c r="L263" s="2"/>
      <c r="M263" s="2"/>
      <c r="N263" s="2"/>
      <c r="O263" s="2"/>
      <c r="P263" s="2"/>
      <c r="Q263" s="2"/>
    </row>
    <row r="264" spans="1:17">
      <c r="A264" s="1" t="s">
        <v>25</v>
      </c>
      <c r="B264" s="1" t="s">
        <v>21</v>
      </c>
      <c r="C264" s="1" t="s">
        <v>16</v>
      </c>
      <c r="D264" s="2" t="s">
        <v>123</v>
      </c>
      <c r="E264" s="4">
        <v>45778</v>
      </c>
      <c r="F264" s="2">
        <f t="shared" si="10"/>
        <v>86</v>
      </c>
      <c r="G264" s="2">
        <v>2</v>
      </c>
      <c r="H264" s="1" t="s">
        <v>11</v>
      </c>
      <c r="I264" s="1">
        <v>3</v>
      </c>
      <c r="J264" s="1">
        <v>0</v>
      </c>
      <c r="L264" s="2"/>
      <c r="M264" s="2"/>
      <c r="N264" s="2"/>
      <c r="O264" s="2"/>
      <c r="P264" s="2"/>
      <c r="Q264" s="2"/>
    </row>
    <row r="265" spans="1:17">
      <c r="A265" s="1" t="s">
        <v>25</v>
      </c>
      <c r="B265" s="1" t="s">
        <v>21</v>
      </c>
      <c r="C265" s="1" t="s">
        <v>16</v>
      </c>
      <c r="D265" s="2" t="s">
        <v>123</v>
      </c>
      <c r="E265" s="4">
        <v>45778</v>
      </c>
      <c r="F265" s="2">
        <f t="shared" si="10"/>
        <v>86</v>
      </c>
      <c r="G265" s="2">
        <v>3</v>
      </c>
      <c r="H265" s="1" t="s">
        <v>11</v>
      </c>
      <c r="I265" s="1">
        <v>2</v>
      </c>
      <c r="J265" s="1">
        <v>4</v>
      </c>
      <c r="L265" s="2"/>
      <c r="M265" s="2"/>
      <c r="N265" s="2"/>
      <c r="O265" s="2"/>
      <c r="P265" s="2"/>
      <c r="Q265" s="2"/>
    </row>
    <row r="266" spans="1:17">
      <c r="A266" s="1" t="s">
        <v>25</v>
      </c>
      <c r="B266" s="1" t="s">
        <v>21</v>
      </c>
      <c r="C266" s="1" t="s">
        <v>16</v>
      </c>
      <c r="D266" s="2" t="s">
        <v>123</v>
      </c>
      <c r="E266" s="4">
        <v>45778</v>
      </c>
      <c r="F266" s="2">
        <f t="shared" si="10"/>
        <v>87</v>
      </c>
      <c r="G266" s="2">
        <v>1</v>
      </c>
      <c r="H266" s="1" t="s">
        <v>9</v>
      </c>
      <c r="I266" s="1">
        <v>0</v>
      </c>
      <c r="J266" s="1">
        <v>0</v>
      </c>
      <c r="L266" s="2"/>
      <c r="M266" s="2"/>
      <c r="N266" s="2"/>
      <c r="O266" s="2"/>
      <c r="P266" s="2"/>
      <c r="Q266" s="2"/>
    </row>
    <row r="267" spans="1:17">
      <c r="A267" s="1" t="s">
        <v>25</v>
      </c>
      <c r="B267" s="1" t="s">
        <v>21</v>
      </c>
      <c r="C267" s="1" t="s">
        <v>16</v>
      </c>
      <c r="D267" s="2" t="s">
        <v>123</v>
      </c>
      <c r="E267" s="4">
        <v>45778</v>
      </c>
      <c r="F267" s="2">
        <f t="shared" si="10"/>
        <v>87</v>
      </c>
      <c r="G267" s="2">
        <v>2</v>
      </c>
      <c r="H267" s="1" t="s">
        <v>9</v>
      </c>
      <c r="I267" s="1">
        <v>3</v>
      </c>
      <c r="J267" s="1">
        <v>0</v>
      </c>
      <c r="L267" s="2"/>
      <c r="M267" s="2"/>
      <c r="N267" s="2"/>
      <c r="O267" s="2"/>
      <c r="P267" s="2"/>
      <c r="Q267" s="2"/>
    </row>
    <row r="268" spans="1:17">
      <c r="A268" s="1" t="s">
        <v>25</v>
      </c>
      <c r="B268" s="1" t="s">
        <v>21</v>
      </c>
      <c r="C268" s="1" t="s">
        <v>16</v>
      </c>
      <c r="D268" s="2" t="s">
        <v>123</v>
      </c>
      <c r="E268" s="4">
        <v>45778</v>
      </c>
      <c r="F268" s="2">
        <f t="shared" si="10"/>
        <v>87</v>
      </c>
      <c r="G268" s="2">
        <v>3</v>
      </c>
      <c r="H268" s="1" t="s">
        <v>9</v>
      </c>
      <c r="I268" s="1">
        <v>1</v>
      </c>
      <c r="J268" s="1">
        <v>3</v>
      </c>
      <c r="L268" s="2"/>
      <c r="M268" s="2"/>
      <c r="N268" s="2"/>
      <c r="O268" s="2"/>
      <c r="P268" s="2"/>
      <c r="Q268" s="2"/>
    </row>
    <row r="269" spans="1:17">
      <c r="A269" s="1" t="s">
        <v>25</v>
      </c>
      <c r="B269" s="1" t="s">
        <v>20</v>
      </c>
      <c r="C269" s="1" t="s">
        <v>16</v>
      </c>
      <c r="D269" s="2" t="s">
        <v>123</v>
      </c>
      <c r="E269" s="4">
        <v>45779</v>
      </c>
      <c r="F269" s="2">
        <f t="shared" si="10"/>
        <v>88</v>
      </c>
      <c r="G269" s="2">
        <v>1</v>
      </c>
      <c r="H269" s="1" t="s">
        <v>11</v>
      </c>
      <c r="I269" s="1">
        <v>1</v>
      </c>
      <c r="J269" s="1">
        <v>1</v>
      </c>
      <c r="L269" s="2"/>
      <c r="M269" s="2"/>
      <c r="N269" s="2"/>
      <c r="O269" s="2"/>
      <c r="P269" s="2"/>
      <c r="Q269" s="2"/>
    </row>
    <row r="270" spans="1:17">
      <c r="A270" s="1" t="s">
        <v>25</v>
      </c>
      <c r="B270" s="1" t="s">
        <v>20</v>
      </c>
      <c r="C270" s="1" t="s">
        <v>16</v>
      </c>
      <c r="D270" s="2" t="s">
        <v>123</v>
      </c>
      <c r="E270" s="4">
        <v>45779</v>
      </c>
      <c r="F270" s="2">
        <f t="shared" si="10"/>
        <v>88</v>
      </c>
      <c r="G270" s="2">
        <v>2</v>
      </c>
      <c r="H270" s="1" t="s">
        <v>11</v>
      </c>
      <c r="I270" s="1">
        <v>4</v>
      </c>
      <c r="J270" s="1">
        <v>3</v>
      </c>
      <c r="L270" s="2"/>
      <c r="M270" s="2"/>
      <c r="N270" s="2"/>
      <c r="O270" s="2"/>
      <c r="P270" s="2"/>
      <c r="Q270" s="2"/>
    </row>
    <row r="271" spans="1:17">
      <c r="A271" s="1" t="s">
        <v>25</v>
      </c>
      <c r="B271" s="1" t="s">
        <v>20</v>
      </c>
      <c r="C271" s="1" t="s">
        <v>16</v>
      </c>
      <c r="D271" s="2" t="s">
        <v>123</v>
      </c>
      <c r="E271" s="4">
        <v>45779</v>
      </c>
      <c r="F271" s="2">
        <f t="shared" si="10"/>
        <v>88</v>
      </c>
      <c r="G271" s="2">
        <v>3</v>
      </c>
      <c r="H271" s="1" t="s">
        <v>11</v>
      </c>
      <c r="I271" s="1">
        <v>4</v>
      </c>
      <c r="J271" s="1">
        <v>4</v>
      </c>
      <c r="L271" s="2"/>
      <c r="M271" s="2"/>
      <c r="N271" s="2"/>
      <c r="O271" s="2"/>
      <c r="P271" s="2"/>
      <c r="Q271" s="2"/>
    </row>
    <row r="272" spans="1:17">
      <c r="A272" s="1" t="s">
        <v>25</v>
      </c>
      <c r="B272" s="1" t="s">
        <v>19</v>
      </c>
      <c r="C272" s="1" t="s">
        <v>16</v>
      </c>
      <c r="D272" s="2" t="s">
        <v>123</v>
      </c>
      <c r="E272" s="4">
        <v>45779</v>
      </c>
      <c r="F272" s="2">
        <f t="shared" si="10"/>
        <v>89</v>
      </c>
      <c r="G272" s="2">
        <v>1</v>
      </c>
      <c r="H272" s="1" t="s">
        <v>69</v>
      </c>
      <c r="I272" s="1">
        <v>1</v>
      </c>
      <c r="J272" s="1">
        <v>2</v>
      </c>
      <c r="L272" s="2"/>
      <c r="M272" s="2"/>
      <c r="N272" s="2"/>
      <c r="O272" s="2">
        <v>0</v>
      </c>
      <c r="P272" s="2"/>
      <c r="Q272" s="2"/>
    </row>
    <row r="273" spans="1:17">
      <c r="A273" s="1" t="s">
        <v>25</v>
      </c>
      <c r="B273" s="1" t="s">
        <v>19</v>
      </c>
      <c r="C273" s="1" t="s">
        <v>16</v>
      </c>
      <c r="D273" s="2" t="s">
        <v>123</v>
      </c>
      <c r="E273" s="4">
        <v>45779</v>
      </c>
      <c r="F273" s="2">
        <f t="shared" si="10"/>
        <v>89</v>
      </c>
      <c r="G273" s="2">
        <v>2</v>
      </c>
      <c r="H273" s="1" t="s">
        <v>69</v>
      </c>
      <c r="I273" s="1">
        <v>0</v>
      </c>
      <c r="J273" s="1">
        <v>1</v>
      </c>
      <c r="L273" s="2"/>
      <c r="M273" s="2"/>
      <c r="N273" s="2"/>
      <c r="O273" s="2">
        <v>1</v>
      </c>
      <c r="P273" s="2"/>
      <c r="Q273" s="2"/>
    </row>
    <row r="274" spans="1:17">
      <c r="A274" s="1" t="s">
        <v>25</v>
      </c>
      <c r="B274" s="1" t="s">
        <v>19</v>
      </c>
      <c r="C274" s="1" t="s">
        <v>16</v>
      </c>
      <c r="D274" s="2" t="s">
        <v>123</v>
      </c>
      <c r="E274" s="4">
        <v>45779</v>
      </c>
      <c r="F274" s="2">
        <f t="shared" si="10"/>
        <v>89</v>
      </c>
      <c r="G274" s="2">
        <v>3</v>
      </c>
      <c r="H274" s="1" t="s">
        <v>69</v>
      </c>
      <c r="I274" s="1">
        <v>1</v>
      </c>
      <c r="J274" s="1">
        <v>1</v>
      </c>
      <c r="L274" s="2"/>
      <c r="M274" s="2"/>
      <c r="N274" s="2"/>
      <c r="O274" s="2">
        <v>1</v>
      </c>
      <c r="P274" s="2"/>
      <c r="Q274" s="2"/>
    </row>
    <row r="275" spans="1:17">
      <c r="A275" s="1" t="s">
        <v>25</v>
      </c>
      <c r="B275" s="1" t="s">
        <v>20</v>
      </c>
      <c r="C275" s="1" t="s">
        <v>16</v>
      </c>
      <c r="D275" s="2" t="s">
        <v>123</v>
      </c>
      <c r="E275" s="4">
        <v>45782</v>
      </c>
      <c r="F275" s="2">
        <f t="shared" si="10"/>
        <v>90</v>
      </c>
      <c r="G275" s="2">
        <v>1</v>
      </c>
      <c r="H275" s="1" t="s">
        <v>9</v>
      </c>
      <c r="I275" s="1">
        <v>1</v>
      </c>
      <c r="J275" s="1">
        <v>0</v>
      </c>
      <c r="L275" s="2"/>
      <c r="M275" s="2"/>
      <c r="N275" s="2"/>
      <c r="O275" s="2"/>
      <c r="P275" s="2"/>
      <c r="Q275" s="2"/>
    </row>
    <row r="276" spans="1:17">
      <c r="A276" s="1" t="s">
        <v>25</v>
      </c>
      <c r="B276" s="1" t="s">
        <v>20</v>
      </c>
      <c r="C276" s="1" t="s">
        <v>16</v>
      </c>
      <c r="D276" s="2" t="s">
        <v>123</v>
      </c>
      <c r="E276" s="4">
        <v>45782</v>
      </c>
      <c r="F276" s="2">
        <f t="shared" si="10"/>
        <v>90</v>
      </c>
      <c r="G276" s="2">
        <v>2</v>
      </c>
      <c r="H276" s="1" t="s">
        <v>9</v>
      </c>
      <c r="I276" s="1">
        <v>0</v>
      </c>
      <c r="J276" s="1">
        <v>0</v>
      </c>
      <c r="L276" s="2"/>
      <c r="M276" s="2"/>
      <c r="N276" s="2"/>
      <c r="O276" s="2"/>
      <c r="P276" s="2"/>
      <c r="Q276" s="2"/>
    </row>
    <row r="277" spans="1:17">
      <c r="A277" s="1" t="s">
        <v>25</v>
      </c>
      <c r="B277" s="1" t="s">
        <v>20</v>
      </c>
      <c r="C277" s="1" t="s">
        <v>16</v>
      </c>
      <c r="D277" s="2" t="s">
        <v>123</v>
      </c>
      <c r="E277" s="4">
        <v>45782</v>
      </c>
      <c r="F277" s="2">
        <f t="shared" si="10"/>
        <v>90</v>
      </c>
      <c r="G277" s="2">
        <v>3</v>
      </c>
      <c r="H277" s="1" t="s">
        <v>9</v>
      </c>
      <c r="I277" s="1">
        <v>1</v>
      </c>
      <c r="J277" s="1">
        <v>1</v>
      </c>
      <c r="L277" s="2"/>
      <c r="M277" s="2"/>
      <c r="N277" s="2"/>
      <c r="O277" s="2"/>
      <c r="P277" s="2"/>
      <c r="Q277" s="2"/>
    </row>
    <row r="278" spans="1:17">
      <c r="A278" s="1" t="s">
        <v>25</v>
      </c>
      <c r="B278" s="1" t="s">
        <v>20</v>
      </c>
      <c r="C278" s="1" t="s">
        <v>16</v>
      </c>
      <c r="D278" s="2" t="s">
        <v>123</v>
      </c>
      <c r="E278" s="4">
        <v>45782</v>
      </c>
      <c r="F278" s="2">
        <f t="shared" si="10"/>
        <v>91</v>
      </c>
      <c r="G278" s="2">
        <v>1</v>
      </c>
      <c r="H278" s="1" t="s">
        <v>9</v>
      </c>
      <c r="I278" s="1">
        <v>3</v>
      </c>
      <c r="J278" s="1">
        <v>4</v>
      </c>
      <c r="L278" s="2"/>
      <c r="M278" s="2"/>
      <c r="N278" s="2"/>
      <c r="O278" s="2"/>
      <c r="P278" s="2"/>
      <c r="Q278" s="2"/>
    </row>
    <row r="279" spans="1:17">
      <c r="A279" s="1" t="s">
        <v>25</v>
      </c>
      <c r="B279" s="1" t="s">
        <v>20</v>
      </c>
      <c r="C279" s="1" t="s">
        <v>16</v>
      </c>
      <c r="D279" s="2" t="s">
        <v>123</v>
      </c>
      <c r="E279" s="4">
        <v>45782</v>
      </c>
      <c r="F279" s="2">
        <f t="shared" si="10"/>
        <v>91</v>
      </c>
      <c r="G279" s="2">
        <v>2</v>
      </c>
      <c r="H279" s="1" t="s">
        <v>9</v>
      </c>
      <c r="I279" s="1">
        <v>2</v>
      </c>
      <c r="J279" s="1">
        <v>2</v>
      </c>
      <c r="L279" s="2"/>
      <c r="M279" s="2"/>
      <c r="N279" s="2"/>
      <c r="O279" s="2"/>
      <c r="P279" s="2"/>
      <c r="Q279" s="2"/>
    </row>
    <row r="280" spans="1:17">
      <c r="A280" s="1" t="s">
        <v>25</v>
      </c>
      <c r="B280" s="1" t="s">
        <v>20</v>
      </c>
      <c r="C280" s="1" t="s">
        <v>16</v>
      </c>
      <c r="D280" s="2" t="s">
        <v>123</v>
      </c>
      <c r="E280" s="4">
        <v>45782</v>
      </c>
      <c r="F280" s="2">
        <f t="shared" si="10"/>
        <v>91</v>
      </c>
      <c r="G280" s="2">
        <v>3</v>
      </c>
      <c r="H280" s="1" t="s">
        <v>9</v>
      </c>
      <c r="I280" s="1">
        <v>2</v>
      </c>
      <c r="J280" s="1">
        <v>5</v>
      </c>
      <c r="L280" s="2"/>
      <c r="M280" s="2"/>
      <c r="N280" s="2"/>
      <c r="O280" s="2"/>
      <c r="P280" s="2"/>
      <c r="Q280" s="2"/>
    </row>
    <row r="281" spans="1:17">
      <c r="A281" s="1" t="s">
        <v>25</v>
      </c>
      <c r="B281" s="1" t="s">
        <v>20</v>
      </c>
      <c r="C281" s="1" t="s">
        <v>16</v>
      </c>
      <c r="D281" s="2" t="s">
        <v>123</v>
      </c>
      <c r="E281" s="4">
        <v>45783</v>
      </c>
      <c r="F281" s="2">
        <f t="shared" si="10"/>
        <v>92</v>
      </c>
      <c r="G281" s="2">
        <v>1</v>
      </c>
      <c r="H281" s="1" t="s">
        <v>11</v>
      </c>
      <c r="I281" s="1">
        <v>4</v>
      </c>
      <c r="J281" s="1">
        <v>3</v>
      </c>
      <c r="L281" s="2"/>
      <c r="M281" s="2"/>
      <c r="N281" s="2"/>
      <c r="O281" s="2"/>
      <c r="P281" s="2"/>
      <c r="Q281" s="2"/>
    </row>
    <row r="282" spans="1:17">
      <c r="A282" s="1" t="s">
        <v>25</v>
      </c>
      <c r="B282" s="1" t="s">
        <v>20</v>
      </c>
      <c r="C282" s="1" t="s">
        <v>16</v>
      </c>
      <c r="D282" s="2" t="s">
        <v>123</v>
      </c>
      <c r="E282" s="4">
        <v>45783</v>
      </c>
      <c r="F282" s="2">
        <f t="shared" si="10"/>
        <v>92</v>
      </c>
      <c r="G282" s="2">
        <v>2</v>
      </c>
      <c r="H282" s="1" t="s">
        <v>11</v>
      </c>
      <c r="I282" s="1">
        <v>2</v>
      </c>
      <c r="J282" s="1">
        <v>0</v>
      </c>
      <c r="L282" s="2"/>
      <c r="M282" s="2"/>
      <c r="N282" s="2"/>
      <c r="O282" s="2"/>
      <c r="P282" s="2"/>
      <c r="Q282" s="2"/>
    </row>
    <row r="283" spans="1:17">
      <c r="A283" s="1" t="s">
        <v>25</v>
      </c>
      <c r="B283" s="1" t="s">
        <v>20</v>
      </c>
      <c r="C283" s="1" t="s">
        <v>16</v>
      </c>
      <c r="D283" s="2" t="s">
        <v>123</v>
      </c>
      <c r="E283" s="4">
        <v>45783</v>
      </c>
      <c r="F283" s="2">
        <f t="shared" si="10"/>
        <v>92</v>
      </c>
      <c r="G283" s="2">
        <v>3</v>
      </c>
      <c r="H283" s="1" t="s">
        <v>11</v>
      </c>
      <c r="I283" s="1">
        <v>1</v>
      </c>
      <c r="J283" s="1">
        <v>0</v>
      </c>
      <c r="L283" s="2"/>
      <c r="M283" s="2"/>
      <c r="N283" s="2"/>
      <c r="O283" s="2"/>
      <c r="P283" s="2"/>
      <c r="Q283" s="2"/>
    </row>
    <row r="284" spans="1:17">
      <c r="A284" s="1" t="s">
        <v>25</v>
      </c>
      <c r="B284" s="1" t="s">
        <v>20</v>
      </c>
      <c r="C284" s="1" t="s">
        <v>16</v>
      </c>
      <c r="D284" s="2" t="s">
        <v>123</v>
      </c>
      <c r="E284" s="4">
        <v>45784</v>
      </c>
      <c r="F284" s="2">
        <f t="shared" si="10"/>
        <v>93</v>
      </c>
      <c r="G284" s="2">
        <v>1</v>
      </c>
      <c r="H284" s="1" t="s">
        <v>11</v>
      </c>
      <c r="I284" s="1">
        <v>3</v>
      </c>
      <c r="J284" s="1">
        <v>0</v>
      </c>
      <c r="L284" s="2"/>
      <c r="M284" s="2"/>
      <c r="N284" s="2"/>
      <c r="O284" s="2"/>
      <c r="P284" s="2"/>
      <c r="Q284" s="2"/>
    </row>
    <row r="285" spans="1:17">
      <c r="A285" s="1" t="s">
        <v>25</v>
      </c>
      <c r="B285" s="1" t="s">
        <v>20</v>
      </c>
      <c r="C285" s="1" t="s">
        <v>16</v>
      </c>
      <c r="D285" s="2" t="s">
        <v>123</v>
      </c>
      <c r="E285" s="4">
        <v>45784</v>
      </c>
      <c r="F285" s="2">
        <f t="shared" si="10"/>
        <v>93</v>
      </c>
      <c r="G285" s="2">
        <v>2</v>
      </c>
      <c r="H285" s="1" t="s">
        <v>11</v>
      </c>
      <c r="I285" s="1">
        <v>3</v>
      </c>
      <c r="J285" s="1">
        <v>0</v>
      </c>
      <c r="L285" s="2"/>
      <c r="M285" s="2"/>
      <c r="N285" s="2"/>
      <c r="O285" s="2"/>
      <c r="P285" s="2"/>
      <c r="Q285" s="2"/>
    </row>
    <row r="286" spans="1:17">
      <c r="A286" s="1" t="s">
        <v>25</v>
      </c>
      <c r="B286" s="1" t="s">
        <v>20</v>
      </c>
      <c r="C286" s="1" t="s">
        <v>16</v>
      </c>
      <c r="D286" s="2" t="s">
        <v>123</v>
      </c>
      <c r="E286" s="4">
        <v>45784</v>
      </c>
      <c r="F286" s="2">
        <f t="shared" si="10"/>
        <v>93</v>
      </c>
      <c r="G286" s="2">
        <v>3</v>
      </c>
      <c r="H286" s="1" t="s">
        <v>11</v>
      </c>
      <c r="I286" s="1">
        <v>8</v>
      </c>
      <c r="J286" s="1">
        <v>1</v>
      </c>
      <c r="L286" s="2"/>
      <c r="M286" s="2"/>
      <c r="N286" s="2"/>
      <c r="O286" s="2"/>
      <c r="P286" s="2"/>
      <c r="Q286" s="2"/>
    </row>
    <row r="287" spans="1:17">
      <c r="A287" s="1" t="s">
        <v>25</v>
      </c>
      <c r="B287" s="1" t="s">
        <v>19</v>
      </c>
      <c r="C287" s="1" t="s">
        <v>16</v>
      </c>
      <c r="D287" s="2" t="s">
        <v>123</v>
      </c>
      <c r="E287" s="4">
        <v>45784</v>
      </c>
      <c r="F287" s="2">
        <f t="shared" si="10"/>
        <v>94</v>
      </c>
      <c r="G287" s="2">
        <v>1</v>
      </c>
      <c r="H287" s="1" t="s">
        <v>9</v>
      </c>
      <c r="I287" s="1">
        <v>2</v>
      </c>
      <c r="J287" s="1">
        <v>3</v>
      </c>
      <c r="L287" s="2"/>
      <c r="M287" s="2"/>
      <c r="N287" s="2"/>
      <c r="O287" s="2"/>
      <c r="P287" s="2"/>
      <c r="Q287" s="2"/>
    </row>
    <row r="288" spans="1:17">
      <c r="A288" s="1" t="s">
        <v>25</v>
      </c>
      <c r="B288" s="1" t="s">
        <v>19</v>
      </c>
      <c r="C288" s="1" t="s">
        <v>16</v>
      </c>
      <c r="D288" s="2" t="s">
        <v>123</v>
      </c>
      <c r="E288" s="4">
        <v>45784</v>
      </c>
      <c r="F288" s="2">
        <f t="shared" si="10"/>
        <v>94</v>
      </c>
      <c r="G288" s="2">
        <v>2</v>
      </c>
      <c r="H288" s="1" t="s">
        <v>9</v>
      </c>
      <c r="I288" s="1">
        <v>3</v>
      </c>
      <c r="J288" s="1">
        <v>3</v>
      </c>
      <c r="L288" s="2"/>
      <c r="M288" s="2"/>
      <c r="N288" s="2"/>
      <c r="O288" s="2"/>
      <c r="P288" s="2"/>
      <c r="Q288" s="2"/>
    </row>
    <row r="289" spans="1:17">
      <c r="A289" s="1" t="s">
        <v>25</v>
      </c>
      <c r="B289" s="1" t="s">
        <v>19</v>
      </c>
      <c r="C289" s="1" t="s">
        <v>16</v>
      </c>
      <c r="D289" s="2" t="s">
        <v>123</v>
      </c>
      <c r="E289" s="4">
        <v>45784</v>
      </c>
      <c r="F289" s="2">
        <f t="shared" si="10"/>
        <v>94</v>
      </c>
      <c r="G289" s="2">
        <v>3</v>
      </c>
      <c r="H289" s="1" t="s">
        <v>9</v>
      </c>
      <c r="I289" s="1">
        <v>2</v>
      </c>
      <c r="J289" s="1">
        <v>2</v>
      </c>
      <c r="L289" s="2"/>
      <c r="M289" s="2"/>
      <c r="N289" s="2"/>
      <c r="O289" s="2"/>
      <c r="P289" s="2"/>
      <c r="Q289" s="2"/>
    </row>
    <row r="290" spans="1:17">
      <c r="A290" s="1" t="s">
        <v>25</v>
      </c>
      <c r="B290" s="1" t="s">
        <v>21</v>
      </c>
      <c r="C290" s="1" t="s">
        <v>16</v>
      </c>
      <c r="D290" s="2" t="s">
        <v>123</v>
      </c>
      <c r="E290" s="4">
        <v>45784</v>
      </c>
      <c r="F290" s="2">
        <f t="shared" si="10"/>
        <v>95</v>
      </c>
      <c r="G290" s="2">
        <v>1</v>
      </c>
      <c r="H290" s="1" t="s">
        <v>9</v>
      </c>
      <c r="I290" s="1">
        <v>2</v>
      </c>
      <c r="J290" s="1">
        <v>0</v>
      </c>
      <c r="L290" s="2"/>
      <c r="M290" s="2"/>
      <c r="N290" s="2"/>
      <c r="O290" s="2"/>
      <c r="P290" s="2"/>
      <c r="Q290" s="2"/>
    </row>
    <row r="291" spans="1:17">
      <c r="A291" s="1" t="s">
        <v>25</v>
      </c>
      <c r="B291" s="1" t="s">
        <v>21</v>
      </c>
      <c r="C291" s="1" t="s">
        <v>16</v>
      </c>
      <c r="D291" s="2" t="s">
        <v>123</v>
      </c>
      <c r="E291" s="4">
        <v>45784</v>
      </c>
      <c r="F291" s="2">
        <f t="shared" si="10"/>
        <v>95</v>
      </c>
      <c r="G291" s="2">
        <v>2</v>
      </c>
      <c r="H291" s="1" t="s">
        <v>9</v>
      </c>
      <c r="I291" s="1">
        <v>0</v>
      </c>
      <c r="J291" s="1">
        <v>1</v>
      </c>
      <c r="L291" s="2"/>
      <c r="M291" s="2"/>
      <c r="N291" s="2"/>
      <c r="O291" s="2"/>
      <c r="P291" s="2"/>
      <c r="Q291" s="2"/>
    </row>
    <row r="292" spans="1:17">
      <c r="A292" s="1" t="s">
        <v>25</v>
      </c>
      <c r="B292" s="1" t="s">
        <v>21</v>
      </c>
      <c r="C292" s="1" t="s">
        <v>16</v>
      </c>
      <c r="D292" s="2" t="s">
        <v>123</v>
      </c>
      <c r="E292" s="4">
        <v>45784</v>
      </c>
      <c r="F292" s="2">
        <f t="shared" si="10"/>
        <v>95</v>
      </c>
      <c r="G292" s="2">
        <v>3</v>
      </c>
      <c r="H292" s="1" t="s">
        <v>9</v>
      </c>
      <c r="I292" s="1">
        <v>0</v>
      </c>
      <c r="J292" s="1">
        <v>0</v>
      </c>
      <c r="L292" s="2"/>
      <c r="M292" s="2"/>
      <c r="N292" s="2"/>
      <c r="O292" s="2"/>
      <c r="P292" s="2"/>
      <c r="Q292" s="2"/>
    </row>
    <row r="293" spans="1:17">
      <c r="A293" s="1" t="s">
        <v>25</v>
      </c>
      <c r="B293" s="1" t="s">
        <v>20</v>
      </c>
      <c r="C293" s="1" t="s">
        <v>16</v>
      </c>
      <c r="D293" s="2" t="s">
        <v>123</v>
      </c>
      <c r="E293" s="4">
        <v>45790</v>
      </c>
      <c r="F293" s="2">
        <f t="shared" si="10"/>
        <v>96</v>
      </c>
      <c r="G293" s="2">
        <v>1</v>
      </c>
      <c r="H293" s="1" t="s">
        <v>9</v>
      </c>
      <c r="I293" s="1">
        <v>3</v>
      </c>
      <c r="J293" s="1">
        <v>0</v>
      </c>
      <c r="L293" s="2"/>
      <c r="M293" s="2"/>
      <c r="N293" s="2"/>
      <c r="O293" s="2"/>
      <c r="P293" s="2"/>
      <c r="Q293" s="2"/>
    </row>
    <row r="294" spans="1:17">
      <c r="A294" s="1" t="s">
        <v>25</v>
      </c>
      <c r="B294" s="1" t="s">
        <v>20</v>
      </c>
      <c r="C294" s="1" t="s">
        <v>16</v>
      </c>
      <c r="D294" s="2" t="s">
        <v>123</v>
      </c>
      <c r="E294" s="4">
        <v>45790</v>
      </c>
      <c r="F294" s="2">
        <f t="shared" si="10"/>
        <v>96</v>
      </c>
      <c r="G294" s="2">
        <v>2</v>
      </c>
      <c r="H294" s="1" t="s">
        <v>9</v>
      </c>
      <c r="I294" s="1">
        <v>1</v>
      </c>
      <c r="J294" s="1">
        <v>2</v>
      </c>
      <c r="L294" s="2"/>
      <c r="M294" s="2"/>
      <c r="N294" s="2"/>
      <c r="O294" s="2"/>
      <c r="P294" s="2"/>
      <c r="Q294" s="2"/>
    </row>
    <row r="295" spans="1:17">
      <c r="A295" s="1" t="s">
        <v>25</v>
      </c>
      <c r="B295" s="1" t="s">
        <v>20</v>
      </c>
      <c r="C295" s="1" t="s">
        <v>16</v>
      </c>
      <c r="D295" s="2" t="s">
        <v>123</v>
      </c>
      <c r="E295" s="4">
        <v>45790</v>
      </c>
      <c r="F295" s="2">
        <f t="shared" si="10"/>
        <v>96</v>
      </c>
      <c r="G295" s="2">
        <v>3</v>
      </c>
      <c r="H295" s="1" t="s">
        <v>9</v>
      </c>
      <c r="I295" s="1">
        <v>1</v>
      </c>
      <c r="J295" s="1">
        <v>1</v>
      </c>
      <c r="L295" s="2"/>
      <c r="M295" s="2"/>
      <c r="N295" s="2"/>
      <c r="O295" s="2"/>
      <c r="P295" s="2"/>
      <c r="Q295" s="2"/>
    </row>
    <row r="296" spans="1:17">
      <c r="A296" s="1" t="s">
        <v>25</v>
      </c>
      <c r="B296" s="1" t="s">
        <v>20</v>
      </c>
      <c r="C296" s="1" t="s">
        <v>16</v>
      </c>
      <c r="D296" s="2" t="s">
        <v>123</v>
      </c>
      <c r="E296" s="4">
        <v>45790</v>
      </c>
      <c r="F296" s="2">
        <f t="shared" si="10"/>
        <v>97</v>
      </c>
      <c r="G296" s="2">
        <v>1</v>
      </c>
      <c r="H296" s="1" t="s">
        <v>11</v>
      </c>
      <c r="I296" s="1">
        <v>0</v>
      </c>
      <c r="J296" s="1">
        <v>1</v>
      </c>
      <c r="L296" s="2"/>
      <c r="M296" s="2"/>
      <c r="N296" s="2"/>
      <c r="O296" s="2"/>
      <c r="P296" s="2"/>
      <c r="Q296" s="2"/>
    </row>
    <row r="297" spans="1:17">
      <c r="A297" s="1" t="s">
        <v>25</v>
      </c>
      <c r="B297" s="1" t="s">
        <v>20</v>
      </c>
      <c r="C297" s="1" t="s">
        <v>16</v>
      </c>
      <c r="D297" s="2" t="s">
        <v>123</v>
      </c>
      <c r="E297" s="4">
        <v>45790</v>
      </c>
      <c r="F297" s="2">
        <f t="shared" ref="F297:F298" si="11">F294+1</f>
        <v>97</v>
      </c>
      <c r="G297" s="2">
        <v>2</v>
      </c>
      <c r="H297" s="1" t="s">
        <v>11</v>
      </c>
      <c r="I297" s="1">
        <v>3</v>
      </c>
      <c r="J297" s="1">
        <v>0</v>
      </c>
      <c r="L297" s="2"/>
      <c r="M297" s="2"/>
      <c r="N297" s="2"/>
      <c r="O297" s="2"/>
      <c r="P297" s="2"/>
      <c r="Q297" s="2"/>
    </row>
    <row r="298" spans="1:17">
      <c r="A298" s="1" t="s">
        <v>25</v>
      </c>
      <c r="B298" s="1" t="s">
        <v>20</v>
      </c>
      <c r="C298" s="1" t="s">
        <v>16</v>
      </c>
      <c r="D298" s="2" t="s">
        <v>123</v>
      </c>
      <c r="E298" s="4">
        <v>45790</v>
      </c>
      <c r="F298" s="2">
        <f t="shared" si="11"/>
        <v>97</v>
      </c>
      <c r="G298" s="2">
        <v>3</v>
      </c>
      <c r="H298" s="1" t="s">
        <v>11</v>
      </c>
      <c r="I298" s="1">
        <v>0</v>
      </c>
      <c r="J298" s="1">
        <v>2</v>
      </c>
      <c r="L298" s="2"/>
      <c r="M298" s="2"/>
      <c r="N298" s="2"/>
      <c r="O298" s="2"/>
      <c r="P298" s="2"/>
      <c r="Q298" s="2"/>
    </row>
    <row r="299" spans="1:17">
      <c r="A299" s="1" t="s">
        <v>25</v>
      </c>
      <c r="B299" s="1" t="s">
        <v>20</v>
      </c>
      <c r="C299" s="1" t="s">
        <v>16</v>
      </c>
      <c r="D299" s="2" t="s">
        <v>123</v>
      </c>
      <c r="E299" s="4">
        <v>45790</v>
      </c>
      <c r="F299" s="2">
        <v>97</v>
      </c>
      <c r="G299" s="2" t="s">
        <v>82</v>
      </c>
      <c r="H299" s="1" t="s">
        <v>11</v>
      </c>
      <c r="I299" s="1">
        <v>3</v>
      </c>
      <c r="J299" s="1">
        <v>2</v>
      </c>
      <c r="L299" s="2"/>
      <c r="M299" s="2"/>
      <c r="N299" s="2"/>
      <c r="O299" s="2"/>
      <c r="P299" s="2"/>
      <c r="Q299" s="2"/>
    </row>
    <row r="300" spans="1:17">
      <c r="A300" s="1" t="s">
        <v>25</v>
      </c>
      <c r="B300" s="1" t="s">
        <v>20</v>
      </c>
      <c r="C300" s="1" t="s">
        <v>16</v>
      </c>
      <c r="D300" s="2" t="s">
        <v>123</v>
      </c>
      <c r="E300" s="4">
        <v>45791</v>
      </c>
      <c r="F300" s="2">
        <f t="shared" ref="F300:F356" si="12">F297+1</f>
        <v>98</v>
      </c>
      <c r="G300" s="2">
        <v>1</v>
      </c>
      <c r="H300" s="1" t="s">
        <v>8</v>
      </c>
      <c r="I300" s="1">
        <v>2</v>
      </c>
      <c r="J300" s="1">
        <v>1</v>
      </c>
      <c r="K300" s="1">
        <v>0</v>
      </c>
      <c r="L300" s="2"/>
      <c r="M300" s="2"/>
      <c r="N300" s="2"/>
      <c r="O300" s="2"/>
      <c r="P300" s="2"/>
      <c r="Q300" s="2"/>
    </row>
    <row r="301" spans="1:17">
      <c r="A301" s="1" t="s">
        <v>25</v>
      </c>
      <c r="B301" s="1" t="s">
        <v>20</v>
      </c>
      <c r="C301" s="1" t="s">
        <v>16</v>
      </c>
      <c r="D301" s="2" t="s">
        <v>123</v>
      </c>
      <c r="E301" s="4">
        <v>45791</v>
      </c>
      <c r="F301" s="2">
        <f t="shared" si="12"/>
        <v>98</v>
      </c>
      <c r="G301" s="2">
        <v>2</v>
      </c>
      <c r="H301" s="1" t="s">
        <v>8</v>
      </c>
      <c r="I301" s="1">
        <v>0</v>
      </c>
      <c r="J301" s="1">
        <v>0</v>
      </c>
      <c r="K301" s="1">
        <v>3</v>
      </c>
      <c r="L301" s="2"/>
      <c r="M301" s="2"/>
      <c r="N301" s="2"/>
      <c r="O301" s="2"/>
      <c r="P301" s="2"/>
      <c r="Q301" s="2"/>
    </row>
    <row r="302" spans="1:17">
      <c r="A302" s="1" t="s">
        <v>25</v>
      </c>
      <c r="B302" s="1" t="s">
        <v>20</v>
      </c>
      <c r="C302" s="1" t="s">
        <v>16</v>
      </c>
      <c r="D302" s="2" t="s">
        <v>123</v>
      </c>
      <c r="E302" s="4">
        <v>45791</v>
      </c>
      <c r="F302" s="2">
        <f t="shared" si="12"/>
        <v>98</v>
      </c>
      <c r="G302" s="2">
        <v>3</v>
      </c>
      <c r="H302" s="1" t="s">
        <v>8</v>
      </c>
      <c r="I302" s="1">
        <v>9</v>
      </c>
      <c r="J302" s="1">
        <v>1</v>
      </c>
      <c r="K302" s="1">
        <v>0</v>
      </c>
      <c r="L302" s="2"/>
      <c r="M302" s="2"/>
      <c r="N302" s="2"/>
      <c r="O302" s="2"/>
      <c r="P302" s="2"/>
      <c r="Q302" s="2"/>
    </row>
    <row r="303" spans="1:17">
      <c r="A303" s="1" t="s">
        <v>25</v>
      </c>
      <c r="B303" s="1" t="s">
        <v>20</v>
      </c>
      <c r="C303" s="1" t="s">
        <v>16</v>
      </c>
      <c r="D303" s="2" t="s">
        <v>123</v>
      </c>
      <c r="E303" s="4">
        <v>45791</v>
      </c>
      <c r="F303" s="2">
        <f t="shared" si="12"/>
        <v>99</v>
      </c>
      <c r="G303" s="2">
        <v>1</v>
      </c>
      <c r="H303" s="1" t="s">
        <v>70</v>
      </c>
      <c r="I303" s="1">
        <v>0</v>
      </c>
      <c r="J303" s="1">
        <v>4</v>
      </c>
      <c r="K303" s="1">
        <v>3</v>
      </c>
      <c r="L303" s="2">
        <v>0</v>
      </c>
      <c r="M303" s="2"/>
      <c r="N303" s="2"/>
      <c r="O303" s="2"/>
      <c r="P303" s="2"/>
      <c r="Q303" s="2"/>
    </row>
    <row r="304" spans="1:17">
      <c r="A304" s="1" t="s">
        <v>25</v>
      </c>
      <c r="B304" s="1" t="s">
        <v>20</v>
      </c>
      <c r="C304" s="1" t="s">
        <v>16</v>
      </c>
      <c r="D304" s="2" t="s">
        <v>123</v>
      </c>
      <c r="E304" s="4">
        <v>45791</v>
      </c>
      <c r="F304" s="2">
        <f t="shared" si="12"/>
        <v>99</v>
      </c>
      <c r="G304" s="2">
        <v>2</v>
      </c>
      <c r="H304" s="1" t="s">
        <v>70</v>
      </c>
      <c r="I304" s="1">
        <v>0</v>
      </c>
      <c r="J304" s="1">
        <v>2</v>
      </c>
      <c r="K304" s="1">
        <v>0</v>
      </c>
      <c r="L304" s="2">
        <v>2</v>
      </c>
      <c r="M304" s="2"/>
      <c r="N304" s="2"/>
      <c r="O304" s="2"/>
      <c r="P304" s="2"/>
      <c r="Q304" s="2"/>
    </row>
    <row r="305" spans="1:17">
      <c r="A305" s="1" t="s">
        <v>25</v>
      </c>
      <c r="B305" s="1" t="s">
        <v>20</v>
      </c>
      <c r="C305" s="1" t="s">
        <v>16</v>
      </c>
      <c r="D305" s="2" t="s">
        <v>123</v>
      </c>
      <c r="E305" s="4">
        <v>45791</v>
      </c>
      <c r="F305" s="2">
        <f t="shared" si="12"/>
        <v>99</v>
      </c>
      <c r="G305" s="2">
        <v>3</v>
      </c>
      <c r="H305" s="1" t="s">
        <v>70</v>
      </c>
      <c r="I305" s="1">
        <v>3</v>
      </c>
      <c r="J305" s="1">
        <v>1</v>
      </c>
      <c r="K305" s="1">
        <v>6</v>
      </c>
      <c r="L305" s="2">
        <v>3</v>
      </c>
      <c r="M305" s="2"/>
      <c r="N305" s="2"/>
      <c r="O305" s="2"/>
      <c r="P305" s="2"/>
      <c r="Q305" s="2"/>
    </row>
    <row r="306" spans="1:17">
      <c r="A306" s="1" t="s">
        <v>25</v>
      </c>
      <c r="B306" s="1" t="s">
        <v>19</v>
      </c>
      <c r="C306" s="1" t="s">
        <v>16</v>
      </c>
      <c r="D306" s="2" t="s">
        <v>123</v>
      </c>
      <c r="E306" s="4">
        <v>45791</v>
      </c>
      <c r="F306" s="2">
        <f t="shared" si="12"/>
        <v>100</v>
      </c>
      <c r="G306" s="2">
        <v>1</v>
      </c>
      <c r="H306" s="1" t="s">
        <v>11</v>
      </c>
      <c r="I306" s="1">
        <v>2</v>
      </c>
      <c r="J306" s="1">
        <v>5</v>
      </c>
      <c r="L306" s="2"/>
      <c r="M306" s="2"/>
      <c r="N306" s="2"/>
      <c r="O306" s="2"/>
      <c r="P306" s="2"/>
      <c r="Q306" s="2"/>
    </row>
    <row r="307" spans="1:17">
      <c r="A307" s="1" t="s">
        <v>25</v>
      </c>
      <c r="B307" s="1" t="s">
        <v>19</v>
      </c>
      <c r="C307" s="1" t="s">
        <v>16</v>
      </c>
      <c r="D307" s="2" t="s">
        <v>123</v>
      </c>
      <c r="E307" s="4">
        <v>45791</v>
      </c>
      <c r="F307" s="2">
        <f t="shared" si="12"/>
        <v>100</v>
      </c>
      <c r="G307" s="2">
        <v>2</v>
      </c>
      <c r="H307" s="1" t="s">
        <v>11</v>
      </c>
      <c r="I307" s="1">
        <v>4</v>
      </c>
      <c r="J307" s="1">
        <v>2</v>
      </c>
      <c r="L307" s="2"/>
      <c r="M307" s="2"/>
      <c r="N307" s="2"/>
      <c r="O307" s="2"/>
      <c r="P307" s="2"/>
      <c r="Q307" s="2"/>
    </row>
    <row r="308" spans="1:17">
      <c r="A308" s="1" t="s">
        <v>25</v>
      </c>
      <c r="B308" s="1" t="s">
        <v>19</v>
      </c>
      <c r="C308" s="1" t="s">
        <v>16</v>
      </c>
      <c r="D308" s="2" t="s">
        <v>123</v>
      </c>
      <c r="E308" s="4">
        <v>45791</v>
      </c>
      <c r="F308" s="2">
        <f t="shared" si="12"/>
        <v>100</v>
      </c>
      <c r="G308" s="2">
        <v>3</v>
      </c>
      <c r="H308" s="1" t="s">
        <v>11</v>
      </c>
      <c r="I308" s="1">
        <v>3</v>
      </c>
      <c r="J308" s="1">
        <v>0</v>
      </c>
      <c r="L308" s="2"/>
      <c r="M308" s="2"/>
      <c r="N308" s="2"/>
      <c r="O308" s="2"/>
      <c r="P308" s="2"/>
      <c r="Q308" s="2"/>
    </row>
    <row r="309" spans="1:17">
      <c r="A309" s="1" t="s">
        <v>25</v>
      </c>
      <c r="B309" s="1" t="s">
        <v>20</v>
      </c>
      <c r="C309" s="1" t="s">
        <v>16</v>
      </c>
      <c r="D309" s="2" t="s">
        <v>123</v>
      </c>
      <c r="E309" s="4">
        <v>45797</v>
      </c>
      <c r="F309" s="2">
        <f t="shared" si="12"/>
        <v>101</v>
      </c>
      <c r="G309" s="2">
        <v>1</v>
      </c>
      <c r="H309" s="1" t="s">
        <v>71</v>
      </c>
      <c r="J309" s="1">
        <v>3</v>
      </c>
      <c r="K309" s="1">
        <v>3</v>
      </c>
      <c r="L309" s="2"/>
      <c r="M309" s="2"/>
      <c r="N309" s="2"/>
      <c r="O309" s="2"/>
      <c r="P309" s="2"/>
      <c r="Q309" s="2"/>
    </row>
    <row r="310" spans="1:17">
      <c r="A310" s="1" t="s">
        <v>25</v>
      </c>
      <c r="B310" s="1" t="s">
        <v>20</v>
      </c>
      <c r="C310" s="1" t="s">
        <v>16</v>
      </c>
      <c r="D310" s="2" t="s">
        <v>123</v>
      </c>
      <c r="E310" s="4">
        <v>45797</v>
      </c>
      <c r="F310" s="2">
        <f t="shared" si="12"/>
        <v>101</v>
      </c>
      <c r="G310" s="2">
        <v>2</v>
      </c>
      <c r="H310" s="1" t="s">
        <v>71</v>
      </c>
      <c r="J310" s="1">
        <v>3</v>
      </c>
      <c r="K310" s="1">
        <v>3</v>
      </c>
      <c r="L310" s="2"/>
      <c r="M310" s="2"/>
      <c r="N310" s="2"/>
      <c r="O310" s="2"/>
      <c r="P310" s="2"/>
      <c r="Q310" s="2"/>
    </row>
    <row r="311" spans="1:17">
      <c r="A311" s="1" t="s">
        <v>25</v>
      </c>
      <c r="B311" s="1" t="s">
        <v>20</v>
      </c>
      <c r="C311" s="1" t="s">
        <v>16</v>
      </c>
      <c r="D311" s="2" t="s">
        <v>123</v>
      </c>
      <c r="E311" s="4">
        <v>45797</v>
      </c>
      <c r="F311" s="2">
        <f t="shared" si="12"/>
        <v>101</v>
      </c>
      <c r="G311" s="2">
        <v>3</v>
      </c>
      <c r="H311" s="1" t="s">
        <v>71</v>
      </c>
      <c r="J311" s="1">
        <v>3</v>
      </c>
      <c r="K311" s="1">
        <v>0</v>
      </c>
      <c r="L311" s="2"/>
      <c r="M311" s="2"/>
      <c r="N311" s="2"/>
      <c r="O311" s="2"/>
      <c r="P311" s="2"/>
      <c r="Q311" s="2"/>
    </row>
    <row r="312" spans="1:17">
      <c r="A312" s="1" t="s">
        <v>25</v>
      </c>
      <c r="B312" s="1" t="s">
        <v>20</v>
      </c>
      <c r="C312" s="1" t="s">
        <v>16</v>
      </c>
      <c r="D312" s="2" t="s">
        <v>123</v>
      </c>
      <c r="E312" s="4">
        <v>45797</v>
      </c>
      <c r="F312" s="2">
        <f t="shared" si="12"/>
        <v>102</v>
      </c>
      <c r="G312" s="2">
        <v>1</v>
      </c>
      <c r="H312" s="1" t="s">
        <v>27</v>
      </c>
      <c r="J312" s="1">
        <v>5</v>
      </c>
      <c r="L312" s="1">
        <v>0</v>
      </c>
      <c r="M312" s="2"/>
      <c r="N312" s="2"/>
      <c r="O312" s="2"/>
      <c r="P312" s="2"/>
      <c r="Q312" s="2"/>
    </row>
    <row r="313" spans="1:17">
      <c r="A313" s="1" t="s">
        <v>25</v>
      </c>
      <c r="B313" s="1" t="s">
        <v>20</v>
      </c>
      <c r="C313" s="1" t="s">
        <v>16</v>
      </c>
      <c r="D313" s="2" t="s">
        <v>123</v>
      </c>
      <c r="E313" s="4">
        <v>45797</v>
      </c>
      <c r="F313" s="2">
        <f t="shared" si="12"/>
        <v>102</v>
      </c>
      <c r="G313" s="2">
        <v>2</v>
      </c>
      <c r="H313" s="1" t="s">
        <v>27</v>
      </c>
      <c r="J313" s="1">
        <v>1</v>
      </c>
      <c r="L313" s="1">
        <v>0</v>
      </c>
      <c r="M313" s="2"/>
      <c r="N313" s="2"/>
      <c r="O313" s="2"/>
      <c r="P313" s="2"/>
      <c r="Q313" s="2"/>
    </row>
    <row r="314" spans="1:17">
      <c r="A314" s="1" t="s">
        <v>25</v>
      </c>
      <c r="B314" s="1" t="s">
        <v>20</v>
      </c>
      <c r="C314" s="1" t="s">
        <v>16</v>
      </c>
      <c r="D314" s="2" t="s">
        <v>123</v>
      </c>
      <c r="E314" s="4">
        <v>45797</v>
      </c>
      <c r="F314" s="2">
        <f t="shared" si="12"/>
        <v>102</v>
      </c>
      <c r="G314" s="2">
        <v>3</v>
      </c>
      <c r="H314" s="1" t="s">
        <v>27</v>
      </c>
      <c r="J314" s="1">
        <v>2</v>
      </c>
      <c r="L314" s="1">
        <v>1</v>
      </c>
      <c r="M314" s="2"/>
      <c r="N314" s="2"/>
      <c r="O314" s="2"/>
      <c r="P314" s="2"/>
      <c r="Q314" s="2"/>
    </row>
    <row r="315" spans="1:17">
      <c r="A315" s="1" t="s">
        <v>25</v>
      </c>
      <c r="B315" s="1" t="s">
        <v>20</v>
      </c>
      <c r="C315" s="1" t="s">
        <v>16</v>
      </c>
      <c r="D315" s="2" t="s">
        <v>123</v>
      </c>
      <c r="E315" s="4">
        <v>45798</v>
      </c>
      <c r="F315" s="2">
        <f t="shared" si="12"/>
        <v>103</v>
      </c>
      <c r="G315" s="2">
        <v>1</v>
      </c>
      <c r="H315" s="1" t="s">
        <v>71</v>
      </c>
      <c r="J315" s="1">
        <v>2</v>
      </c>
      <c r="K315" s="1">
        <v>3</v>
      </c>
      <c r="L315" s="2"/>
      <c r="M315" s="2"/>
      <c r="N315" s="2"/>
      <c r="O315" s="2"/>
      <c r="P315" s="2"/>
      <c r="Q315" s="2"/>
    </row>
    <row r="316" spans="1:17">
      <c r="A316" s="1" t="s">
        <v>25</v>
      </c>
      <c r="B316" s="1" t="s">
        <v>20</v>
      </c>
      <c r="C316" s="1" t="s">
        <v>16</v>
      </c>
      <c r="D316" s="2" t="s">
        <v>123</v>
      </c>
      <c r="E316" s="4">
        <v>45798</v>
      </c>
      <c r="F316" s="2">
        <f t="shared" si="12"/>
        <v>103</v>
      </c>
      <c r="G316" s="2">
        <v>2</v>
      </c>
      <c r="H316" s="1" t="s">
        <v>71</v>
      </c>
      <c r="J316" s="1">
        <v>6</v>
      </c>
      <c r="K316" s="1">
        <v>0</v>
      </c>
      <c r="L316" s="2"/>
      <c r="M316" s="2"/>
      <c r="N316" s="2"/>
      <c r="O316" s="2"/>
      <c r="P316" s="2"/>
      <c r="Q316" s="2"/>
    </row>
    <row r="317" spans="1:17">
      <c r="A317" s="1" t="s">
        <v>25</v>
      </c>
      <c r="B317" s="1" t="s">
        <v>20</v>
      </c>
      <c r="C317" s="1" t="s">
        <v>16</v>
      </c>
      <c r="D317" s="2" t="s">
        <v>123</v>
      </c>
      <c r="E317" s="4">
        <v>45798</v>
      </c>
      <c r="F317" s="2">
        <f t="shared" si="12"/>
        <v>103</v>
      </c>
      <c r="G317" s="2">
        <v>3</v>
      </c>
      <c r="H317" s="1" t="s">
        <v>71</v>
      </c>
      <c r="J317" s="1">
        <v>4</v>
      </c>
      <c r="K317" s="1">
        <v>2</v>
      </c>
      <c r="L317" s="2"/>
      <c r="M317" s="2"/>
      <c r="N317" s="2"/>
      <c r="O317" s="2"/>
      <c r="P317" s="2"/>
      <c r="Q317" s="2"/>
    </row>
    <row r="318" spans="1:17">
      <c r="A318" s="1" t="s">
        <v>25</v>
      </c>
      <c r="B318" s="1" t="s">
        <v>20</v>
      </c>
      <c r="C318" s="1" t="s">
        <v>16</v>
      </c>
      <c r="D318" s="2" t="s">
        <v>123</v>
      </c>
      <c r="E318" s="4">
        <v>45799</v>
      </c>
      <c r="F318" s="2">
        <f t="shared" si="12"/>
        <v>104</v>
      </c>
      <c r="G318" s="2">
        <v>1</v>
      </c>
      <c r="H318" s="1" t="s">
        <v>71</v>
      </c>
      <c r="J318" s="1">
        <v>0</v>
      </c>
      <c r="K318" s="1">
        <v>0</v>
      </c>
      <c r="L318" s="2"/>
      <c r="M318" s="2"/>
      <c r="N318" s="2"/>
      <c r="O318" s="2"/>
      <c r="P318" s="2"/>
      <c r="Q318" s="2"/>
    </row>
    <row r="319" spans="1:17">
      <c r="A319" s="1" t="s">
        <v>25</v>
      </c>
      <c r="B319" s="1" t="s">
        <v>20</v>
      </c>
      <c r="C319" s="1" t="s">
        <v>16</v>
      </c>
      <c r="D319" s="2" t="s">
        <v>123</v>
      </c>
      <c r="E319" s="4">
        <v>45799</v>
      </c>
      <c r="F319" s="2">
        <f t="shared" si="12"/>
        <v>104</v>
      </c>
      <c r="G319" s="2">
        <v>2</v>
      </c>
      <c r="H319" s="1" t="s">
        <v>71</v>
      </c>
      <c r="J319" s="1">
        <v>1</v>
      </c>
      <c r="K319" s="1">
        <v>1</v>
      </c>
      <c r="L319" s="2"/>
      <c r="M319" s="2"/>
      <c r="N319" s="2"/>
      <c r="O319" s="2"/>
      <c r="P319" s="2"/>
      <c r="Q319" s="2"/>
    </row>
    <row r="320" spans="1:17">
      <c r="A320" s="1" t="s">
        <v>25</v>
      </c>
      <c r="B320" s="1" t="s">
        <v>20</v>
      </c>
      <c r="C320" s="1" t="s">
        <v>16</v>
      </c>
      <c r="D320" s="2" t="s">
        <v>123</v>
      </c>
      <c r="E320" s="4">
        <v>45799</v>
      </c>
      <c r="F320" s="2">
        <f t="shared" si="12"/>
        <v>104</v>
      </c>
      <c r="G320" s="2">
        <v>3</v>
      </c>
      <c r="H320" s="1" t="s">
        <v>71</v>
      </c>
      <c r="J320" s="1">
        <v>3</v>
      </c>
      <c r="K320" s="1">
        <v>0</v>
      </c>
      <c r="L320" s="2"/>
      <c r="M320" s="2"/>
      <c r="N320" s="2"/>
      <c r="O320" s="2"/>
      <c r="P320" s="2"/>
      <c r="Q320" s="2"/>
    </row>
    <row r="321" spans="1:17">
      <c r="A321" s="1" t="s">
        <v>25</v>
      </c>
      <c r="B321" s="1" t="s">
        <v>20</v>
      </c>
      <c r="C321" s="1" t="s">
        <v>16</v>
      </c>
      <c r="D321" s="2" t="s">
        <v>123</v>
      </c>
      <c r="E321" s="4">
        <v>45811</v>
      </c>
      <c r="F321" s="2">
        <f t="shared" si="12"/>
        <v>105</v>
      </c>
      <c r="G321" s="2">
        <v>1</v>
      </c>
      <c r="H321" s="1" t="s">
        <v>71</v>
      </c>
      <c r="J321" s="1">
        <v>2</v>
      </c>
      <c r="K321" s="1">
        <v>0</v>
      </c>
      <c r="L321" s="2"/>
      <c r="M321" s="2"/>
      <c r="N321" s="2"/>
      <c r="O321" s="2"/>
      <c r="P321" s="2"/>
      <c r="Q321" s="2"/>
    </row>
    <row r="322" spans="1:17">
      <c r="A322" s="1" t="s">
        <v>25</v>
      </c>
      <c r="B322" s="1" t="s">
        <v>20</v>
      </c>
      <c r="C322" s="1" t="s">
        <v>16</v>
      </c>
      <c r="D322" s="2" t="s">
        <v>123</v>
      </c>
      <c r="E322" s="4">
        <v>45811</v>
      </c>
      <c r="F322" s="2">
        <f t="shared" si="12"/>
        <v>105</v>
      </c>
      <c r="G322" s="2">
        <v>2</v>
      </c>
      <c r="H322" s="1" t="s">
        <v>71</v>
      </c>
      <c r="J322" s="1">
        <v>0</v>
      </c>
      <c r="K322" s="1">
        <v>0</v>
      </c>
      <c r="L322" s="2"/>
      <c r="M322" s="2"/>
      <c r="N322" s="2"/>
      <c r="O322" s="2"/>
      <c r="P322" s="2"/>
      <c r="Q322" s="2"/>
    </row>
    <row r="323" spans="1:17">
      <c r="A323" s="1" t="s">
        <v>25</v>
      </c>
      <c r="B323" s="1" t="s">
        <v>20</v>
      </c>
      <c r="C323" s="1" t="s">
        <v>16</v>
      </c>
      <c r="D323" s="2" t="s">
        <v>123</v>
      </c>
      <c r="E323" s="4">
        <v>45811</v>
      </c>
      <c r="F323" s="2">
        <f t="shared" si="12"/>
        <v>105</v>
      </c>
      <c r="G323" s="2">
        <v>3</v>
      </c>
      <c r="H323" s="1" t="s">
        <v>71</v>
      </c>
      <c r="J323" s="1">
        <v>1</v>
      </c>
      <c r="K323" s="1">
        <v>1</v>
      </c>
      <c r="L323" s="2"/>
      <c r="M323" s="2"/>
      <c r="N323" s="2"/>
      <c r="O323" s="2"/>
      <c r="P323" s="2"/>
      <c r="Q323" s="2"/>
    </row>
    <row r="324" spans="1:17">
      <c r="A324" s="1" t="s">
        <v>25</v>
      </c>
      <c r="B324" s="1" t="s">
        <v>20</v>
      </c>
      <c r="C324" s="1" t="s">
        <v>16</v>
      </c>
      <c r="D324" s="2" t="s">
        <v>123</v>
      </c>
      <c r="E324" s="4">
        <v>45811</v>
      </c>
      <c r="F324" s="2">
        <f t="shared" si="12"/>
        <v>106</v>
      </c>
      <c r="G324" s="2">
        <v>1</v>
      </c>
      <c r="H324" s="1" t="s">
        <v>34</v>
      </c>
      <c r="J324" s="1">
        <v>1</v>
      </c>
      <c r="K324" s="1">
        <v>1</v>
      </c>
      <c r="L324" s="2"/>
      <c r="M324" s="2"/>
      <c r="N324" s="2"/>
      <c r="O324" s="2"/>
      <c r="P324" s="2"/>
      <c r="Q324" s="2"/>
    </row>
    <row r="325" spans="1:17">
      <c r="A325" s="1" t="s">
        <v>25</v>
      </c>
      <c r="B325" s="1" t="s">
        <v>20</v>
      </c>
      <c r="C325" s="1" t="s">
        <v>16</v>
      </c>
      <c r="D325" s="2" t="s">
        <v>123</v>
      </c>
      <c r="E325" s="4">
        <v>45811</v>
      </c>
      <c r="F325" s="2">
        <f t="shared" si="12"/>
        <v>106</v>
      </c>
      <c r="G325" s="2">
        <v>2</v>
      </c>
      <c r="H325" s="1" t="s">
        <v>34</v>
      </c>
      <c r="J325" s="1">
        <v>0</v>
      </c>
      <c r="K325" s="1">
        <v>0</v>
      </c>
      <c r="L325" s="2"/>
      <c r="M325" s="2"/>
      <c r="N325" s="2"/>
      <c r="O325" s="2"/>
      <c r="P325" s="2"/>
      <c r="Q325" s="2"/>
    </row>
    <row r="326" spans="1:17">
      <c r="A326" s="1" t="s">
        <v>25</v>
      </c>
      <c r="B326" s="1" t="s">
        <v>20</v>
      </c>
      <c r="C326" s="1" t="s">
        <v>16</v>
      </c>
      <c r="D326" s="2" t="s">
        <v>123</v>
      </c>
      <c r="E326" s="4">
        <v>45811</v>
      </c>
      <c r="F326" s="2">
        <f t="shared" si="12"/>
        <v>106</v>
      </c>
      <c r="G326" s="2">
        <v>3</v>
      </c>
      <c r="H326" s="1" t="s">
        <v>34</v>
      </c>
      <c r="J326" s="1">
        <v>2</v>
      </c>
      <c r="K326" s="1">
        <v>1</v>
      </c>
      <c r="L326" s="2"/>
      <c r="M326" s="2"/>
      <c r="N326" s="2"/>
      <c r="O326" s="2"/>
      <c r="P326" s="2"/>
      <c r="Q326" s="2"/>
    </row>
    <row r="327" spans="1:17">
      <c r="A327" s="1" t="s">
        <v>25</v>
      </c>
      <c r="B327" s="1" t="s">
        <v>20</v>
      </c>
      <c r="C327" s="1" t="s">
        <v>16</v>
      </c>
      <c r="D327" s="2" t="s">
        <v>123</v>
      </c>
      <c r="E327" s="4">
        <v>45818</v>
      </c>
      <c r="F327" s="2">
        <f t="shared" si="12"/>
        <v>107</v>
      </c>
      <c r="G327" s="2">
        <v>1</v>
      </c>
      <c r="H327" s="1" t="s">
        <v>11</v>
      </c>
      <c r="I327" s="1">
        <v>3</v>
      </c>
      <c r="J327" s="1">
        <v>1</v>
      </c>
      <c r="L327" s="2"/>
      <c r="M327" s="2"/>
      <c r="N327" s="2"/>
      <c r="O327" s="2"/>
      <c r="P327" s="2"/>
      <c r="Q327" s="2"/>
    </row>
    <row r="328" spans="1:17">
      <c r="A328" s="1" t="s">
        <v>25</v>
      </c>
      <c r="B328" s="1" t="s">
        <v>20</v>
      </c>
      <c r="C328" s="1" t="s">
        <v>16</v>
      </c>
      <c r="D328" s="2" t="s">
        <v>123</v>
      </c>
      <c r="E328" s="4">
        <v>45818</v>
      </c>
      <c r="F328" s="2">
        <f t="shared" si="12"/>
        <v>107</v>
      </c>
      <c r="G328" s="2">
        <v>2</v>
      </c>
      <c r="H328" s="1" t="s">
        <v>11</v>
      </c>
      <c r="I328" s="1">
        <v>0</v>
      </c>
      <c r="J328" s="1">
        <v>3</v>
      </c>
      <c r="L328" s="2"/>
      <c r="M328" s="2"/>
      <c r="N328" s="2"/>
      <c r="O328" s="2"/>
      <c r="P328" s="2"/>
      <c r="Q328" s="2"/>
    </row>
    <row r="329" spans="1:17">
      <c r="A329" s="1" t="s">
        <v>25</v>
      </c>
      <c r="B329" s="1" t="s">
        <v>20</v>
      </c>
      <c r="C329" s="1" t="s">
        <v>16</v>
      </c>
      <c r="D329" s="2" t="s">
        <v>123</v>
      </c>
      <c r="E329" s="4">
        <v>45818</v>
      </c>
      <c r="F329" s="2">
        <f t="shared" si="12"/>
        <v>107</v>
      </c>
      <c r="G329" s="2">
        <v>3</v>
      </c>
      <c r="H329" s="1" t="s">
        <v>11</v>
      </c>
      <c r="I329" s="1">
        <v>3</v>
      </c>
      <c r="J329" s="1">
        <v>1</v>
      </c>
      <c r="L329" s="2"/>
      <c r="M329" s="2"/>
      <c r="N329" s="2"/>
      <c r="O329" s="2"/>
      <c r="P329" s="2"/>
      <c r="Q329" s="2"/>
    </row>
    <row r="330" spans="1:17">
      <c r="A330" s="1" t="s">
        <v>25</v>
      </c>
      <c r="B330" s="1" t="s">
        <v>20</v>
      </c>
      <c r="C330" s="1" t="s">
        <v>16</v>
      </c>
      <c r="D330" s="2" t="s">
        <v>123</v>
      </c>
      <c r="E330" s="4">
        <v>45819</v>
      </c>
      <c r="F330" s="2">
        <f t="shared" si="12"/>
        <v>108</v>
      </c>
      <c r="G330" s="2">
        <v>1</v>
      </c>
      <c r="H330" s="1" t="s">
        <v>9</v>
      </c>
      <c r="I330" s="1">
        <v>3</v>
      </c>
      <c r="J330" s="1">
        <v>4</v>
      </c>
      <c r="L330" s="2"/>
      <c r="M330" s="2"/>
      <c r="N330" s="2"/>
      <c r="O330" s="2"/>
      <c r="P330" s="2"/>
      <c r="Q330" s="2"/>
    </row>
    <row r="331" spans="1:17">
      <c r="A331" s="1" t="s">
        <v>25</v>
      </c>
      <c r="B331" s="1" t="s">
        <v>20</v>
      </c>
      <c r="C331" s="1" t="s">
        <v>16</v>
      </c>
      <c r="D331" s="2" t="s">
        <v>123</v>
      </c>
      <c r="E331" s="4">
        <v>45819</v>
      </c>
      <c r="F331" s="2">
        <f t="shared" si="12"/>
        <v>108</v>
      </c>
      <c r="G331" s="2">
        <v>2</v>
      </c>
      <c r="H331" s="1" t="s">
        <v>9</v>
      </c>
      <c r="I331" s="1">
        <v>0</v>
      </c>
      <c r="J331" s="1">
        <v>1</v>
      </c>
      <c r="L331" s="2"/>
      <c r="M331" s="2"/>
      <c r="N331" s="2"/>
      <c r="O331" s="2"/>
      <c r="P331" s="2"/>
      <c r="Q331" s="2"/>
    </row>
    <row r="332" spans="1:17">
      <c r="A332" s="1" t="s">
        <v>25</v>
      </c>
      <c r="B332" s="1" t="s">
        <v>20</v>
      </c>
      <c r="C332" s="1" t="s">
        <v>16</v>
      </c>
      <c r="D332" s="2" t="s">
        <v>123</v>
      </c>
      <c r="E332" s="4">
        <v>45819</v>
      </c>
      <c r="F332" s="2">
        <f t="shared" si="12"/>
        <v>108</v>
      </c>
      <c r="G332" s="2">
        <v>3</v>
      </c>
      <c r="H332" s="1" t="s">
        <v>9</v>
      </c>
      <c r="I332" s="1">
        <v>5</v>
      </c>
      <c r="J332" s="1">
        <v>1</v>
      </c>
      <c r="L332" s="2"/>
      <c r="M332" s="2"/>
      <c r="N332" s="2"/>
      <c r="O332" s="2"/>
      <c r="P332" s="2"/>
      <c r="Q332" s="2"/>
    </row>
    <row r="333" spans="1:17">
      <c r="A333" s="1" t="s">
        <v>25</v>
      </c>
      <c r="B333" s="1" t="s">
        <v>20</v>
      </c>
      <c r="C333" s="1" t="s">
        <v>16</v>
      </c>
      <c r="D333" s="2" t="s">
        <v>123</v>
      </c>
      <c r="E333" s="4">
        <v>45820</v>
      </c>
      <c r="F333" s="2">
        <f t="shared" si="12"/>
        <v>109</v>
      </c>
      <c r="G333" s="2">
        <v>1</v>
      </c>
      <c r="H333" s="1" t="s">
        <v>11</v>
      </c>
      <c r="I333" s="1">
        <v>3</v>
      </c>
      <c r="J333" s="1">
        <v>3</v>
      </c>
      <c r="L333" s="2"/>
      <c r="M333" s="2"/>
      <c r="N333" s="2"/>
      <c r="O333" s="2"/>
      <c r="P333" s="2"/>
      <c r="Q333" s="2"/>
    </row>
    <row r="334" spans="1:17">
      <c r="A334" s="1" t="s">
        <v>25</v>
      </c>
      <c r="B334" s="1" t="s">
        <v>20</v>
      </c>
      <c r="C334" s="1" t="s">
        <v>16</v>
      </c>
      <c r="D334" s="2" t="s">
        <v>123</v>
      </c>
      <c r="E334" s="4">
        <v>45820</v>
      </c>
      <c r="F334" s="2">
        <f t="shared" si="12"/>
        <v>109</v>
      </c>
      <c r="G334" s="2">
        <v>2</v>
      </c>
      <c r="H334" s="1" t="s">
        <v>11</v>
      </c>
      <c r="I334" s="1">
        <v>0</v>
      </c>
      <c r="J334" s="1">
        <v>0</v>
      </c>
      <c r="L334" s="2"/>
      <c r="M334" s="2"/>
      <c r="N334" s="2"/>
      <c r="O334" s="2"/>
      <c r="P334" s="2"/>
      <c r="Q334" s="2"/>
    </row>
    <row r="335" spans="1:17">
      <c r="A335" s="1" t="s">
        <v>25</v>
      </c>
      <c r="B335" s="1" t="s">
        <v>20</v>
      </c>
      <c r="C335" s="1" t="s">
        <v>16</v>
      </c>
      <c r="D335" s="2" t="s">
        <v>123</v>
      </c>
      <c r="E335" s="4">
        <v>45820</v>
      </c>
      <c r="F335" s="2">
        <f t="shared" si="12"/>
        <v>109</v>
      </c>
      <c r="G335" s="2">
        <v>3</v>
      </c>
      <c r="H335" s="1" t="s">
        <v>11</v>
      </c>
      <c r="I335" s="1">
        <v>2</v>
      </c>
      <c r="J335" s="1">
        <v>5</v>
      </c>
      <c r="L335" s="2"/>
      <c r="M335" s="2"/>
      <c r="N335" s="2"/>
      <c r="O335" s="2"/>
      <c r="P335" s="2"/>
      <c r="Q335" s="2"/>
    </row>
    <row r="336" spans="1:17">
      <c r="A336" s="1" t="s">
        <v>25</v>
      </c>
      <c r="B336" s="1" t="s">
        <v>20</v>
      </c>
      <c r="C336" s="1" t="s">
        <v>16</v>
      </c>
      <c r="D336" s="2" t="s">
        <v>123</v>
      </c>
      <c r="E336" s="4">
        <v>45821</v>
      </c>
      <c r="F336" s="2">
        <f t="shared" si="12"/>
        <v>110</v>
      </c>
      <c r="G336" s="2">
        <v>1</v>
      </c>
      <c r="H336" s="1" t="s">
        <v>11</v>
      </c>
      <c r="I336" s="1">
        <v>3</v>
      </c>
      <c r="J336" s="1">
        <v>0</v>
      </c>
      <c r="L336" s="2"/>
      <c r="M336" s="2"/>
      <c r="N336" s="2"/>
      <c r="O336" s="2"/>
      <c r="P336" s="2"/>
      <c r="Q336" s="2"/>
    </row>
    <row r="337" spans="1:17">
      <c r="A337" s="1" t="s">
        <v>25</v>
      </c>
      <c r="B337" s="1" t="s">
        <v>20</v>
      </c>
      <c r="C337" s="1" t="s">
        <v>16</v>
      </c>
      <c r="D337" s="2" t="s">
        <v>123</v>
      </c>
      <c r="E337" s="4">
        <v>45821</v>
      </c>
      <c r="F337" s="2">
        <f t="shared" si="12"/>
        <v>110</v>
      </c>
      <c r="G337" s="2">
        <v>2</v>
      </c>
      <c r="H337" s="1" t="s">
        <v>11</v>
      </c>
      <c r="I337" s="1">
        <v>1</v>
      </c>
      <c r="J337" s="1">
        <v>3</v>
      </c>
      <c r="L337" s="2"/>
      <c r="M337" s="2"/>
      <c r="N337" s="2"/>
      <c r="O337" s="2"/>
      <c r="P337" s="2"/>
      <c r="Q337" s="2"/>
    </row>
    <row r="338" spans="1:17">
      <c r="A338" s="1" t="s">
        <v>25</v>
      </c>
      <c r="B338" s="1" t="s">
        <v>20</v>
      </c>
      <c r="C338" s="1" t="s">
        <v>16</v>
      </c>
      <c r="D338" s="2" t="s">
        <v>123</v>
      </c>
      <c r="E338" s="4">
        <v>45821</v>
      </c>
      <c r="F338" s="2">
        <f t="shared" si="12"/>
        <v>110</v>
      </c>
      <c r="G338" s="2">
        <v>3</v>
      </c>
      <c r="H338" s="1" t="s">
        <v>11</v>
      </c>
      <c r="I338" s="1">
        <v>1</v>
      </c>
      <c r="J338" s="1">
        <v>0</v>
      </c>
      <c r="L338" s="2"/>
      <c r="M338" s="2"/>
      <c r="N338" s="2"/>
      <c r="O338" s="2"/>
      <c r="P338" s="2"/>
      <c r="Q338" s="2"/>
    </row>
    <row r="339" spans="1:17">
      <c r="A339" s="1" t="s">
        <v>25</v>
      </c>
      <c r="B339" s="1" t="s">
        <v>20</v>
      </c>
      <c r="C339" s="1" t="s">
        <v>16</v>
      </c>
      <c r="D339" s="2" t="s">
        <v>123</v>
      </c>
      <c r="E339" s="4">
        <v>45824</v>
      </c>
      <c r="F339" s="2">
        <f t="shared" si="12"/>
        <v>111</v>
      </c>
      <c r="G339" s="2">
        <v>1</v>
      </c>
      <c r="H339" s="1" t="s">
        <v>9</v>
      </c>
      <c r="I339" s="1">
        <v>3</v>
      </c>
      <c r="J339" s="1">
        <v>0</v>
      </c>
      <c r="L339" s="2"/>
      <c r="M339" s="2"/>
      <c r="N339" s="2"/>
      <c r="O339" s="2"/>
      <c r="P339" s="2"/>
      <c r="Q339" s="2"/>
    </row>
    <row r="340" spans="1:17">
      <c r="A340" s="1" t="s">
        <v>25</v>
      </c>
      <c r="B340" s="1" t="s">
        <v>20</v>
      </c>
      <c r="C340" s="1" t="s">
        <v>16</v>
      </c>
      <c r="D340" s="2" t="s">
        <v>123</v>
      </c>
      <c r="E340" s="4">
        <v>45824</v>
      </c>
      <c r="F340" s="2">
        <f t="shared" si="12"/>
        <v>111</v>
      </c>
      <c r="G340" s="2">
        <v>2</v>
      </c>
      <c r="H340" s="1" t="s">
        <v>9</v>
      </c>
      <c r="I340" s="1">
        <v>4</v>
      </c>
      <c r="J340" s="1">
        <v>0</v>
      </c>
      <c r="L340" s="2"/>
      <c r="M340" s="2"/>
      <c r="N340" s="2"/>
      <c r="O340" s="2"/>
      <c r="P340" s="2"/>
      <c r="Q340" s="2"/>
    </row>
    <row r="341" spans="1:17">
      <c r="A341" s="1" t="s">
        <v>25</v>
      </c>
      <c r="B341" s="1" t="s">
        <v>20</v>
      </c>
      <c r="C341" s="1" t="s">
        <v>16</v>
      </c>
      <c r="D341" s="2" t="s">
        <v>123</v>
      </c>
      <c r="E341" s="4">
        <v>45824</v>
      </c>
      <c r="F341" s="2">
        <f t="shared" si="12"/>
        <v>111</v>
      </c>
      <c r="G341" s="2">
        <v>3</v>
      </c>
      <c r="H341" s="1" t="s">
        <v>9</v>
      </c>
      <c r="I341" s="1">
        <v>0</v>
      </c>
      <c r="J341" s="1">
        <v>4</v>
      </c>
      <c r="L341" s="2"/>
      <c r="M341" s="2"/>
      <c r="N341" s="2"/>
      <c r="O341" s="2"/>
      <c r="P341" s="2"/>
      <c r="Q341" s="2"/>
    </row>
    <row r="342" spans="1:17">
      <c r="A342" s="1" t="s">
        <v>25</v>
      </c>
      <c r="B342" s="1" t="s">
        <v>20</v>
      </c>
      <c r="C342" s="1" t="s">
        <v>16</v>
      </c>
      <c r="D342" s="2" t="s">
        <v>123</v>
      </c>
      <c r="E342" s="4">
        <v>45824</v>
      </c>
      <c r="F342" s="2">
        <f t="shared" si="12"/>
        <v>112</v>
      </c>
      <c r="G342" s="2">
        <v>1</v>
      </c>
      <c r="H342" s="1" t="s">
        <v>59</v>
      </c>
      <c r="I342" s="1">
        <v>2</v>
      </c>
      <c r="J342" s="1">
        <v>0</v>
      </c>
      <c r="K342" s="1">
        <v>1</v>
      </c>
      <c r="L342" s="2">
        <v>0</v>
      </c>
      <c r="M342" s="2"/>
      <c r="N342" s="2"/>
      <c r="O342" s="2"/>
      <c r="P342" s="2"/>
      <c r="Q342" s="2"/>
    </row>
    <row r="343" spans="1:17">
      <c r="A343" s="1" t="s">
        <v>25</v>
      </c>
      <c r="B343" s="1" t="s">
        <v>20</v>
      </c>
      <c r="C343" s="1" t="s">
        <v>16</v>
      </c>
      <c r="D343" s="2" t="s">
        <v>123</v>
      </c>
      <c r="E343" s="4">
        <v>45824</v>
      </c>
      <c r="F343" s="2">
        <f t="shared" si="12"/>
        <v>112</v>
      </c>
      <c r="G343" s="2">
        <v>2</v>
      </c>
      <c r="H343" s="1" t="s">
        <v>59</v>
      </c>
      <c r="I343" s="1">
        <v>0</v>
      </c>
      <c r="J343" s="1">
        <v>1</v>
      </c>
      <c r="K343" s="1">
        <v>1</v>
      </c>
      <c r="L343" s="2">
        <v>3</v>
      </c>
      <c r="M343" s="2"/>
      <c r="N343" s="2"/>
      <c r="O343" s="2"/>
      <c r="P343" s="2"/>
      <c r="Q343" s="2"/>
    </row>
    <row r="344" spans="1:17">
      <c r="A344" s="1" t="s">
        <v>25</v>
      </c>
      <c r="B344" s="1" t="s">
        <v>20</v>
      </c>
      <c r="C344" s="1" t="s">
        <v>16</v>
      </c>
      <c r="D344" s="2" t="s">
        <v>123</v>
      </c>
      <c r="E344" s="4">
        <v>45824</v>
      </c>
      <c r="F344" s="2">
        <f t="shared" si="12"/>
        <v>112</v>
      </c>
      <c r="G344" s="2">
        <v>3</v>
      </c>
      <c r="H344" s="1" t="s">
        <v>59</v>
      </c>
      <c r="I344" s="1">
        <v>1</v>
      </c>
      <c r="J344" s="1">
        <v>0</v>
      </c>
      <c r="K344" s="1">
        <v>2</v>
      </c>
      <c r="L344" s="2">
        <v>3</v>
      </c>
      <c r="M344" s="2"/>
      <c r="N344" s="2"/>
      <c r="O344" s="2"/>
      <c r="P344" s="2"/>
      <c r="Q344" s="2"/>
    </row>
    <row r="345" spans="1:17">
      <c r="A345" s="1" t="s">
        <v>25</v>
      </c>
      <c r="B345" s="1" t="s">
        <v>20</v>
      </c>
      <c r="C345" s="1" t="s">
        <v>16</v>
      </c>
      <c r="D345" s="2" t="s">
        <v>123</v>
      </c>
      <c r="E345" s="4">
        <v>45825</v>
      </c>
      <c r="F345" s="2">
        <f t="shared" si="12"/>
        <v>113</v>
      </c>
      <c r="G345" s="2">
        <v>1</v>
      </c>
      <c r="H345" s="1" t="s">
        <v>11</v>
      </c>
      <c r="I345" s="1">
        <v>6</v>
      </c>
      <c r="J345" s="1">
        <v>2</v>
      </c>
      <c r="L345" s="2"/>
      <c r="M345" s="2"/>
      <c r="N345" s="2"/>
      <c r="O345" s="2"/>
      <c r="P345" s="2"/>
      <c r="Q345" s="2"/>
    </row>
    <row r="346" spans="1:17">
      <c r="A346" s="1" t="s">
        <v>25</v>
      </c>
      <c r="B346" s="1" t="s">
        <v>20</v>
      </c>
      <c r="C346" s="1" t="s">
        <v>16</v>
      </c>
      <c r="D346" s="2" t="s">
        <v>123</v>
      </c>
      <c r="E346" s="4">
        <v>45825</v>
      </c>
      <c r="F346" s="2">
        <f t="shared" si="12"/>
        <v>113</v>
      </c>
      <c r="G346" s="2">
        <v>2</v>
      </c>
      <c r="H346" s="1" t="s">
        <v>11</v>
      </c>
      <c r="I346" s="1">
        <v>2</v>
      </c>
      <c r="J346" s="1">
        <v>0</v>
      </c>
      <c r="L346" s="2"/>
      <c r="M346" s="2"/>
      <c r="N346" s="2"/>
      <c r="O346" s="2"/>
      <c r="P346" s="2"/>
      <c r="Q346" s="2"/>
    </row>
    <row r="347" spans="1:17">
      <c r="A347" s="1" t="s">
        <v>25</v>
      </c>
      <c r="B347" s="1" t="s">
        <v>20</v>
      </c>
      <c r="C347" s="1" t="s">
        <v>16</v>
      </c>
      <c r="D347" s="2" t="s">
        <v>123</v>
      </c>
      <c r="E347" s="4">
        <v>45825</v>
      </c>
      <c r="F347" s="2">
        <f t="shared" si="12"/>
        <v>113</v>
      </c>
      <c r="G347" s="2">
        <v>3</v>
      </c>
      <c r="H347" s="1" t="s">
        <v>11</v>
      </c>
      <c r="I347" s="1">
        <v>4</v>
      </c>
      <c r="J347" s="1">
        <v>5</v>
      </c>
      <c r="L347" s="2"/>
      <c r="M347" s="2"/>
      <c r="N347" s="2"/>
      <c r="O347" s="2"/>
      <c r="P347" s="2"/>
      <c r="Q347" s="2"/>
    </row>
    <row r="348" spans="1:17">
      <c r="A348" s="1" t="s">
        <v>25</v>
      </c>
      <c r="B348" s="1" t="s">
        <v>20</v>
      </c>
      <c r="C348" s="1" t="s">
        <v>16</v>
      </c>
      <c r="D348" s="2" t="s">
        <v>123</v>
      </c>
      <c r="E348" s="4">
        <v>45825</v>
      </c>
      <c r="F348" s="2">
        <f t="shared" si="12"/>
        <v>114</v>
      </c>
      <c r="G348" s="2">
        <v>1</v>
      </c>
      <c r="H348" s="1" t="s">
        <v>8</v>
      </c>
      <c r="I348" s="1">
        <v>0</v>
      </c>
      <c r="J348" s="1">
        <v>2</v>
      </c>
      <c r="K348" s="1">
        <v>1</v>
      </c>
      <c r="L348" s="2"/>
      <c r="M348" s="2"/>
      <c r="N348" s="2"/>
      <c r="O348" s="2"/>
      <c r="P348" s="2"/>
      <c r="Q348" s="2"/>
    </row>
    <row r="349" spans="1:17">
      <c r="A349" s="1" t="s">
        <v>25</v>
      </c>
      <c r="B349" s="1" t="s">
        <v>20</v>
      </c>
      <c r="C349" s="1" t="s">
        <v>16</v>
      </c>
      <c r="D349" s="2" t="s">
        <v>123</v>
      </c>
      <c r="E349" s="4">
        <v>45825</v>
      </c>
      <c r="F349" s="2">
        <f t="shared" si="12"/>
        <v>114</v>
      </c>
      <c r="G349" s="2">
        <v>2</v>
      </c>
      <c r="H349" s="1" t="s">
        <v>8</v>
      </c>
      <c r="I349" s="1">
        <v>0</v>
      </c>
      <c r="J349" s="1">
        <v>6</v>
      </c>
      <c r="K349" s="1">
        <v>0</v>
      </c>
      <c r="L349" s="2"/>
      <c r="M349" s="2"/>
      <c r="N349" s="2"/>
      <c r="O349" s="2"/>
      <c r="P349" s="2"/>
      <c r="Q349" s="2"/>
    </row>
    <row r="350" spans="1:17">
      <c r="A350" s="1" t="s">
        <v>25</v>
      </c>
      <c r="B350" s="1" t="s">
        <v>20</v>
      </c>
      <c r="C350" s="1" t="s">
        <v>16</v>
      </c>
      <c r="D350" s="2" t="s">
        <v>123</v>
      </c>
      <c r="E350" s="4">
        <v>45825</v>
      </c>
      <c r="F350" s="2">
        <f t="shared" si="12"/>
        <v>114</v>
      </c>
      <c r="G350" s="2">
        <v>3</v>
      </c>
      <c r="H350" s="1" t="s">
        <v>8</v>
      </c>
      <c r="I350" s="1">
        <v>0</v>
      </c>
      <c r="J350" s="1">
        <v>3</v>
      </c>
      <c r="K350" s="1">
        <v>0</v>
      </c>
      <c r="L350" s="2"/>
      <c r="M350" s="2"/>
      <c r="N350" s="2"/>
      <c r="O350" s="2"/>
      <c r="P350" s="2"/>
      <c r="Q350" s="2"/>
    </row>
    <row r="351" spans="1:17">
      <c r="A351" s="1" t="s">
        <v>25</v>
      </c>
      <c r="B351" s="1" t="s">
        <v>19</v>
      </c>
      <c r="C351" s="1" t="s">
        <v>16</v>
      </c>
      <c r="D351" s="2" t="s">
        <v>123</v>
      </c>
      <c r="E351" s="4">
        <v>45825</v>
      </c>
      <c r="F351" s="2">
        <f t="shared" si="12"/>
        <v>115</v>
      </c>
      <c r="G351" s="2">
        <v>1</v>
      </c>
      <c r="H351" s="1" t="s">
        <v>8</v>
      </c>
      <c r="I351" s="1">
        <v>9</v>
      </c>
      <c r="J351" s="1">
        <v>4</v>
      </c>
      <c r="K351" s="1">
        <v>1</v>
      </c>
      <c r="L351" s="2"/>
      <c r="M351" s="2"/>
      <c r="N351" s="2"/>
      <c r="O351" s="2"/>
      <c r="P351" s="2"/>
      <c r="Q351" s="2"/>
    </row>
    <row r="352" spans="1:17">
      <c r="A352" s="1" t="s">
        <v>25</v>
      </c>
      <c r="B352" s="1" t="s">
        <v>19</v>
      </c>
      <c r="C352" s="1" t="s">
        <v>16</v>
      </c>
      <c r="D352" s="2" t="s">
        <v>123</v>
      </c>
      <c r="E352" s="4">
        <v>45825</v>
      </c>
      <c r="F352" s="2">
        <f t="shared" si="12"/>
        <v>115</v>
      </c>
      <c r="G352" s="2">
        <v>2</v>
      </c>
      <c r="H352" s="1" t="s">
        <v>8</v>
      </c>
      <c r="I352" s="1">
        <v>0</v>
      </c>
      <c r="J352" s="1">
        <v>3</v>
      </c>
      <c r="K352" s="1">
        <v>1</v>
      </c>
      <c r="L352" s="2"/>
      <c r="M352" s="2"/>
      <c r="N352" s="2"/>
      <c r="O352" s="2"/>
      <c r="P352" s="2"/>
      <c r="Q352" s="2"/>
    </row>
    <row r="353" spans="1:17">
      <c r="A353" s="1" t="s">
        <v>25</v>
      </c>
      <c r="B353" s="1" t="s">
        <v>19</v>
      </c>
      <c r="C353" s="1" t="s">
        <v>16</v>
      </c>
      <c r="D353" s="2" t="s">
        <v>123</v>
      </c>
      <c r="E353" s="4">
        <v>45825</v>
      </c>
      <c r="F353" s="2">
        <f t="shared" si="12"/>
        <v>115</v>
      </c>
      <c r="G353" s="2">
        <v>3</v>
      </c>
      <c r="H353" s="1" t="s">
        <v>8</v>
      </c>
      <c r="I353" s="1">
        <v>5</v>
      </c>
      <c r="J353" s="1">
        <v>3</v>
      </c>
      <c r="K353" s="1">
        <v>0</v>
      </c>
      <c r="L353" s="2"/>
      <c r="M353" s="2"/>
      <c r="N353" s="2"/>
      <c r="O353" s="2"/>
      <c r="P353" s="2"/>
      <c r="Q353" s="2"/>
    </row>
    <row r="354" spans="1:17">
      <c r="A354" s="1" t="s">
        <v>25</v>
      </c>
      <c r="B354" s="1" t="s">
        <v>20</v>
      </c>
      <c r="C354" s="1" t="s">
        <v>16</v>
      </c>
      <c r="D354" s="2" t="s">
        <v>123</v>
      </c>
      <c r="E354" s="4">
        <v>45826</v>
      </c>
      <c r="F354" s="2">
        <f t="shared" si="12"/>
        <v>116</v>
      </c>
      <c r="G354" s="2">
        <v>1</v>
      </c>
      <c r="H354" s="1" t="s">
        <v>9</v>
      </c>
      <c r="I354" s="1">
        <v>3</v>
      </c>
      <c r="J354" s="1">
        <v>3</v>
      </c>
      <c r="L354" s="2"/>
      <c r="M354" s="2"/>
      <c r="N354" s="2"/>
      <c r="O354" s="2"/>
      <c r="P354" s="2"/>
      <c r="Q354" s="2"/>
    </row>
    <row r="355" spans="1:17">
      <c r="A355" s="1" t="s">
        <v>25</v>
      </c>
      <c r="B355" s="1" t="s">
        <v>20</v>
      </c>
      <c r="C355" s="1" t="s">
        <v>16</v>
      </c>
      <c r="D355" s="2" t="s">
        <v>123</v>
      </c>
      <c r="E355" s="4">
        <v>45826</v>
      </c>
      <c r="F355" s="2">
        <f t="shared" si="12"/>
        <v>116</v>
      </c>
      <c r="G355" s="2">
        <v>2</v>
      </c>
      <c r="H355" s="1" t="s">
        <v>9</v>
      </c>
      <c r="I355" s="1">
        <v>1</v>
      </c>
      <c r="J355" s="1">
        <v>2</v>
      </c>
      <c r="L355" s="2"/>
      <c r="M355" s="2"/>
      <c r="N355" s="2"/>
      <c r="O355" s="2"/>
      <c r="P355" s="2"/>
      <c r="Q355" s="2"/>
    </row>
    <row r="356" spans="1:17">
      <c r="A356" s="1" t="s">
        <v>25</v>
      </c>
      <c r="B356" s="1" t="s">
        <v>20</v>
      </c>
      <c r="C356" s="1" t="s">
        <v>16</v>
      </c>
      <c r="D356" s="2" t="s">
        <v>123</v>
      </c>
      <c r="E356" s="4">
        <v>45826</v>
      </c>
      <c r="F356" s="2">
        <f t="shared" si="12"/>
        <v>116</v>
      </c>
      <c r="G356" s="2">
        <v>3</v>
      </c>
      <c r="H356" s="1" t="s">
        <v>9</v>
      </c>
      <c r="I356" s="1">
        <v>1</v>
      </c>
      <c r="J356" s="1">
        <v>0</v>
      </c>
      <c r="L356" s="2"/>
      <c r="M356" s="2"/>
      <c r="N356" s="2"/>
      <c r="O356" s="2"/>
      <c r="P356" s="2"/>
      <c r="Q356" s="2"/>
    </row>
    <row r="357" spans="1:17">
      <c r="A357" s="1" t="s">
        <v>25</v>
      </c>
      <c r="B357" s="1" t="s">
        <v>20</v>
      </c>
      <c r="C357" s="1" t="s">
        <v>16</v>
      </c>
      <c r="D357" s="2" t="s">
        <v>123</v>
      </c>
      <c r="E357" s="4">
        <v>45826</v>
      </c>
      <c r="F357" s="2">
        <v>116</v>
      </c>
      <c r="G357" s="2" t="s">
        <v>82</v>
      </c>
      <c r="H357" s="1" t="s">
        <v>9</v>
      </c>
      <c r="I357" s="1">
        <v>2</v>
      </c>
      <c r="J357" s="1">
        <v>5</v>
      </c>
      <c r="L357" s="2"/>
      <c r="M357" s="2"/>
      <c r="N357" s="2"/>
      <c r="O357" s="2"/>
      <c r="P357" s="2"/>
      <c r="Q357" s="2"/>
    </row>
    <row r="358" spans="1:17">
      <c r="A358" s="1" t="s">
        <v>25</v>
      </c>
      <c r="B358" s="1" t="s">
        <v>21</v>
      </c>
      <c r="C358" s="1" t="s">
        <v>16</v>
      </c>
      <c r="D358" s="2" t="s">
        <v>123</v>
      </c>
      <c r="E358" s="4">
        <v>45826</v>
      </c>
      <c r="F358" s="2">
        <f t="shared" ref="F358:F363" si="13">F355+1</f>
        <v>117</v>
      </c>
      <c r="G358" s="2">
        <v>1</v>
      </c>
      <c r="H358" s="1" t="s">
        <v>11</v>
      </c>
      <c r="I358" s="1">
        <v>7</v>
      </c>
      <c r="J358" s="1">
        <v>0</v>
      </c>
      <c r="L358" s="2"/>
      <c r="M358" s="2"/>
      <c r="N358" s="2"/>
      <c r="O358" s="2"/>
      <c r="P358" s="2"/>
      <c r="Q358" s="2"/>
    </row>
    <row r="359" spans="1:17">
      <c r="A359" s="1" t="s">
        <v>25</v>
      </c>
      <c r="B359" s="1" t="s">
        <v>21</v>
      </c>
      <c r="C359" s="1" t="s">
        <v>16</v>
      </c>
      <c r="D359" s="2" t="s">
        <v>123</v>
      </c>
      <c r="E359" s="4">
        <v>45826</v>
      </c>
      <c r="F359" s="2">
        <f t="shared" si="13"/>
        <v>117</v>
      </c>
      <c r="G359" s="2">
        <v>2</v>
      </c>
      <c r="H359" s="1" t="s">
        <v>11</v>
      </c>
      <c r="I359" s="1">
        <v>7</v>
      </c>
      <c r="J359" s="1">
        <v>0</v>
      </c>
      <c r="L359" s="2"/>
      <c r="M359" s="2"/>
      <c r="N359" s="2"/>
      <c r="O359" s="2"/>
      <c r="P359" s="2"/>
      <c r="Q359" s="2"/>
    </row>
    <row r="360" spans="1:17">
      <c r="A360" s="1" t="s">
        <v>25</v>
      </c>
      <c r="B360" s="1" t="s">
        <v>21</v>
      </c>
      <c r="C360" s="1" t="s">
        <v>16</v>
      </c>
      <c r="D360" s="2" t="s">
        <v>123</v>
      </c>
      <c r="E360" s="4">
        <v>45826</v>
      </c>
      <c r="F360" s="2">
        <f t="shared" si="13"/>
        <v>117</v>
      </c>
      <c r="G360" s="2">
        <v>3</v>
      </c>
      <c r="H360" s="1" t="s">
        <v>11</v>
      </c>
      <c r="I360" s="1">
        <v>0</v>
      </c>
      <c r="J360" s="1">
        <v>2</v>
      </c>
      <c r="L360" s="2"/>
      <c r="M360" s="2"/>
      <c r="N360" s="2"/>
      <c r="O360" s="2"/>
      <c r="P360" s="2"/>
      <c r="Q360" s="2"/>
    </row>
    <row r="361" spans="1:17">
      <c r="A361" s="1" t="s">
        <v>25</v>
      </c>
      <c r="B361" s="1" t="s">
        <v>19</v>
      </c>
      <c r="C361" s="1" t="s">
        <v>16</v>
      </c>
      <c r="D361" s="2" t="s">
        <v>123</v>
      </c>
      <c r="E361" s="4">
        <v>45826</v>
      </c>
      <c r="F361" s="2">
        <f t="shared" si="13"/>
        <v>118</v>
      </c>
      <c r="G361" s="2">
        <v>1</v>
      </c>
      <c r="H361" s="1" t="s">
        <v>9</v>
      </c>
      <c r="I361" s="1">
        <v>4</v>
      </c>
      <c r="J361" s="1">
        <v>0</v>
      </c>
      <c r="L361" s="2"/>
      <c r="M361" s="2"/>
      <c r="N361" s="2"/>
      <c r="O361" s="2"/>
      <c r="P361" s="2"/>
      <c r="Q361" s="2"/>
    </row>
    <row r="362" spans="1:17">
      <c r="A362" s="1" t="s">
        <v>25</v>
      </c>
      <c r="B362" s="1" t="s">
        <v>19</v>
      </c>
      <c r="C362" s="1" t="s">
        <v>16</v>
      </c>
      <c r="D362" s="2" t="s">
        <v>123</v>
      </c>
      <c r="E362" s="4">
        <v>45826</v>
      </c>
      <c r="F362" s="2">
        <f t="shared" si="13"/>
        <v>118</v>
      </c>
      <c r="G362" s="2">
        <v>2</v>
      </c>
      <c r="H362" s="1" t="s">
        <v>9</v>
      </c>
      <c r="I362" s="1">
        <v>2</v>
      </c>
      <c r="J362" s="1">
        <v>0</v>
      </c>
      <c r="L362" s="2"/>
      <c r="M362" s="2"/>
      <c r="N362" s="2"/>
      <c r="O362" s="2"/>
      <c r="P362" s="2"/>
      <c r="Q362" s="2"/>
    </row>
    <row r="363" spans="1:17">
      <c r="A363" s="1" t="s">
        <v>25</v>
      </c>
      <c r="B363" s="1" t="s">
        <v>19</v>
      </c>
      <c r="C363" s="1" t="s">
        <v>16</v>
      </c>
      <c r="D363" s="2" t="s">
        <v>123</v>
      </c>
      <c r="E363" s="4">
        <v>45826</v>
      </c>
      <c r="F363" s="2">
        <f t="shared" si="13"/>
        <v>118</v>
      </c>
      <c r="G363" s="2">
        <v>3</v>
      </c>
      <c r="H363" s="1" t="s">
        <v>9</v>
      </c>
      <c r="I363" s="1">
        <v>3</v>
      </c>
      <c r="J363" s="1">
        <v>5</v>
      </c>
      <c r="L363" s="2"/>
      <c r="M363" s="2"/>
      <c r="N363" s="2"/>
      <c r="O363" s="2"/>
      <c r="P363" s="2"/>
      <c r="Q363" s="2"/>
    </row>
    <row r="364" spans="1:17">
      <c r="A364" s="1" t="s">
        <v>25</v>
      </c>
      <c r="B364" s="1" t="s">
        <v>20</v>
      </c>
      <c r="C364" s="1" t="s">
        <v>16</v>
      </c>
      <c r="D364" s="2" t="s">
        <v>123</v>
      </c>
      <c r="E364" s="4">
        <v>45827</v>
      </c>
      <c r="F364" s="2">
        <f t="shared" ref="F364:F388" si="14">F361+1</f>
        <v>119</v>
      </c>
      <c r="G364" s="2">
        <v>1</v>
      </c>
      <c r="H364" s="1" t="s">
        <v>9</v>
      </c>
      <c r="I364" s="1">
        <v>3</v>
      </c>
      <c r="J364" s="1">
        <v>3</v>
      </c>
      <c r="L364" s="2"/>
      <c r="M364" s="2"/>
      <c r="N364" s="2"/>
      <c r="O364" s="2"/>
      <c r="P364" s="2"/>
      <c r="Q364" s="2"/>
    </row>
    <row r="365" spans="1:17">
      <c r="A365" s="1" t="s">
        <v>25</v>
      </c>
      <c r="B365" s="1" t="s">
        <v>20</v>
      </c>
      <c r="C365" s="1" t="s">
        <v>16</v>
      </c>
      <c r="D365" s="2" t="s">
        <v>123</v>
      </c>
      <c r="E365" s="4">
        <v>45827</v>
      </c>
      <c r="F365" s="2">
        <f t="shared" si="14"/>
        <v>119</v>
      </c>
      <c r="G365" s="2">
        <v>2</v>
      </c>
      <c r="H365" s="1" t="s">
        <v>9</v>
      </c>
      <c r="I365" s="1">
        <v>5</v>
      </c>
      <c r="J365" s="1">
        <v>5</v>
      </c>
      <c r="L365" s="2"/>
      <c r="M365" s="2"/>
      <c r="N365" s="2"/>
      <c r="O365" s="2"/>
      <c r="P365" s="2"/>
      <c r="Q365" s="2"/>
    </row>
    <row r="366" spans="1:17">
      <c r="A366" s="1" t="s">
        <v>25</v>
      </c>
      <c r="B366" s="1" t="s">
        <v>20</v>
      </c>
      <c r="C366" s="1" t="s">
        <v>16</v>
      </c>
      <c r="D366" s="2" t="s">
        <v>123</v>
      </c>
      <c r="E366" s="4">
        <v>45827</v>
      </c>
      <c r="F366" s="2">
        <f t="shared" si="14"/>
        <v>119</v>
      </c>
      <c r="G366" s="2">
        <v>3</v>
      </c>
      <c r="H366" s="1" t="s">
        <v>9</v>
      </c>
      <c r="I366" s="1">
        <v>0</v>
      </c>
      <c r="J366" s="1">
        <v>5</v>
      </c>
      <c r="L366" s="2"/>
      <c r="M366" s="2"/>
      <c r="N366" s="2"/>
      <c r="O366" s="2"/>
      <c r="P366" s="2"/>
      <c r="Q366" s="2"/>
    </row>
    <row r="367" spans="1:17">
      <c r="A367" s="1" t="s">
        <v>25</v>
      </c>
      <c r="B367" s="1" t="s">
        <v>20</v>
      </c>
      <c r="C367" s="1" t="s">
        <v>16</v>
      </c>
      <c r="D367" s="2" t="s">
        <v>123</v>
      </c>
      <c r="E367" s="4">
        <v>45827</v>
      </c>
      <c r="F367" s="2">
        <f t="shared" si="14"/>
        <v>120</v>
      </c>
      <c r="G367" s="2">
        <v>1</v>
      </c>
      <c r="H367" s="1" t="s">
        <v>11</v>
      </c>
      <c r="I367" s="1">
        <v>1</v>
      </c>
      <c r="J367" s="1">
        <v>3</v>
      </c>
      <c r="L367" s="2"/>
      <c r="M367" s="2"/>
      <c r="N367" s="2"/>
      <c r="O367" s="2"/>
      <c r="P367" s="2"/>
      <c r="Q367" s="2"/>
    </row>
    <row r="368" spans="1:17">
      <c r="A368" s="1" t="s">
        <v>25</v>
      </c>
      <c r="B368" s="1" t="s">
        <v>20</v>
      </c>
      <c r="C368" s="1" t="s">
        <v>16</v>
      </c>
      <c r="D368" s="2" t="s">
        <v>123</v>
      </c>
      <c r="E368" s="4">
        <v>45827</v>
      </c>
      <c r="F368" s="2">
        <f t="shared" si="14"/>
        <v>120</v>
      </c>
      <c r="G368" s="2">
        <v>2</v>
      </c>
      <c r="H368" s="1" t="s">
        <v>11</v>
      </c>
      <c r="I368" s="1">
        <v>4</v>
      </c>
      <c r="J368" s="1">
        <v>3</v>
      </c>
      <c r="L368" s="2"/>
      <c r="M368" s="2"/>
      <c r="N368" s="2"/>
      <c r="O368" s="2"/>
      <c r="P368" s="2"/>
      <c r="Q368" s="2"/>
    </row>
    <row r="369" spans="1:17">
      <c r="A369" s="1" t="s">
        <v>25</v>
      </c>
      <c r="B369" s="1" t="s">
        <v>20</v>
      </c>
      <c r="C369" s="1" t="s">
        <v>16</v>
      </c>
      <c r="D369" s="2" t="s">
        <v>123</v>
      </c>
      <c r="E369" s="4">
        <v>45827</v>
      </c>
      <c r="F369" s="2">
        <f t="shared" si="14"/>
        <v>120</v>
      </c>
      <c r="G369" s="2">
        <v>3</v>
      </c>
      <c r="H369" s="1" t="s">
        <v>11</v>
      </c>
      <c r="I369" s="1">
        <v>2</v>
      </c>
      <c r="J369" s="1">
        <v>1</v>
      </c>
      <c r="L369" s="2"/>
      <c r="M369" s="2"/>
      <c r="N369" s="2"/>
      <c r="O369" s="2"/>
      <c r="P369" s="2"/>
      <c r="Q369" s="2"/>
    </row>
    <row r="370" spans="1:17">
      <c r="A370" s="1" t="s">
        <v>25</v>
      </c>
      <c r="B370" s="1" t="s">
        <v>20</v>
      </c>
      <c r="C370" s="1" t="s">
        <v>16</v>
      </c>
      <c r="D370" s="2" t="s">
        <v>123</v>
      </c>
      <c r="E370" s="4">
        <v>45827</v>
      </c>
      <c r="F370" s="2">
        <v>120</v>
      </c>
      <c r="G370" s="2" t="s">
        <v>82</v>
      </c>
      <c r="H370" s="1" t="s">
        <v>11</v>
      </c>
      <c r="I370" s="1">
        <v>5</v>
      </c>
      <c r="J370" s="1">
        <v>1</v>
      </c>
      <c r="L370" s="2"/>
      <c r="M370" s="2"/>
      <c r="N370" s="2"/>
      <c r="O370" s="2"/>
      <c r="P370" s="2"/>
      <c r="Q370" s="2"/>
    </row>
    <row r="371" spans="1:17">
      <c r="A371" s="1" t="s">
        <v>25</v>
      </c>
      <c r="B371" s="1" t="s">
        <v>20</v>
      </c>
      <c r="C371" s="1" t="s">
        <v>16</v>
      </c>
      <c r="D371" s="2" t="s">
        <v>123</v>
      </c>
      <c r="E371" s="4">
        <v>45828</v>
      </c>
      <c r="F371" s="2">
        <f t="shared" si="14"/>
        <v>121</v>
      </c>
      <c r="G371" s="2">
        <v>1</v>
      </c>
      <c r="H371" s="1" t="s">
        <v>9</v>
      </c>
      <c r="I371" s="1">
        <v>1</v>
      </c>
      <c r="J371" s="1">
        <v>0</v>
      </c>
      <c r="L371" s="2"/>
      <c r="M371" s="2"/>
      <c r="N371" s="2"/>
      <c r="O371" s="2"/>
      <c r="P371" s="2"/>
      <c r="Q371" s="2"/>
    </row>
    <row r="372" spans="1:17">
      <c r="A372" s="1" t="s">
        <v>25</v>
      </c>
      <c r="B372" s="1" t="s">
        <v>20</v>
      </c>
      <c r="C372" s="1" t="s">
        <v>16</v>
      </c>
      <c r="D372" s="2" t="s">
        <v>123</v>
      </c>
      <c r="E372" s="4">
        <v>45828</v>
      </c>
      <c r="F372" s="2">
        <f t="shared" si="14"/>
        <v>121</v>
      </c>
      <c r="G372" s="2">
        <v>2</v>
      </c>
      <c r="H372" s="1" t="s">
        <v>9</v>
      </c>
      <c r="I372" s="1">
        <v>2</v>
      </c>
      <c r="J372" s="1">
        <v>2</v>
      </c>
      <c r="L372" s="2"/>
      <c r="M372" s="2"/>
      <c r="N372" s="2"/>
      <c r="O372" s="2"/>
      <c r="P372" s="2"/>
      <c r="Q372" s="2"/>
    </row>
    <row r="373" spans="1:17">
      <c r="A373" s="1" t="s">
        <v>25</v>
      </c>
      <c r="B373" s="1" t="s">
        <v>20</v>
      </c>
      <c r="C373" s="1" t="s">
        <v>16</v>
      </c>
      <c r="D373" s="2" t="s">
        <v>123</v>
      </c>
      <c r="E373" s="4">
        <v>45828</v>
      </c>
      <c r="F373" s="2">
        <f t="shared" si="14"/>
        <v>121</v>
      </c>
      <c r="G373" s="2">
        <v>3</v>
      </c>
      <c r="H373" s="1" t="s">
        <v>9</v>
      </c>
      <c r="I373" s="1">
        <v>7</v>
      </c>
      <c r="J373" s="1">
        <v>4</v>
      </c>
      <c r="L373" s="2"/>
      <c r="M373" s="2"/>
      <c r="N373" s="2"/>
      <c r="O373" s="2"/>
      <c r="P373" s="2"/>
      <c r="Q373" s="2"/>
    </row>
    <row r="374" spans="1:17">
      <c r="A374" s="1" t="s">
        <v>25</v>
      </c>
      <c r="B374" s="1" t="s">
        <v>19</v>
      </c>
      <c r="C374" s="1" t="s">
        <v>16</v>
      </c>
      <c r="D374" s="2" t="s">
        <v>123</v>
      </c>
      <c r="E374" s="4">
        <v>45828</v>
      </c>
      <c r="F374" s="2">
        <f t="shared" si="14"/>
        <v>122</v>
      </c>
      <c r="G374" s="2">
        <v>1</v>
      </c>
      <c r="H374" s="1" t="s">
        <v>11</v>
      </c>
      <c r="I374" s="1">
        <v>0</v>
      </c>
      <c r="J374" s="1">
        <v>1</v>
      </c>
      <c r="L374" s="2"/>
      <c r="M374" s="2"/>
      <c r="N374" s="2"/>
      <c r="O374" s="2"/>
      <c r="P374" s="2"/>
      <c r="Q374" s="2"/>
    </row>
    <row r="375" spans="1:17">
      <c r="A375" s="1" t="s">
        <v>25</v>
      </c>
      <c r="B375" s="1" t="s">
        <v>19</v>
      </c>
      <c r="C375" s="1" t="s">
        <v>16</v>
      </c>
      <c r="D375" s="2" t="s">
        <v>123</v>
      </c>
      <c r="E375" s="4">
        <v>45828</v>
      </c>
      <c r="F375" s="2">
        <f t="shared" si="14"/>
        <v>122</v>
      </c>
      <c r="G375" s="2">
        <v>2</v>
      </c>
      <c r="H375" s="1" t="s">
        <v>11</v>
      </c>
      <c r="I375" s="1">
        <v>4</v>
      </c>
      <c r="J375" s="1">
        <v>4</v>
      </c>
      <c r="L375" s="2"/>
      <c r="M375" s="2"/>
      <c r="N375" s="2"/>
      <c r="O375" s="2"/>
      <c r="P375" s="2"/>
      <c r="Q375" s="2"/>
    </row>
    <row r="376" spans="1:17">
      <c r="A376" s="1" t="s">
        <v>25</v>
      </c>
      <c r="B376" s="1" t="s">
        <v>19</v>
      </c>
      <c r="C376" s="1" t="s">
        <v>16</v>
      </c>
      <c r="D376" s="2" t="s">
        <v>123</v>
      </c>
      <c r="E376" s="4">
        <v>45828</v>
      </c>
      <c r="F376" s="2">
        <f t="shared" si="14"/>
        <v>122</v>
      </c>
      <c r="G376" s="2">
        <v>3</v>
      </c>
      <c r="H376" s="1" t="s">
        <v>11</v>
      </c>
      <c r="I376" s="1">
        <v>3</v>
      </c>
      <c r="J376" s="1">
        <v>6</v>
      </c>
      <c r="L376" s="2"/>
      <c r="M376" s="2"/>
      <c r="N376" s="2"/>
      <c r="O376" s="2"/>
      <c r="P376" s="2"/>
      <c r="Q376" s="2"/>
    </row>
    <row r="377" spans="1:17">
      <c r="A377" s="1" t="s">
        <v>25</v>
      </c>
      <c r="B377" s="1" t="s">
        <v>21</v>
      </c>
      <c r="C377" s="1" t="s">
        <v>16</v>
      </c>
      <c r="D377" s="2" t="s">
        <v>123</v>
      </c>
      <c r="E377" s="4">
        <v>45828</v>
      </c>
      <c r="F377" s="2">
        <f t="shared" si="14"/>
        <v>123</v>
      </c>
      <c r="G377" s="2">
        <v>1</v>
      </c>
      <c r="H377" s="1" t="s">
        <v>9</v>
      </c>
      <c r="I377" s="1">
        <v>5</v>
      </c>
      <c r="J377" s="1">
        <v>3</v>
      </c>
      <c r="L377" s="2"/>
      <c r="M377" s="2"/>
      <c r="N377" s="2"/>
      <c r="O377" s="2"/>
      <c r="P377" s="2"/>
      <c r="Q377" s="2"/>
    </row>
    <row r="378" spans="1:17">
      <c r="A378" s="1" t="s">
        <v>25</v>
      </c>
      <c r="B378" s="1" t="s">
        <v>21</v>
      </c>
      <c r="C378" s="1" t="s">
        <v>16</v>
      </c>
      <c r="D378" s="2" t="s">
        <v>123</v>
      </c>
      <c r="E378" s="4">
        <v>45828</v>
      </c>
      <c r="F378" s="2">
        <f t="shared" si="14"/>
        <v>123</v>
      </c>
      <c r="G378" s="2">
        <v>2</v>
      </c>
      <c r="H378" s="1" t="s">
        <v>9</v>
      </c>
      <c r="I378" s="1">
        <v>3</v>
      </c>
      <c r="J378" s="1">
        <v>0</v>
      </c>
      <c r="L378" s="2"/>
      <c r="M378" s="2"/>
      <c r="N378" s="2"/>
      <c r="O378" s="2"/>
      <c r="P378" s="2"/>
      <c r="Q378" s="2"/>
    </row>
    <row r="379" spans="1:17">
      <c r="A379" s="1" t="s">
        <v>25</v>
      </c>
      <c r="B379" s="1" t="s">
        <v>21</v>
      </c>
      <c r="C379" s="1" t="s">
        <v>16</v>
      </c>
      <c r="D379" s="2" t="s">
        <v>123</v>
      </c>
      <c r="E379" s="4">
        <v>45828</v>
      </c>
      <c r="F379" s="2">
        <f t="shared" si="14"/>
        <v>123</v>
      </c>
      <c r="G379" s="2">
        <v>3</v>
      </c>
      <c r="H379" s="1" t="s">
        <v>9</v>
      </c>
      <c r="I379" s="1">
        <v>3</v>
      </c>
      <c r="J379" s="1">
        <v>0</v>
      </c>
      <c r="L379" s="2"/>
      <c r="M379" s="2"/>
      <c r="N379" s="2"/>
      <c r="O379" s="2"/>
      <c r="P379" s="2"/>
      <c r="Q379" s="2"/>
    </row>
    <row r="380" spans="1:17">
      <c r="A380" s="1" t="s">
        <v>25</v>
      </c>
      <c r="B380" s="1" t="s">
        <v>20</v>
      </c>
      <c r="C380" s="1" t="s">
        <v>16</v>
      </c>
      <c r="D380" s="2" t="s">
        <v>123</v>
      </c>
      <c r="E380" s="4">
        <v>45831</v>
      </c>
      <c r="F380" s="2">
        <f t="shared" si="14"/>
        <v>124</v>
      </c>
      <c r="G380" s="2">
        <v>1</v>
      </c>
      <c r="H380" s="1" t="s">
        <v>77</v>
      </c>
      <c r="J380" s="1">
        <v>4</v>
      </c>
      <c r="L380" s="2"/>
      <c r="M380" s="2"/>
      <c r="N380" s="2"/>
      <c r="O380" s="2"/>
      <c r="P380" s="2">
        <v>2</v>
      </c>
      <c r="Q380" s="2"/>
    </row>
    <row r="381" spans="1:17">
      <c r="A381" s="1" t="s">
        <v>25</v>
      </c>
      <c r="B381" s="1" t="s">
        <v>20</v>
      </c>
      <c r="C381" s="1" t="s">
        <v>16</v>
      </c>
      <c r="D381" s="2" t="s">
        <v>123</v>
      </c>
      <c r="E381" s="4">
        <v>45831</v>
      </c>
      <c r="F381" s="2">
        <f t="shared" si="14"/>
        <v>124</v>
      </c>
      <c r="G381" s="2">
        <v>2</v>
      </c>
      <c r="H381" s="1" t="s">
        <v>77</v>
      </c>
      <c r="J381" s="1">
        <v>3</v>
      </c>
      <c r="L381" s="2"/>
      <c r="M381" s="2"/>
      <c r="N381" s="2"/>
      <c r="O381" s="2"/>
      <c r="P381" s="2">
        <v>0</v>
      </c>
      <c r="Q381" s="2"/>
    </row>
    <row r="382" spans="1:17">
      <c r="A382" s="1" t="s">
        <v>25</v>
      </c>
      <c r="B382" s="1" t="s">
        <v>20</v>
      </c>
      <c r="C382" s="1" t="s">
        <v>16</v>
      </c>
      <c r="D382" s="2" t="s">
        <v>123</v>
      </c>
      <c r="E382" s="4">
        <v>45831</v>
      </c>
      <c r="F382" s="2">
        <f t="shared" si="14"/>
        <v>124</v>
      </c>
      <c r="G382" s="2">
        <v>3</v>
      </c>
      <c r="H382" s="1" t="s">
        <v>77</v>
      </c>
      <c r="J382" s="1">
        <v>5</v>
      </c>
      <c r="L382" s="2"/>
      <c r="M382" s="2"/>
      <c r="N382" s="2"/>
      <c r="O382" s="2"/>
      <c r="P382" s="2">
        <v>0</v>
      </c>
      <c r="Q382" s="2"/>
    </row>
    <row r="383" spans="1:17">
      <c r="A383" s="1" t="s">
        <v>25</v>
      </c>
      <c r="B383" s="1" t="s">
        <v>20</v>
      </c>
      <c r="C383" s="1" t="s">
        <v>16</v>
      </c>
      <c r="D383" s="2" t="s">
        <v>123</v>
      </c>
      <c r="E383" s="4">
        <v>45831</v>
      </c>
      <c r="F383" s="2">
        <f t="shared" si="14"/>
        <v>125</v>
      </c>
      <c r="G383" s="2">
        <v>1</v>
      </c>
      <c r="H383" s="1" t="s">
        <v>11</v>
      </c>
      <c r="I383" s="1">
        <v>5</v>
      </c>
      <c r="J383" s="1">
        <v>5</v>
      </c>
      <c r="L383" s="2"/>
      <c r="M383" s="2"/>
      <c r="N383" s="2"/>
      <c r="O383" s="2"/>
      <c r="P383" s="2"/>
      <c r="Q383" s="2"/>
    </row>
    <row r="384" spans="1:17">
      <c r="A384" s="1" t="s">
        <v>25</v>
      </c>
      <c r="B384" s="1" t="s">
        <v>20</v>
      </c>
      <c r="C384" s="1" t="s">
        <v>16</v>
      </c>
      <c r="D384" s="2" t="s">
        <v>123</v>
      </c>
      <c r="E384" s="4">
        <v>45831</v>
      </c>
      <c r="F384" s="2">
        <f t="shared" si="14"/>
        <v>125</v>
      </c>
      <c r="G384" s="2">
        <v>2</v>
      </c>
      <c r="H384" s="1" t="s">
        <v>11</v>
      </c>
      <c r="I384" s="1">
        <v>1</v>
      </c>
      <c r="J384" s="1">
        <v>2</v>
      </c>
      <c r="L384" s="2"/>
      <c r="M384" s="2"/>
      <c r="N384" s="2"/>
      <c r="O384" s="2"/>
      <c r="P384" s="2"/>
      <c r="Q384" s="2"/>
    </row>
    <row r="385" spans="1:17">
      <c r="A385" s="1" t="s">
        <v>25</v>
      </c>
      <c r="B385" s="1" t="s">
        <v>20</v>
      </c>
      <c r="C385" s="1" t="s">
        <v>16</v>
      </c>
      <c r="D385" s="2" t="s">
        <v>123</v>
      </c>
      <c r="E385" s="4">
        <v>45831</v>
      </c>
      <c r="F385" s="2">
        <f t="shared" si="14"/>
        <v>125</v>
      </c>
      <c r="G385" s="2">
        <v>3</v>
      </c>
      <c r="H385" s="1" t="s">
        <v>11</v>
      </c>
      <c r="I385" s="1">
        <v>3</v>
      </c>
      <c r="J385" s="1">
        <v>3</v>
      </c>
      <c r="L385" s="2"/>
      <c r="M385" s="2"/>
      <c r="N385" s="2"/>
      <c r="O385" s="2"/>
      <c r="P385" s="2"/>
      <c r="Q385" s="2"/>
    </row>
    <row r="386" spans="1:17">
      <c r="A386" s="1" t="s">
        <v>25</v>
      </c>
      <c r="B386" s="1" t="s">
        <v>20</v>
      </c>
      <c r="C386" s="1" t="s">
        <v>16</v>
      </c>
      <c r="D386" s="2" t="s">
        <v>123</v>
      </c>
      <c r="E386" s="4">
        <v>45832</v>
      </c>
      <c r="F386" s="2">
        <f t="shared" si="14"/>
        <v>126</v>
      </c>
      <c r="G386" s="2">
        <v>1</v>
      </c>
      <c r="H386" s="1" t="s">
        <v>9</v>
      </c>
      <c r="I386" s="1">
        <v>0</v>
      </c>
      <c r="J386" s="1">
        <v>0</v>
      </c>
      <c r="L386" s="2"/>
      <c r="M386" s="2"/>
      <c r="N386" s="2"/>
      <c r="O386" s="2"/>
      <c r="P386" s="2"/>
      <c r="Q386" s="2"/>
    </row>
    <row r="387" spans="1:17">
      <c r="A387" s="1" t="s">
        <v>25</v>
      </c>
      <c r="B387" s="1" t="s">
        <v>20</v>
      </c>
      <c r="C387" s="1" t="s">
        <v>16</v>
      </c>
      <c r="D387" s="2" t="s">
        <v>123</v>
      </c>
      <c r="E387" s="4">
        <v>45832</v>
      </c>
      <c r="F387" s="2">
        <f t="shared" si="14"/>
        <v>126</v>
      </c>
      <c r="G387" s="2">
        <v>2</v>
      </c>
      <c r="H387" s="1" t="s">
        <v>9</v>
      </c>
      <c r="I387" s="1">
        <v>2</v>
      </c>
      <c r="J387" s="1">
        <v>3</v>
      </c>
      <c r="L387" s="2"/>
      <c r="M387" s="2"/>
      <c r="N387" s="2"/>
      <c r="O387" s="2"/>
      <c r="P387" s="2"/>
      <c r="Q387" s="2"/>
    </row>
    <row r="388" spans="1:17">
      <c r="A388" s="1" t="s">
        <v>25</v>
      </c>
      <c r="B388" s="1" t="s">
        <v>20</v>
      </c>
      <c r="C388" s="1" t="s">
        <v>16</v>
      </c>
      <c r="D388" s="2" t="s">
        <v>123</v>
      </c>
      <c r="E388" s="4">
        <v>45832</v>
      </c>
      <c r="F388" s="2">
        <f t="shared" si="14"/>
        <v>126</v>
      </c>
      <c r="G388" s="2">
        <v>3</v>
      </c>
      <c r="H388" s="1" t="s">
        <v>9</v>
      </c>
      <c r="I388" s="1">
        <v>2</v>
      </c>
      <c r="J388" s="1">
        <v>1</v>
      </c>
      <c r="L388" s="2"/>
      <c r="M388" s="2"/>
      <c r="N388" s="2"/>
      <c r="O388" s="2"/>
      <c r="P388" s="2"/>
      <c r="Q388" s="2"/>
    </row>
    <row r="389" spans="1:17">
      <c r="A389" s="1" t="s">
        <v>25</v>
      </c>
      <c r="B389" s="1" t="s">
        <v>20</v>
      </c>
      <c r="C389" s="1" t="s">
        <v>16</v>
      </c>
      <c r="D389" s="2" t="s">
        <v>123</v>
      </c>
      <c r="E389" s="4">
        <v>45832</v>
      </c>
      <c r="F389" s="2">
        <v>126</v>
      </c>
      <c r="G389" s="2" t="s">
        <v>82</v>
      </c>
      <c r="H389" s="1" t="s">
        <v>9</v>
      </c>
      <c r="I389" s="1">
        <v>0</v>
      </c>
      <c r="J389" s="1">
        <v>0</v>
      </c>
      <c r="L389" s="2"/>
      <c r="M389" s="2"/>
      <c r="N389" s="2"/>
      <c r="O389" s="2"/>
      <c r="P389" s="2"/>
      <c r="Q389" s="2"/>
    </row>
    <row r="390" spans="1:17">
      <c r="A390" s="1" t="s">
        <v>25</v>
      </c>
      <c r="B390" s="1" t="s">
        <v>20</v>
      </c>
      <c r="C390" s="1" t="s">
        <v>16</v>
      </c>
      <c r="D390" s="2" t="s">
        <v>123</v>
      </c>
      <c r="E390" s="4">
        <v>45832</v>
      </c>
      <c r="F390" s="2">
        <v>126</v>
      </c>
      <c r="G390" s="2" t="s">
        <v>83</v>
      </c>
      <c r="H390" s="1" t="s">
        <v>9</v>
      </c>
      <c r="I390" s="1">
        <v>5</v>
      </c>
      <c r="J390" s="1">
        <v>1</v>
      </c>
      <c r="L390" s="2"/>
      <c r="M390" s="2"/>
      <c r="N390" s="2"/>
      <c r="O390" s="2"/>
      <c r="P390" s="2"/>
      <c r="Q390" s="2"/>
    </row>
    <row r="391" spans="1:17">
      <c r="A391" s="1" t="s">
        <v>25</v>
      </c>
      <c r="B391" s="1" t="s">
        <v>20</v>
      </c>
      <c r="C391" s="1" t="s">
        <v>16</v>
      </c>
      <c r="D391" s="2" t="s">
        <v>123</v>
      </c>
      <c r="E391" s="4">
        <v>45832</v>
      </c>
      <c r="F391" s="2">
        <f t="shared" ref="F391:F432" si="15">F388+1</f>
        <v>127</v>
      </c>
      <c r="G391" s="2">
        <v>1</v>
      </c>
      <c r="H391" s="1" t="s">
        <v>84</v>
      </c>
      <c r="I391" s="1">
        <v>0</v>
      </c>
      <c r="J391" s="1">
        <v>3</v>
      </c>
      <c r="K391" s="1">
        <v>0</v>
      </c>
      <c r="L391" s="2"/>
      <c r="M391" s="2"/>
      <c r="N391" s="2"/>
      <c r="O391" s="2"/>
      <c r="P391" s="2"/>
      <c r="Q391" s="2"/>
    </row>
    <row r="392" spans="1:17">
      <c r="A392" s="1" t="s">
        <v>25</v>
      </c>
      <c r="B392" s="1" t="s">
        <v>20</v>
      </c>
      <c r="C392" s="1" t="s">
        <v>16</v>
      </c>
      <c r="D392" s="2" t="s">
        <v>123</v>
      </c>
      <c r="E392" s="4">
        <v>45832</v>
      </c>
      <c r="F392" s="2">
        <f t="shared" si="15"/>
        <v>127</v>
      </c>
      <c r="G392" s="2">
        <v>2</v>
      </c>
      <c r="H392" s="1" t="s">
        <v>84</v>
      </c>
      <c r="I392" s="1">
        <v>2</v>
      </c>
      <c r="J392" s="1">
        <v>5</v>
      </c>
      <c r="K392" s="1">
        <v>3</v>
      </c>
      <c r="L392" s="2"/>
      <c r="M392" s="2"/>
      <c r="N392" s="2"/>
      <c r="O392" s="2"/>
      <c r="P392" s="2"/>
      <c r="Q392" s="2"/>
    </row>
    <row r="393" spans="1:17">
      <c r="A393" s="1" t="s">
        <v>25</v>
      </c>
      <c r="B393" s="1" t="s">
        <v>20</v>
      </c>
      <c r="C393" s="1" t="s">
        <v>16</v>
      </c>
      <c r="D393" s="2" t="s">
        <v>123</v>
      </c>
      <c r="E393" s="4">
        <v>45832</v>
      </c>
      <c r="F393" s="2">
        <f t="shared" si="15"/>
        <v>127</v>
      </c>
      <c r="G393" s="2">
        <v>3</v>
      </c>
      <c r="H393" s="1" t="s">
        <v>84</v>
      </c>
      <c r="I393" s="1">
        <v>0</v>
      </c>
      <c r="J393" s="1">
        <v>3</v>
      </c>
      <c r="K393" s="1">
        <v>1</v>
      </c>
      <c r="L393" s="2"/>
      <c r="M393" s="2"/>
      <c r="N393" s="2"/>
      <c r="O393" s="2"/>
      <c r="P393" s="2"/>
      <c r="Q393" s="2"/>
    </row>
    <row r="394" spans="1:17">
      <c r="A394" s="1" t="s">
        <v>25</v>
      </c>
      <c r="B394" s="1" t="s">
        <v>20</v>
      </c>
      <c r="C394" s="1" t="s">
        <v>16</v>
      </c>
      <c r="D394" s="2" t="s">
        <v>123</v>
      </c>
      <c r="E394" s="4">
        <v>45832</v>
      </c>
      <c r="F394" s="2">
        <f t="shared" si="15"/>
        <v>128</v>
      </c>
      <c r="G394" s="2">
        <v>1</v>
      </c>
      <c r="H394" s="1" t="s">
        <v>9</v>
      </c>
      <c r="I394" s="1">
        <v>3</v>
      </c>
      <c r="J394" s="1">
        <v>0</v>
      </c>
      <c r="L394" s="2"/>
      <c r="M394" s="2"/>
      <c r="N394" s="2"/>
      <c r="O394" s="2"/>
      <c r="P394" s="2"/>
      <c r="Q394" s="2"/>
    </row>
    <row r="395" spans="1:17">
      <c r="A395" s="1" t="s">
        <v>25</v>
      </c>
      <c r="B395" s="1" t="s">
        <v>20</v>
      </c>
      <c r="C395" s="1" t="s">
        <v>16</v>
      </c>
      <c r="D395" s="2" t="s">
        <v>123</v>
      </c>
      <c r="E395" s="4">
        <v>45832</v>
      </c>
      <c r="F395" s="2">
        <f t="shared" si="15"/>
        <v>128</v>
      </c>
      <c r="G395" s="2">
        <v>2</v>
      </c>
      <c r="H395" s="1" t="s">
        <v>9</v>
      </c>
      <c r="I395" s="1">
        <v>2</v>
      </c>
      <c r="J395" s="1">
        <v>1</v>
      </c>
      <c r="L395" s="2"/>
      <c r="M395" s="2"/>
      <c r="N395" s="2"/>
      <c r="O395" s="2"/>
      <c r="P395" s="2"/>
      <c r="Q395" s="2"/>
    </row>
    <row r="396" spans="1:17">
      <c r="A396" s="1" t="s">
        <v>25</v>
      </c>
      <c r="B396" s="1" t="s">
        <v>20</v>
      </c>
      <c r="C396" s="1" t="s">
        <v>16</v>
      </c>
      <c r="D396" s="2" t="s">
        <v>123</v>
      </c>
      <c r="E396" s="4">
        <v>45832</v>
      </c>
      <c r="F396" s="2">
        <f t="shared" si="15"/>
        <v>128</v>
      </c>
      <c r="G396" s="2">
        <v>3</v>
      </c>
      <c r="H396" s="1" t="s">
        <v>9</v>
      </c>
      <c r="I396" s="1">
        <v>2</v>
      </c>
      <c r="J396" s="1">
        <v>1</v>
      </c>
      <c r="L396" s="2"/>
      <c r="M396" s="2"/>
      <c r="N396" s="2"/>
      <c r="O396" s="2"/>
      <c r="P396" s="2"/>
      <c r="Q396" s="2"/>
    </row>
    <row r="397" spans="1:17">
      <c r="A397" s="1" t="s">
        <v>25</v>
      </c>
      <c r="B397" s="1" t="s">
        <v>20</v>
      </c>
      <c r="C397" s="1" t="s">
        <v>16</v>
      </c>
      <c r="D397" s="2" t="s">
        <v>123</v>
      </c>
      <c r="E397" s="4">
        <v>45833</v>
      </c>
      <c r="F397" s="2">
        <f t="shared" si="15"/>
        <v>129</v>
      </c>
      <c r="G397" s="2">
        <v>1</v>
      </c>
      <c r="H397" s="1" t="s">
        <v>11</v>
      </c>
      <c r="I397" s="1">
        <v>0</v>
      </c>
      <c r="J397" s="1">
        <v>1</v>
      </c>
      <c r="L397" s="2"/>
      <c r="M397" s="2"/>
      <c r="N397" s="2"/>
      <c r="O397" s="2"/>
      <c r="P397" s="2"/>
      <c r="Q397" s="2"/>
    </row>
    <row r="398" spans="1:17">
      <c r="A398" s="1" t="s">
        <v>25</v>
      </c>
      <c r="B398" s="1" t="s">
        <v>20</v>
      </c>
      <c r="C398" s="1" t="s">
        <v>16</v>
      </c>
      <c r="D398" s="2" t="s">
        <v>123</v>
      </c>
      <c r="E398" s="4">
        <v>45833</v>
      </c>
      <c r="F398" s="2">
        <f t="shared" si="15"/>
        <v>129</v>
      </c>
      <c r="G398" s="2">
        <v>2</v>
      </c>
      <c r="H398" s="1" t="s">
        <v>11</v>
      </c>
      <c r="I398" s="1">
        <v>0</v>
      </c>
      <c r="J398" s="1">
        <v>4</v>
      </c>
      <c r="L398" s="2"/>
      <c r="M398" s="2"/>
      <c r="N398" s="2"/>
      <c r="O398" s="2"/>
      <c r="P398" s="2"/>
      <c r="Q398" s="2"/>
    </row>
    <row r="399" spans="1:17">
      <c r="A399" s="1" t="s">
        <v>25</v>
      </c>
      <c r="B399" s="1" t="s">
        <v>20</v>
      </c>
      <c r="C399" s="1" t="s">
        <v>16</v>
      </c>
      <c r="D399" s="2" t="s">
        <v>123</v>
      </c>
      <c r="E399" s="4">
        <v>45833</v>
      </c>
      <c r="F399" s="2">
        <f t="shared" si="15"/>
        <v>129</v>
      </c>
      <c r="G399" s="2">
        <v>3</v>
      </c>
      <c r="H399" s="1" t="s">
        <v>11</v>
      </c>
      <c r="I399" s="1">
        <v>0</v>
      </c>
      <c r="J399" s="1">
        <v>2</v>
      </c>
      <c r="L399" s="2"/>
      <c r="M399" s="2"/>
      <c r="N399" s="2"/>
      <c r="O399" s="2"/>
      <c r="P399" s="2"/>
      <c r="Q399" s="2"/>
    </row>
    <row r="400" spans="1:17">
      <c r="A400" s="1" t="s">
        <v>25</v>
      </c>
      <c r="B400" s="1" t="s">
        <v>20</v>
      </c>
      <c r="C400" s="1" t="s">
        <v>16</v>
      </c>
      <c r="D400" s="2" t="s">
        <v>123</v>
      </c>
      <c r="E400" s="4">
        <v>45833</v>
      </c>
      <c r="F400" s="2">
        <f t="shared" si="15"/>
        <v>130</v>
      </c>
      <c r="G400" s="2">
        <v>1</v>
      </c>
      <c r="H400" s="1" t="s">
        <v>94</v>
      </c>
      <c r="I400" s="1">
        <v>3</v>
      </c>
      <c r="J400" s="1">
        <v>0</v>
      </c>
      <c r="L400" s="2"/>
      <c r="M400" s="2"/>
      <c r="N400" s="2"/>
      <c r="O400" s="2"/>
      <c r="P400" s="2">
        <v>0</v>
      </c>
      <c r="Q400" s="2"/>
    </row>
    <row r="401" spans="1:17">
      <c r="A401" s="1" t="s">
        <v>25</v>
      </c>
      <c r="B401" s="1" t="s">
        <v>20</v>
      </c>
      <c r="C401" s="1" t="s">
        <v>16</v>
      </c>
      <c r="D401" s="2" t="s">
        <v>123</v>
      </c>
      <c r="E401" s="4">
        <v>45833</v>
      </c>
      <c r="F401" s="2">
        <f t="shared" si="15"/>
        <v>130</v>
      </c>
      <c r="G401" s="2">
        <v>2</v>
      </c>
      <c r="H401" s="1" t="s">
        <v>94</v>
      </c>
      <c r="I401" s="1">
        <v>7</v>
      </c>
      <c r="J401" s="1">
        <v>0</v>
      </c>
      <c r="L401" s="2"/>
      <c r="M401" s="2"/>
      <c r="N401" s="2"/>
      <c r="O401" s="2"/>
      <c r="P401" s="2">
        <v>1</v>
      </c>
      <c r="Q401" s="2"/>
    </row>
    <row r="402" spans="1:17">
      <c r="A402" s="1" t="s">
        <v>25</v>
      </c>
      <c r="B402" s="1" t="s">
        <v>20</v>
      </c>
      <c r="C402" s="1" t="s">
        <v>16</v>
      </c>
      <c r="D402" s="2" t="s">
        <v>123</v>
      </c>
      <c r="E402" s="4">
        <v>45833</v>
      </c>
      <c r="F402" s="2">
        <f t="shared" si="15"/>
        <v>130</v>
      </c>
      <c r="G402" s="2">
        <v>3</v>
      </c>
      <c r="H402" s="1" t="s">
        <v>94</v>
      </c>
      <c r="I402" s="1">
        <v>4</v>
      </c>
      <c r="J402" s="1">
        <v>0</v>
      </c>
      <c r="L402" s="2"/>
      <c r="M402" s="2"/>
      <c r="N402" s="2"/>
      <c r="O402" s="2"/>
      <c r="P402" s="2">
        <v>0</v>
      </c>
      <c r="Q402" s="2"/>
    </row>
    <row r="403" spans="1:17">
      <c r="A403" s="1" t="s">
        <v>25</v>
      </c>
      <c r="B403" s="1" t="s">
        <v>20</v>
      </c>
      <c r="C403" s="1" t="s">
        <v>16</v>
      </c>
      <c r="D403" s="2" t="s">
        <v>123</v>
      </c>
      <c r="E403" s="4">
        <v>45833</v>
      </c>
      <c r="F403" s="2">
        <f t="shared" si="15"/>
        <v>131</v>
      </c>
      <c r="G403" s="2">
        <v>1</v>
      </c>
      <c r="H403" s="1" t="s">
        <v>9</v>
      </c>
      <c r="I403" s="1">
        <v>0</v>
      </c>
      <c r="J403" s="1">
        <v>1</v>
      </c>
      <c r="L403" s="2"/>
      <c r="M403" s="2"/>
      <c r="N403" s="2"/>
      <c r="O403" s="2"/>
      <c r="P403" s="2"/>
      <c r="Q403" s="2"/>
    </row>
    <row r="404" spans="1:17">
      <c r="A404" s="1" t="s">
        <v>25</v>
      </c>
      <c r="B404" s="1" t="s">
        <v>20</v>
      </c>
      <c r="C404" s="1" t="s">
        <v>16</v>
      </c>
      <c r="D404" s="2" t="s">
        <v>123</v>
      </c>
      <c r="E404" s="4">
        <v>45833</v>
      </c>
      <c r="F404" s="2">
        <f t="shared" si="15"/>
        <v>131</v>
      </c>
      <c r="G404" s="2">
        <v>2</v>
      </c>
      <c r="H404" s="1" t="s">
        <v>9</v>
      </c>
      <c r="I404" s="1">
        <v>3</v>
      </c>
      <c r="J404" s="1">
        <v>1</v>
      </c>
      <c r="L404" s="2"/>
      <c r="M404" s="2"/>
      <c r="N404" s="2"/>
      <c r="O404" s="2"/>
      <c r="P404" s="2"/>
      <c r="Q404" s="2"/>
    </row>
    <row r="405" spans="1:17">
      <c r="A405" s="1" t="s">
        <v>25</v>
      </c>
      <c r="B405" s="1" t="s">
        <v>20</v>
      </c>
      <c r="C405" s="1" t="s">
        <v>16</v>
      </c>
      <c r="D405" s="2" t="s">
        <v>123</v>
      </c>
      <c r="E405" s="4">
        <v>45833</v>
      </c>
      <c r="F405" s="2">
        <f t="shared" si="15"/>
        <v>131</v>
      </c>
      <c r="G405" s="2">
        <v>3</v>
      </c>
      <c r="H405" s="1" t="s">
        <v>9</v>
      </c>
      <c r="I405" s="1">
        <v>1</v>
      </c>
      <c r="J405" s="1">
        <v>2</v>
      </c>
      <c r="L405" s="2"/>
      <c r="M405" s="2"/>
      <c r="N405" s="2"/>
      <c r="O405" s="2"/>
      <c r="P405" s="2"/>
      <c r="Q405" s="2"/>
    </row>
    <row r="406" spans="1:17">
      <c r="A406" s="1" t="s">
        <v>25</v>
      </c>
      <c r="B406" s="1" t="s">
        <v>20</v>
      </c>
      <c r="C406" s="1" t="s">
        <v>16</v>
      </c>
      <c r="D406" s="2" t="s">
        <v>123</v>
      </c>
      <c r="E406" s="4">
        <v>45833</v>
      </c>
      <c r="F406" s="2">
        <v>131</v>
      </c>
      <c r="G406" s="2" t="s">
        <v>82</v>
      </c>
      <c r="H406" s="1" t="s">
        <v>9</v>
      </c>
      <c r="I406" s="1">
        <v>5</v>
      </c>
      <c r="J406" s="1">
        <v>3</v>
      </c>
      <c r="L406" s="2"/>
      <c r="M406" s="2"/>
      <c r="N406" s="2"/>
      <c r="O406" s="2"/>
      <c r="P406" s="2"/>
      <c r="Q406" s="2"/>
    </row>
    <row r="407" spans="1:17">
      <c r="A407" s="1" t="s">
        <v>25</v>
      </c>
      <c r="B407" s="1" t="s">
        <v>20</v>
      </c>
      <c r="C407" s="1" t="s">
        <v>16</v>
      </c>
      <c r="D407" s="2" t="s">
        <v>123</v>
      </c>
      <c r="E407" s="4">
        <v>45834</v>
      </c>
      <c r="F407" s="2">
        <f t="shared" si="15"/>
        <v>132</v>
      </c>
      <c r="G407" s="2">
        <v>1</v>
      </c>
      <c r="H407" s="1" t="s">
        <v>100</v>
      </c>
      <c r="I407" s="1">
        <v>5</v>
      </c>
      <c r="J407" s="1">
        <v>0</v>
      </c>
      <c r="L407" s="2"/>
      <c r="M407" s="2"/>
      <c r="N407" s="2"/>
      <c r="O407" s="2"/>
      <c r="P407" s="2">
        <v>0</v>
      </c>
      <c r="Q407" s="2"/>
    </row>
    <row r="408" spans="1:17">
      <c r="A408" s="1" t="s">
        <v>25</v>
      </c>
      <c r="B408" s="1" t="s">
        <v>20</v>
      </c>
      <c r="C408" s="1" t="s">
        <v>16</v>
      </c>
      <c r="D408" s="2" t="s">
        <v>123</v>
      </c>
      <c r="E408" s="4">
        <v>45834</v>
      </c>
      <c r="F408" s="2">
        <f t="shared" si="15"/>
        <v>132</v>
      </c>
      <c r="G408" s="2">
        <v>2</v>
      </c>
      <c r="H408" s="1" t="s">
        <v>100</v>
      </c>
      <c r="I408" s="1">
        <v>0</v>
      </c>
      <c r="J408" s="1">
        <v>4</v>
      </c>
      <c r="L408" s="2"/>
      <c r="M408" s="2"/>
      <c r="N408" s="2"/>
      <c r="O408" s="2"/>
      <c r="P408" s="2">
        <v>0</v>
      </c>
      <c r="Q408" s="2"/>
    </row>
    <row r="409" spans="1:17">
      <c r="A409" s="1" t="s">
        <v>25</v>
      </c>
      <c r="B409" s="1" t="s">
        <v>20</v>
      </c>
      <c r="C409" s="1" t="s">
        <v>16</v>
      </c>
      <c r="D409" s="2" t="s">
        <v>123</v>
      </c>
      <c r="E409" s="4">
        <v>45834</v>
      </c>
      <c r="F409" s="2">
        <f t="shared" si="15"/>
        <v>132</v>
      </c>
      <c r="G409" s="2">
        <v>3</v>
      </c>
      <c r="H409" s="1" t="s">
        <v>100</v>
      </c>
      <c r="I409" s="1">
        <v>5</v>
      </c>
      <c r="J409" s="1">
        <v>0</v>
      </c>
      <c r="L409" s="2"/>
      <c r="M409" s="2"/>
      <c r="N409" s="2"/>
      <c r="O409" s="2"/>
      <c r="P409" s="2">
        <v>4</v>
      </c>
      <c r="Q409" s="2"/>
    </row>
    <row r="410" spans="1:17">
      <c r="A410" s="1" t="s">
        <v>25</v>
      </c>
      <c r="B410" s="1" t="s">
        <v>20</v>
      </c>
      <c r="C410" s="1" t="s">
        <v>16</v>
      </c>
      <c r="D410" s="2" t="s">
        <v>123</v>
      </c>
      <c r="E410" s="4">
        <v>45834</v>
      </c>
      <c r="F410" s="2">
        <f t="shared" si="15"/>
        <v>133</v>
      </c>
      <c r="G410" s="2">
        <v>1</v>
      </c>
      <c r="H410" s="1" t="s">
        <v>11</v>
      </c>
      <c r="I410" s="1">
        <v>3</v>
      </c>
      <c r="J410" s="1">
        <v>2</v>
      </c>
      <c r="L410" s="2"/>
      <c r="M410" s="2"/>
      <c r="N410" s="2"/>
      <c r="O410" s="2"/>
      <c r="P410" s="2"/>
      <c r="Q410" s="2"/>
    </row>
    <row r="411" spans="1:17">
      <c r="A411" s="1" t="s">
        <v>25</v>
      </c>
      <c r="B411" s="1" t="s">
        <v>20</v>
      </c>
      <c r="C411" s="1" t="s">
        <v>16</v>
      </c>
      <c r="D411" s="2" t="s">
        <v>123</v>
      </c>
      <c r="E411" s="4">
        <v>45834</v>
      </c>
      <c r="F411" s="2">
        <f t="shared" si="15"/>
        <v>133</v>
      </c>
      <c r="G411" s="2">
        <v>2</v>
      </c>
      <c r="H411" s="1" t="s">
        <v>11</v>
      </c>
      <c r="I411" s="1">
        <v>2</v>
      </c>
      <c r="J411" s="1">
        <v>1</v>
      </c>
      <c r="L411" s="2"/>
      <c r="M411" s="2"/>
      <c r="N411" s="2"/>
      <c r="O411" s="2"/>
      <c r="P411" s="2"/>
      <c r="Q411" s="2"/>
    </row>
    <row r="412" spans="1:17">
      <c r="A412" s="1" t="s">
        <v>25</v>
      </c>
      <c r="B412" s="1" t="s">
        <v>20</v>
      </c>
      <c r="C412" s="1" t="s">
        <v>16</v>
      </c>
      <c r="D412" s="2" t="s">
        <v>123</v>
      </c>
      <c r="E412" s="4">
        <v>45834</v>
      </c>
      <c r="F412" s="2">
        <f t="shared" si="15"/>
        <v>133</v>
      </c>
      <c r="G412" s="2">
        <v>3</v>
      </c>
      <c r="H412" s="1" t="s">
        <v>11</v>
      </c>
      <c r="I412" s="1">
        <v>5</v>
      </c>
      <c r="J412" s="1">
        <v>1</v>
      </c>
      <c r="L412" s="2"/>
      <c r="M412" s="2"/>
      <c r="N412" s="2"/>
      <c r="O412" s="2"/>
      <c r="P412" s="2"/>
      <c r="Q412" s="2"/>
    </row>
    <row r="413" spans="1:17">
      <c r="A413" s="1" t="s">
        <v>25</v>
      </c>
      <c r="B413" s="1" t="s">
        <v>20</v>
      </c>
      <c r="C413" s="1" t="s">
        <v>16</v>
      </c>
      <c r="D413" s="2" t="s">
        <v>123</v>
      </c>
      <c r="E413" s="4">
        <v>45835</v>
      </c>
      <c r="F413" s="2">
        <f t="shared" si="15"/>
        <v>134</v>
      </c>
      <c r="G413" s="2">
        <v>1</v>
      </c>
      <c r="H413" s="1" t="s">
        <v>103</v>
      </c>
      <c r="I413" s="1">
        <v>1</v>
      </c>
      <c r="L413" s="2"/>
      <c r="M413" s="2"/>
      <c r="N413" s="2"/>
      <c r="O413" s="2"/>
      <c r="P413" s="2">
        <v>0</v>
      </c>
      <c r="Q413" s="2"/>
    </row>
    <row r="414" spans="1:17">
      <c r="A414" s="1" t="s">
        <v>25</v>
      </c>
      <c r="B414" s="1" t="s">
        <v>20</v>
      </c>
      <c r="C414" s="1" t="s">
        <v>16</v>
      </c>
      <c r="D414" s="2" t="s">
        <v>123</v>
      </c>
      <c r="E414" s="4">
        <v>45835</v>
      </c>
      <c r="F414" s="2">
        <f t="shared" si="15"/>
        <v>134</v>
      </c>
      <c r="G414" s="2">
        <v>2</v>
      </c>
      <c r="H414" s="1" t="s">
        <v>103</v>
      </c>
      <c r="I414" s="1">
        <v>0</v>
      </c>
      <c r="L414" s="2"/>
      <c r="M414" s="2"/>
      <c r="N414" s="2"/>
      <c r="O414" s="2"/>
      <c r="P414" s="2">
        <v>3</v>
      </c>
      <c r="Q414" s="2"/>
    </row>
    <row r="415" spans="1:17">
      <c r="A415" s="1" t="s">
        <v>25</v>
      </c>
      <c r="B415" s="1" t="s">
        <v>20</v>
      </c>
      <c r="C415" s="1" t="s">
        <v>16</v>
      </c>
      <c r="D415" s="2" t="s">
        <v>123</v>
      </c>
      <c r="E415" s="4">
        <v>45835</v>
      </c>
      <c r="F415" s="2">
        <f t="shared" si="15"/>
        <v>134</v>
      </c>
      <c r="G415" s="2">
        <v>3</v>
      </c>
      <c r="H415" s="1" t="s">
        <v>103</v>
      </c>
      <c r="I415" s="1">
        <v>5</v>
      </c>
      <c r="L415" s="2"/>
      <c r="M415" s="2"/>
      <c r="N415" s="2"/>
      <c r="O415" s="2"/>
      <c r="P415" s="2">
        <v>0</v>
      </c>
      <c r="Q415" s="2"/>
    </row>
    <row r="416" spans="1:17">
      <c r="A416" s="1" t="s">
        <v>25</v>
      </c>
      <c r="B416" s="1" t="s">
        <v>20</v>
      </c>
      <c r="C416" s="1" t="s">
        <v>16</v>
      </c>
      <c r="D416" s="2" t="s">
        <v>123</v>
      </c>
      <c r="E416" s="4">
        <v>45835</v>
      </c>
      <c r="F416" s="2">
        <f t="shared" si="15"/>
        <v>135</v>
      </c>
      <c r="G416" s="2">
        <v>1</v>
      </c>
      <c r="H416" s="1" t="s">
        <v>11</v>
      </c>
      <c r="I416" s="1">
        <v>3</v>
      </c>
      <c r="J416" s="1">
        <v>0</v>
      </c>
      <c r="L416" s="2"/>
      <c r="M416" s="2"/>
      <c r="N416" s="2"/>
      <c r="O416" s="2"/>
      <c r="P416" s="2"/>
      <c r="Q416" s="2"/>
    </row>
    <row r="417" spans="1:17">
      <c r="A417" s="1" t="s">
        <v>25</v>
      </c>
      <c r="B417" s="1" t="s">
        <v>20</v>
      </c>
      <c r="C417" s="1" t="s">
        <v>16</v>
      </c>
      <c r="D417" s="2" t="s">
        <v>123</v>
      </c>
      <c r="E417" s="4">
        <v>45835</v>
      </c>
      <c r="F417" s="2">
        <f t="shared" si="15"/>
        <v>135</v>
      </c>
      <c r="G417" s="2">
        <v>2</v>
      </c>
      <c r="H417" s="1" t="s">
        <v>11</v>
      </c>
      <c r="I417" s="1">
        <v>9</v>
      </c>
      <c r="J417" s="1">
        <v>0</v>
      </c>
      <c r="L417" s="2"/>
      <c r="M417" s="2"/>
      <c r="N417" s="2"/>
      <c r="O417" s="2"/>
      <c r="P417" s="2"/>
      <c r="Q417" s="2"/>
    </row>
    <row r="418" spans="1:17">
      <c r="A418" s="1" t="s">
        <v>25</v>
      </c>
      <c r="B418" s="1" t="s">
        <v>20</v>
      </c>
      <c r="C418" s="1" t="s">
        <v>16</v>
      </c>
      <c r="D418" s="2" t="s">
        <v>123</v>
      </c>
      <c r="E418" s="4">
        <v>45835</v>
      </c>
      <c r="F418" s="2">
        <f t="shared" si="15"/>
        <v>135</v>
      </c>
      <c r="G418" s="2">
        <v>3</v>
      </c>
      <c r="H418" s="1" t="s">
        <v>11</v>
      </c>
      <c r="I418" s="1">
        <v>4</v>
      </c>
      <c r="J418" s="1">
        <v>0</v>
      </c>
      <c r="L418" s="2"/>
      <c r="M418" s="2"/>
      <c r="N418" s="2"/>
      <c r="O418" s="2"/>
      <c r="P418" s="2"/>
      <c r="Q418" s="2"/>
    </row>
    <row r="419" spans="1:17">
      <c r="A419" s="1" t="s">
        <v>25</v>
      </c>
      <c r="B419" s="1" t="s">
        <v>19</v>
      </c>
      <c r="C419" s="1" t="s">
        <v>16</v>
      </c>
      <c r="D419" s="2" t="s">
        <v>123</v>
      </c>
      <c r="E419" s="4">
        <v>45835</v>
      </c>
      <c r="F419" s="2">
        <f t="shared" si="15"/>
        <v>136</v>
      </c>
      <c r="G419" s="2">
        <v>1</v>
      </c>
      <c r="H419" s="1" t="s">
        <v>9</v>
      </c>
      <c r="I419" s="1">
        <v>0</v>
      </c>
      <c r="J419" s="1">
        <v>0</v>
      </c>
      <c r="L419" s="2"/>
      <c r="M419" s="2"/>
      <c r="N419" s="2"/>
      <c r="O419" s="2"/>
      <c r="P419" s="2"/>
      <c r="Q419" s="2"/>
    </row>
    <row r="420" spans="1:17">
      <c r="A420" s="1" t="s">
        <v>25</v>
      </c>
      <c r="B420" s="1" t="s">
        <v>19</v>
      </c>
      <c r="C420" s="1" t="s">
        <v>16</v>
      </c>
      <c r="D420" s="2" t="s">
        <v>123</v>
      </c>
      <c r="E420" s="4">
        <v>45835</v>
      </c>
      <c r="F420" s="2">
        <f t="shared" si="15"/>
        <v>136</v>
      </c>
      <c r="G420" s="2">
        <v>2</v>
      </c>
      <c r="H420" s="1" t="s">
        <v>9</v>
      </c>
      <c r="I420" s="1">
        <v>3</v>
      </c>
      <c r="J420" s="1">
        <v>2</v>
      </c>
      <c r="L420" s="2"/>
      <c r="M420" s="2"/>
      <c r="N420" s="2"/>
      <c r="O420" s="2"/>
      <c r="P420" s="2"/>
      <c r="Q420" s="2"/>
    </row>
    <row r="421" spans="1:17">
      <c r="A421" s="1" t="s">
        <v>25</v>
      </c>
      <c r="B421" s="1" t="s">
        <v>19</v>
      </c>
      <c r="C421" s="1" t="s">
        <v>16</v>
      </c>
      <c r="D421" s="2" t="s">
        <v>123</v>
      </c>
      <c r="E421" s="4">
        <v>45835</v>
      </c>
      <c r="F421" s="2">
        <f t="shared" si="15"/>
        <v>136</v>
      </c>
      <c r="G421" s="2">
        <v>3</v>
      </c>
      <c r="H421" s="1" t="s">
        <v>9</v>
      </c>
      <c r="I421" s="1">
        <v>1</v>
      </c>
      <c r="J421" s="1">
        <v>7</v>
      </c>
      <c r="L421" s="2"/>
      <c r="M421" s="2"/>
      <c r="N421" s="2"/>
      <c r="O421" s="2"/>
      <c r="P421" s="2"/>
      <c r="Q421" s="2"/>
    </row>
    <row r="422" spans="1:17">
      <c r="A422" s="1" t="s">
        <v>25</v>
      </c>
      <c r="B422" s="1" t="s">
        <v>20</v>
      </c>
      <c r="C422" s="1" t="s">
        <v>16</v>
      </c>
      <c r="D422" s="2" t="s">
        <v>123</v>
      </c>
      <c r="E422" s="4">
        <v>45838</v>
      </c>
      <c r="F422" s="2">
        <f t="shared" si="15"/>
        <v>137</v>
      </c>
      <c r="G422" s="2">
        <v>1</v>
      </c>
      <c r="H422" s="1" t="s">
        <v>104</v>
      </c>
      <c r="I422" s="1">
        <v>0</v>
      </c>
      <c r="J422" s="1">
        <v>0</v>
      </c>
      <c r="L422" s="2"/>
      <c r="M422" s="2"/>
      <c r="N422" s="2"/>
      <c r="O422" s="2"/>
      <c r="P422" s="2">
        <v>0</v>
      </c>
      <c r="Q422" s="2"/>
    </row>
    <row r="423" spans="1:17">
      <c r="A423" s="1" t="s">
        <v>25</v>
      </c>
      <c r="B423" s="1" t="s">
        <v>20</v>
      </c>
      <c r="C423" s="1" t="s">
        <v>16</v>
      </c>
      <c r="D423" s="2" t="s">
        <v>123</v>
      </c>
      <c r="E423" s="4">
        <v>45838</v>
      </c>
      <c r="F423" s="2">
        <f t="shared" si="15"/>
        <v>137</v>
      </c>
      <c r="G423" s="2">
        <v>2</v>
      </c>
      <c r="H423" s="1" t="s">
        <v>104</v>
      </c>
      <c r="I423" s="1">
        <v>0</v>
      </c>
      <c r="J423" s="1">
        <v>6</v>
      </c>
      <c r="L423" s="2"/>
      <c r="M423" s="2"/>
      <c r="N423" s="2"/>
      <c r="O423" s="2"/>
      <c r="P423" s="2">
        <v>1</v>
      </c>
      <c r="Q423" s="2"/>
    </row>
    <row r="424" spans="1:17">
      <c r="A424" s="1" t="s">
        <v>25</v>
      </c>
      <c r="B424" s="1" t="s">
        <v>20</v>
      </c>
      <c r="C424" s="1" t="s">
        <v>16</v>
      </c>
      <c r="D424" s="2" t="s">
        <v>123</v>
      </c>
      <c r="E424" s="4">
        <v>45838</v>
      </c>
      <c r="F424" s="2">
        <f t="shared" si="15"/>
        <v>137</v>
      </c>
      <c r="G424" s="2">
        <v>3</v>
      </c>
      <c r="H424" s="1" t="s">
        <v>104</v>
      </c>
      <c r="I424" s="1">
        <v>5</v>
      </c>
      <c r="J424" s="1">
        <v>3</v>
      </c>
      <c r="L424" s="2"/>
      <c r="M424" s="2"/>
      <c r="N424" s="2"/>
      <c r="O424" s="2"/>
      <c r="P424" s="2">
        <v>0</v>
      </c>
      <c r="Q424" s="2"/>
    </row>
    <row r="425" spans="1:17">
      <c r="A425" s="1" t="s">
        <v>25</v>
      </c>
      <c r="B425" s="1" t="s">
        <v>19</v>
      </c>
      <c r="C425" s="1" t="s">
        <v>16</v>
      </c>
      <c r="D425" s="2" t="s">
        <v>123</v>
      </c>
      <c r="E425" s="4">
        <v>45838</v>
      </c>
      <c r="F425" s="2">
        <f t="shared" si="15"/>
        <v>138</v>
      </c>
      <c r="G425" s="2">
        <v>1</v>
      </c>
      <c r="H425" s="1" t="s">
        <v>94</v>
      </c>
      <c r="I425" s="1">
        <v>9</v>
      </c>
      <c r="J425" s="1">
        <v>1</v>
      </c>
      <c r="L425" s="2"/>
      <c r="M425" s="2"/>
      <c r="N425" s="2"/>
      <c r="O425" s="2"/>
      <c r="P425" s="2">
        <v>1</v>
      </c>
      <c r="Q425" s="2"/>
    </row>
    <row r="426" spans="1:17">
      <c r="A426" s="1" t="s">
        <v>25</v>
      </c>
      <c r="B426" s="1" t="s">
        <v>19</v>
      </c>
      <c r="C426" s="1" t="s">
        <v>16</v>
      </c>
      <c r="D426" s="2" t="s">
        <v>123</v>
      </c>
      <c r="E426" s="4">
        <v>45838</v>
      </c>
      <c r="F426" s="2">
        <f t="shared" si="15"/>
        <v>138</v>
      </c>
      <c r="G426" s="2">
        <v>2</v>
      </c>
      <c r="H426" s="1" t="s">
        <v>94</v>
      </c>
      <c r="I426" s="1">
        <v>0</v>
      </c>
      <c r="J426" s="1">
        <v>2</v>
      </c>
      <c r="L426" s="2"/>
      <c r="M426" s="2"/>
      <c r="N426" s="2"/>
      <c r="O426" s="2"/>
      <c r="P426" s="2">
        <v>0</v>
      </c>
      <c r="Q426" s="2"/>
    </row>
    <row r="427" spans="1:17">
      <c r="A427" s="1" t="s">
        <v>25</v>
      </c>
      <c r="B427" s="1" t="s">
        <v>19</v>
      </c>
      <c r="C427" s="1" t="s">
        <v>16</v>
      </c>
      <c r="D427" s="2" t="s">
        <v>123</v>
      </c>
      <c r="E427" s="4">
        <v>45838</v>
      </c>
      <c r="F427" s="2">
        <f t="shared" si="15"/>
        <v>138</v>
      </c>
      <c r="G427" s="2">
        <v>3</v>
      </c>
      <c r="H427" s="1" t="s">
        <v>94</v>
      </c>
      <c r="I427" s="1">
        <v>4</v>
      </c>
      <c r="J427" s="1">
        <v>0</v>
      </c>
      <c r="L427" s="2"/>
      <c r="M427" s="2"/>
      <c r="N427" s="2"/>
      <c r="O427" s="2"/>
      <c r="P427" s="2">
        <v>2</v>
      </c>
      <c r="Q427" s="2"/>
    </row>
    <row r="428" spans="1:17">
      <c r="A428" s="1" t="s">
        <v>25</v>
      </c>
      <c r="B428" s="1" t="s">
        <v>20</v>
      </c>
      <c r="C428" s="1" t="s">
        <v>16</v>
      </c>
      <c r="D428" s="2" t="s">
        <v>123</v>
      </c>
      <c r="E428" s="4">
        <v>45838</v>
      </c>
      <c r="F428" s="2">
        <f t="shared" si="15"/>
        <v>139</v>
      </c>
      <c r="G428" s="2">
        <v>1</v>
      </c>
      <c r="H428" s="1" t="s">
        <v>8</v>
      </c>
      <c r="I428" s="1">
        <v>0</v>
      </c>
      <c r="J428" s="1">
        <v>0</v>
      </c>
      <c r="K428" s="2">
        <v>2</v>
      </c>
      <c r="L428" s="2"/>
      <c r="M428" s="2"/>
      <c r="N428" s="2"/>
      <c r="O428" s="2"/>
      <c r="P428" s="2"/>
      <c r="Q428" s="2"/>
    </row>
    <row r="429" spans="1:17">
      <c r="A429" s="1" t="s">
        <v>25</v>
      </c>
      <c r="B429" s="1" t="s">
        <v>20</v>
      </c>
      <c r="C429" s="1" t="s">
        <v>16</v>
      </c>
      <c r="D429" s="2" t="s">
        <v>123</v>
      </c>
      <c r="E429" s="4">
        <v>45838</v>
      </c>
      <c r="F429" s="2">
        <f t="shared" si="15"/>
        <v>139</v>
      </c>
      <c r="G429" s="2">
        <v>2</v>
      </c>
      <c r="H429" s="1" t="s">
        <v>8</v>
      </c>
      <c r="I429" s="1">
        <v>1</v>
      </c>
      <c r="J429" s="1">
        <v>2</v>
      </c>
      <c r="K429" s="2">
        <v>0</v>
      </c>
      <c r="L429" s="2"/>
      <c r="M429" s="2"/>
      <c r="N429" s="2"/>
      <c r="O429" s="2"/>
      <c r="P429" s="2"/>
      <c r="Q429" s="2"/>
    </row>
    <row r="430" spans="1:17">
      <c r="A430" s="1" t="s">
        <v>25</v>
      </c>
      <c r="B430" s="1" t="s">
        <v>20</v>
      </c>
      <c r="C430" s="1" t="s">
        <v>16</v>
      </c>
      <c r="D430" s="2" t="s">
        <v>123</v>
      </c>
      <c r="E430" s="4">
        <v>45838</v>
      </c>
      <c r="F430" s="2">
        <f t="shared" si="15"/>
        <v>139</v>
      </c>
      <c r="G430" s="2">
        <v>3</v>
      </c>
      <c r="H430" s="1" t="s">
        <v>8</v>
      </c>
      <c r="I430" s="1">
        <v>3</v>
      </c>
      <c r="J430" s="1">
        <v>2</v>
      </c>
      <c r="K430" s="2">
        <v>3</v>
      </c>
      <c r="L430" s="2"/>
      <c r="M430" s="2"/>
      <c r="N430" s="2"/>
      <c r="O430" s="2"/>
      <c r="P430" s="2"/>
      <c r="Q430" s="2"/>
    </row>
    <row r="431" spans="1:17">
      <c r="A431" s="1" t="s">
        <v>25</v>
      </c>
      <c r="B431" s="1" t="s">
        <v>20</v>
      </c>
      <c r="C431" s="1" t="s">
        <v>16</v>
      </c>
      <c r="D431" s="2" t="s">
        <v>123</v>
      </c>
      <c r="E431" s="4">
        <v>45839</v>
      </c>
      <c r="F431" s="2">
        <f t="shared" si="15"/>
        <v>140</v>
      </c>
      <c r="G431" s="2">
        <v>1</v>
      </c>
      <c r="H431" s="1" t="s">
        <v>100</v>
      </c>
      <c r="I431" s="1">
        <v>3</v>
      </c>
      <c r="J431" s="1">
        <v>4</v>
      </c>
      <c r="K431" s="2"/>
      <c r="L431" s="2"/>
      <c r="M431" s="2"/>
      <c r="N431" s="2"/>
      <c r="O431" s="2"/>
      <c r="P431" s="2">
        <v>1</v>
      </c>
      <c r="Q431" s="2"/>
    </row>
    <row r="432" spans="1:17">
      <c r="A432" s="1" t="s">
        <v>25</v>
      </c>
      <c r="B432" s="1" t="s">
        <v>20</v>
      </c>
      <c r="C432" s="1" t="s">
        <v>16</v>
      </c>
      <c r="D432" s="2" t="s">
        <v>123</v>
      </c>
      <c r="E432" s="4">
        <v>45839</v>
      </c>
      <c r="F432" s="2">
        <f t="shared" si="15"/>
        <v>140</v>
      </c>
      <c r="G432" s="2">
        <v>2</v>
      </c>
      <c r="H432" s="1" t="s">
        <v>100</v>
      </c>
      <c r="I432" s="1">
        <v>1</v>
      </c>
      <c r="J432" s="1">
        <v>2</v>
      </c>
      <c r="K432" s="2"/>
      <c r="L432" s="2"/>
      <c r="M432" s="2"/>
      <c r="N432" s="2"/>
      <c r="O432" s="2"/>
      <c r="P432" s="2">
        <v>1</v>
      </c>
      <c r="Q432" s="2"/>
    </row>
    <row r="433" spans="1:17">
      <c r="A433" s="1" t="s">
        <v>25</v>
      </c>
      <c r="B433" s="1" t="s">
        <v>20</v>
      </c>
      <c r="C433" s="1" t="s">
        <v>16</v>
      </c>
      <c r="D433" s="2" t="s">
        <v>123</v>
      </c>
      <c r="E433" s="4">
        <v>45839</v>
      </c>
      <c r="F433" s="2">
        <v>140</v>
      </c>
      <c r="G433" s="2">
        <v>3</v>
      </c>
      <c r="H433" s="1" t="s">
        <v>100</v>
      </c>
      <c r="I433" s="1">
        <v>3</v>
      </c>
      <c r="J433" s="1">
        <v>1</v>
      </c>
      <c r="K433" s="2"/>
      <c r="L433" s="2"/>
      <c r="M433" s="2"/>
      <c r="N433" s="2"/>
      <c r="O433" s="2"/>
      <c r="P433" s="2">
        <v>0</v>
      </c>
      <c r="Q433" s="2"/>
    </row>
    <row r="434" spans="1:17">
      <c r="A434" s="1" t="s">
        <v>25</v>
      </c>
      <c r="B434" s="1" t="s">
        <v>20</v>
      </c>
      <c r="C434" s="1" t="s">
        <v>16</v>
      </c>
      <c r="D434" s="2" t="s">
        <v>123</v>
      </c>
      <c r="E434" s="4">
        <v>45839</v>
      </c>
      <c r="F434" s="2">
        <v>140</v>
      </c>
      <c r="G434" s="2" t="s">
        <v>82</v>
      </c>
      <c r="H434" s="1" t="s">
        <v>100</v>
      </c>
      <c r="I434" s="1">
        <v>1</v>
      </c>
      <c r="J434" s="1">
        <v>7</v>
      </c>
      <c r="K434" s="2"/>
      <c r="L434" s="2"/>
      <c r="M434" s="2"/>
      <c r="N434" s="2"/>
      <c r="O434" s="2"/>
      <c r="P434" s="2"/>
      <c r="Q434" s="2"/>
    </row>
    <row r="435" spans="1:17">
      <c r="A435" s="1" t="s">
        <v>25</v>
      </c>
      <c r="B435" s="1" t="s">
        <v>19</v>
      </c>
      <c r="C435" s="1" t="s">
        <v>16</v>
      </c>
      <c r="D435" s="2" t="s">
        <v>123</v>
      </c>
      <c r="E435" s="4">
        <v>45839</v>
      </c>
      <c r="F435" s="2">
        <f t="shared" ref="F435:F486" si="16">F432+1</f>
        <v>141</v>
      </c>
      <c r="G435" s="2">
        <v>1</v>
      </c>
      <c r="H435" s="1" t="s">
        <v>8</v>
      </c>
      <c r="I435" s="1">
        <v>1</v>
      </c>
      <c r="J435" s="1">
        <v>5</v>
      </c>
      <c r="K435" s="2">
        <v>1</v>
      </c>
      <c r="L435" s="2"/>
      <c r="M435" s="2"/>
      <c r="N435" s="2"/>
      <c r="O435" s="2"/>
      <c r="P435" s="2"/>
      <c r="Q435" s="2"/>
    </row>
    <row r="436" spans="1:17">
      <c r="A436" s="1" t="s">
        <v>25</v>
      </c>
      <c r="B436" s="1" t="s">
        <v>19</v>
      </c>
      <c r="C436" s="1" t="s">
        <v>16</v>
      </c>
      <c r="D436" s="2" t="s">
        <v>123</v>
      </c>
      <c r="E436" s="4">
        <v>45839</v>
      </c>
      <c r="F436" s="2">
        <f t="shared" si="16"/>
        <v>141</v>
      </c>
      <c r="G436" s="2">
        <v>2</v>
      </c>
      <c r="H436" s="1" t="s">
        <v>8</v>
      </c>
      <c r="I436" s="1">
        <v>0</v>
      </c>
      <c r="J436" s="1">
        <v>3</v>
      </c>
      <c r="K436" s="2">
        <v>3</v>
      </c>
      <c r="L436" s="2"/>
      <c r="M436" s="2"/>
      <c r="N436" s="2"/>
      <c r="O436" s="2"/>
      <c r="P436" s="2"/>
      <c r="Q436" s="2"/>
    </row>
    <row r="437" spans="1:17">
      <c r="A437" s="1" t="s">
        <v>25</v>
      </c>
      <c r="B437" s="1" t="s">
        <v>19</v>
      </c>
      <c r="C437" s="1" t="s">
        <v>16</v>
      </c>
      <c r="D437" s="2" t="s">
        <v>123</v>
      </c>
      <c r="E437" s="4">
        <v>45839</v>
      </c>
      <c r="F437" s="2">
        <f t="shared" si="16"/>
        <v>141</v>
      </c>
      <c r="G437" s="2">
        <v>3</v>
      </c>
      <c r="H437" s="1" t="s">
        <v>8</v>
      </c>
      <c r="I437" s="1">
        <v>2</v>
      </c>
      <c r="J437" s="1">
        <v>6</v>
      </c>
      <c r="K437" s="2">
        <v>1</v>
      </c>
      <c r="L437" s="2"/>
      <c r="M437" s="2"/>
      <c r="N437" s="2"/>
      <c r="O437" s="2"/>
      <c r="P437" s="2"/>
      <c r="Q437" s="2"/>
    </row>
    <row r="438" spans="1:17">
      <c r="A438" s="1" t="s">
        <v>25</v>
      </c>
      <c r="B438" s="1" t="s">
        <v>20</v>
      </c>
      <c r="C438" s="1" t="s">
        <v>16</v>
      </c>
      <c r="D438" s="2" t="s">
        <v>123</v>
      </c>
      <c r="E438" s="4">
        <v>45839</v>
      </c>
      <c r="F438" s="2">
        <f t="shared" si="16"/>
        <v>142</v>
      </c>
      <c r="G438" s="2">
        <v>1</v>
      </c>
      <c r="H438" s="1" t="s">
        <v>106</v>
      </c>
      <c r="I438" s="1">
        <v>0</v>
      </c>
      <c r="J438" s="1">
        <v>1</v>
      </c>
      <c r="K438" s="2">
        <v>2</v>
      </c>
      <c r="L438" s="2"/>
      <c r="M438" s="2"/>
      <c r="N438" s="2"/>
      <c r="O438" s="2"/>
      <c r="P438" s="2"/>
      <c r="Q438" s="2"/>
    </row>
    <row r="439" spans="1:17">
      <c r="A439" s="1" t="s">
        <v>25</v>
      </c>
      <c r="B439" s="1" t="s">
        <v>20</v>
      </c>
      <c r="C439" s="1" t="s">
        <v>16</v>
      </c>
      <c r="D439" s="2" t="s">
        <v>123</v>
      </c>
      <c r="E439" s="4">
        <v>45839</v>
      </c>
      <c r="F439" s="2">
        <f t="shared" si="16"/>
        <v>142</v>
      </c>
      <c r="G439" s="2">
        <v>2</v>
      </c>
      <c r="H439" s="1" t="s">
        <v>106</v>
      </c>
      <c r="I439" s="1">
        <v>0</v>
      </c>
      <c r="J439" s="1">
        <v>2</v>
      </c>
      <c r="K439" s="2">
        <v>0</v>
      </c>
      <c r="L439" s="2"/>
      <c r="M439" s="2"/>
      <c r="N439" s="2"/>
      <c r="O439" s="2"/>
      <c r="P439" s="2"/>
      <c r="Q439" s="2"/>
    </row>
    <row r="440" spans="1:17">
      <c r="A440" s="1" t="s">
        <v>25</v>
      </c>
      <c r="B440" s="1" t="s">
        <v>20</v>
      </c>
      <c r="C440" s="1" t="s">
        <v>16</v>
      </c>
      <c r="D440" s="2" t="s">
        <v>123</v>
      </c>
      <c r="E440" s="4">
        <v>45839</v>
      </c>
      <c r="F440" s="2">
        <f t="shared" si="16"/>
        <v>142</v>
      </c>
      <c r="G440" s="2">
        <v>3</v>
      </c>
      <c r="H440" s="1" t="s">
        <v>106</v>
      </c>
      <c r="I440" s="1">
        <v>6</v>
      </c>
      <c r="J440" s="1">
        <v>5</v>
      </c>
      <c r="K440" s="2">
        <v>2</v>
      </c>
      <c r="L440" s="2"/>
      <c r="M440" s="2"/>
      <c r="N440" s="2"/>
      <c r="O440" s="2"/>
      <c r="P440" s="2"/>
      <c r="Q440" s="2"/>
    </row>
    <row r="441" spans="1:17">
      <c r="A441" s="1" t="s">
        <v>25</v>
      </c>
      <c r="B441" s="1" t="s">
        <v>20</v>
      </c>
      <c r="C441" s="1" t="s">
        <v>16</v>
      </c>
      <c r="D441" s="2" t="s">
        <v>123</v>
      </c>
      <c r="E441" s="4">
        <v>45840</v>
      </c>
      <c r="F441" s="2">
        <f t="shared" si="16"/>
        <v>143</v>
      </c>
      <c r="G441" s="2">
        <v>1</v>
      </c>
      <c r="H441" s="1" t="s">
        <v>107</v>
      </c>
      <c r="I441" s="1">
        <v>0</v>
      </c>
      <c r="J441" s="1">
        <v>0</v>
      </c>
      <c r="K441" s="2">
        <v>1</v>
      </c>
      <c r="L441" s="2"/>
      <c r="M441" s="2"/>
      <c r="N441" s="2"/>
      <c r="O441" s="2"/>
      <c r="P441" s="2">
        <v>0</v>
      </c>
      <c r="Q441" s="2"/>
    </row>
    <row r="442" spans="1:17">
      <c r="A442" s="1" t="s">
        <v>25</v>
      </c>
      <c r="B442" s="1" t="s">
        <v>20</v>
      </c>
      <c r="C442" s="1" t="s">
        <v>16</v>
      </c>
      <c r="D442" s="2" t="s">
        <v>123</v>
      </c>
      <c r="E442" s="4">
        <v>45840</v>
      </c>
      <c r="F442" s="2">
        <f t="shared" si="16"/>
        <v>143</v>
      </c>
      <c r="G442" s="2">
        <v>2</v>
      </c>
      <c r="H442" s="1" t="s">
        <v>107</v>
      </c>
      <c r="I442" s="1">
        <v>1</v>
      </c>
      <c r="J442" s="1">
        <v>5</v>
      </c>
      <c r="K442" s="2">
        <v>0</v>
      </c>
      <c r="L442" s="2"/>
      <c r="M442" s="2"/>
      <c r="N442" s="2"/>
      <c r="O442" s="2"/>
      <c r="P442" s="2">
        <v>1</v>
      </c>
      <c r="Q442" s="2"/>
    </row>
    <row r="443" spans="1:17">
      <c r="A443" s="1" t="s">
        <v>25</v>
      </c>
      <c r="B443" s="1" t="s">
        <v>20</v>
      </c>
      <c r="C443" s="1" t="s">
        <v>16</v>
      </c>
      <c r="D443" s="2" t="s">
        <v>123</v>
      </c>
      <c r="E443" s="4">
        <v>45840</v>
      </c>
      <c r="F443" s="2">
        <f t="shared" si="16"/>
        <v>143</v>
      </c>
      <c r="G443" s="2">
        <v>3</v>
      </c>
      <c r="H443" s="1" t="s">
        <v>107</v>
      </c>
      <c r="I443" s="1">
        <v>3</v>
      </c>
      <c r="J443" s="1">
        <v>5</v>
      </c>
      <c r="K443" s="2">
        <v>2</v>
      </c>
      <c r="L443" s="2"/>
      <c r="M443" s="2"/>
      <c r="N443" s="2"/>
      <c r="O443" s="2"/>
      <c r="P443" s="2">
        <v>7</v>
      </c>
      <c r="Q443" s="2"/>
    </row>
    <row r="444" spans="1:17">
      <c r="A444" s="1" t="s">
        <v>25</v>
      </c>
      <c r="B444" s="1" t="s">
        <v>20</v>
      </c>
      <c r="C444" s="1" t="s">
        <v>16</v>
      </c>
      <c r="D444" s="2" t="s">
        <v>123</v>
      </c>
      <c r="E444" s="4">
        <v>45840</v>
      </c>
      <c r="F444" s="2">
        <f t="shared" si="16"/>
        <v>144</v>
      </c>
      <c r="G444" s="2">
        <v>1</v>
      </c>
      <c r="H444" s="1" t="s">
        <v>8</v>
      </c>
      <c r="I444" s="1">
        <v>5</v>
      </c>
      <c r="J444" s="1">
        <v>3</v>
      </c>
      <c r="K444" s="2">
        <v>1</v>
      </c>
      <c r="L444" s="2"/>
      <c r="M444" s="2"/>
      <c r="N444" s="2"/>
      <c r="O444" s="2"/>
      <c r="P444" s="2"/>
      <c r="Q444" s="2"/>
    </row>
    <row r="445" spans="1:17">
      <c r="A445" s="1" t="s">
        <v>25</v>
      </c>
      <c r="B445" s="1" t="s">
        <v>20</v>
      </c>
      <c r="C445" s="1" t="s">
        <v>16</v>
      </c>
      <c r="D445" s="2" t="s">
        <v>123</v>
      </c>
      <c r="E445" s="4">
        <v>45840</v>
      </c>
      <c r="F445" s="2">
        <f t="shared" si="16"/>
        <v>144</v>
      </c>
      <c r="G445" s="2">
        <v>2</v>
      </c>
      <c r="H445" s="1" t="s">
        <v>8</v>
      </c>
      <c r="I445" s="1">
        <v>4</v>
      </c>
      <c r="J445" s="1">
        <v>6</v>
      </c>
      <c r="K445" s="2">
        <v>0</v>
      </c>
      <c r="L445" s="2"/>
      <c r="M445" s="2"/>
      <c r="N445" s="2"/>
      <c r="O445" s="2"/>
      <c r="P445" s="2"/>
      <c r="Q445" s="2"/>
    </row>
    <row r="446" spans="1:17">
      <c r="A446" s="1" t="s">
        <v>25</v>
      </c>
      <c r="B446" s="1" t="s">
        <v>20</v>
      </c>
      <c r="C446" s="1" t="s">
        <v>16</v>
      </c>
      <c r="D446" s="2" t="s">
        <v>123</v>
      </c>
      <c r="E446" s="4">
        <v>45840</v>
      </c>
      <c r="F446" s="2">
        <f t="shared" si="16"/>
        <v>144</v>
      </c>
      <c r="G446" s="2">
        <v>3</v>
      </c>
      <c r="H446" s="1" t="s">
        <v>8</v>
      </c>
      <c r="I446" s="1">
        <v>8</v>
      </c>
      <c r="J446" s="1">
        <v>0</v>
      </c>
      <c r="K446" s="2">
        <v>1</v>
      </c>
      <c r="L446" s="2"/>
      <c r="M446" s="2"/>
      <c r="N446" s="2"/>
      <c r="O446" s="2"/>
      <c r="P446" s="2"/>
      <c r="Q446" s="2"/>
    </row>
    <row r="447" spans="1:17">
      <c r="A447" s="1" t="s">
        <v>25</v>
      </c>
      <c r="B447" s="1" t="s">
        <v>20</v>
      </c>
      <c r="C447" s="1" t="s">
        <v>16</v>
      </c>
      <c r="D447" s="2" t="s">
        <v>123</v>
      </c>
      <c r="E447" s="4">
        <v>45841</v>
      </c>
      <c r="F447" s="2">
        <f t="shared" si="16"/>
        <v>145</v>
      </c>
      <c r="G447" s="2">
        <v>1</v>
      </c>
      <c r="H447" s="1" t="s">
        <v>108</v>
      </c>
      <c r="I447" s="1">
        <v>3</v>
      </c>
      <c r="J447" s="1">
        <v>0</v>
      </c>
      <c r="K447" s="2"/>
      <c r="L447" s="2"/>
      <c r="M447" s="2"/>
      <c r="N447" s="2"/>
      <c r="O447" s="2"/>
      <c r="P447" s="2">
        <v>1</v>
      </c>
      <c r="Q447" s="2"/>
    </row>
    <row r="448" spans="1:17">
      <c r="A448" s="1" t="s">
        <v>25</v>
      </c>
      <c r="B448" s="1" t="s">
        <v>20</v>
      </c>
      <c r="C448" s="1" t="s">
        <v>16</v>
      </c>
      <c r="D448" s="2" t="s">
        <v>123</v>
      </c>
      <c r="E448" s="4">
        <v>45841</v>
      </c>
      <c r="F448" s="2">
        <f t="shared" si="16"/>
        <v>145</v>
      </c>
      <c r="G448" s="2">
        <v>2</v>
      </c>
      <c r="H448" s="1" t="s">
        <v>108</v>
      </c>
      <c r="I448" s="1">
        <v>1</v>
      </c>
      <c r="J448" s="1">
        <v>4</v>
      </c>
      <c r="K448" s="2"/>
      <c r="L448" s="2"/>
      <c r="M448" s="2"/>
      <c r="N448" s="2"/>
      <c r="O448" s="2"/>
      <c r="P448" s="2">
        <v>0</v>
      </c>
      <c r="Q448" s="2"/>
    </row>
    <row r="449" spans="1:17">
      <c r="A449" s="1" t="s">
        <v>25</v>
      </c>
      <c r="B449" s="1" t="s">
        <v>20</v>
      </c>
      <c r="C449" s="1" t="s">
        <v>16</v>
      </c>
      <c r="D449" s="2" t="s">
        <v>123</v>
      </c>
      <c r="E449" s="4">
        <v>45841</v>
      </c>
      <c r="F449" s="2">
        <f t="shared" si="16"/>
        <v>145</v>
      </c>
      <c r="G449" s="2">
        <v>3</v>
      </c>
      <c r="H449" s="1" t="s">
        <v>108</v>
      </c>
      <c r="I449" s="1">
        <v>1</v>
      </c>
      <c r="J449" s="1">
        <v>0</v>
      </c>
      <c r="K449" s="2"/>
      <c r="L449" s="2"/>
      <c r="M449" s="2"/>
      <c r="N449" s="2"/>
      <c r="O449" s="2"/>
      <c r="P449" s="2">
        <v>0</v>
      </c>
      <c r="Q449" s="2"/>
    </row>
    <row r="450" spans="1:17">
      <c r="A450" s="1" t="s">
        <v>25</v>
      </c>
      <c r="B450" s="1" t="s">
        <v>19</v>
      </c>
      <c r="C450" s="1" t="s">
        <v>16</v>
      </c>
      <c r="D450" s="2" t="s">
        <v>123</v>
      </c>
      <c r="E450" s="4">
        <v>45841</v>
      </c>
      <c r="F450" s="2">
        <f t="shared" si="16"/>
        <v>146</v>
      </c>
      <c r="G450" s="2">
        <v>1</v>
      </c>
      <c r="H450" s="1" t="s">
        <v>104</v>
      </c>
      <c r="I450" s="1">
        <v>4</v>
      </c>
      <c r="J450" s="1">
        <v>2</v>
      </c>
      <c r="K450" s="2"/>
      <c r="L450" s="2"/>
      <c r="M450" s="2"/>
      <c r="N450" s="2"/>
      <c r="O450" s="2"/>
      <c r="P450" s="2">
        <v>0</v>
      </c>
      <c r="Q450" s="2"/>
    </row>
    <row r="451" spans="1:17">
      <c r="A451" s="1" t="s">
        <v>25</v>
      </c>
      <c r="B451" s="1" t="s">
        <v>19</v>
      </c>
      <c r="C451" s="1" t="s">
        <v>16</v>
      </c>
      <c r="D451" s="2" t="s">
        <v>123</v>
      </c>
      <c r="E451" s="4">
        <v>45841</v>
      </c>
      <c r="F451" s="2">
        <f t="shared" si="16"/>
        <v>146</v>
      </c>
      <c r="G451" s="2">
        <v>2</v>
      </c>
      <c r="H451" s="1" t="s">
        <v>104</v>
      </c>
      <c r="I451" s="1">
        <v>3</v>
      </c>
      <c r="J451" s="1">
        <v>8</v>
      </c>
      <c r="K451" s="2"/>
      <c r="L451" s="2"/>
      <c r="M451" s="2"/>
      <c r="N451" s="2"/>
      <c r="O451" s="2"/>
      <c r="P451" s="2">
        <v>0</v>
      </c>
      <c r="Q451" s="2"/>
    </row>
    <row r="452" spans="1:17">
      <c r="A452" s="1" t="s">
        <v>25</v>
      </c>
      <c r="B452" s="1" t="s">
        <v>19</v>
      </c>
      <c r="C452" s="1" t="s">
        <v>16</v>
      </c>
      <c r="D452" s="2" t="s">
        <v>123</v>
      </c>
      <c r="E452" s="4">
        <v>45841</v>
      </c>
      <c r="F452" s="2">
        <f t="shared" si="16"/>
        <v>146</v>
      </c>
      <c r="G452" s="2">
        <v>3</v>
      </c>
      <c r="H452" s="1" t="s">
        <v>104</v>
      </c>
      <c r="I452" s="1">
        <v>2</v>
      </c>
      <c r="J452" s="1">
        <v>3</v>
      </c>
      <c r="K452" s="2"/>
      <c r="L452" s="2"/>
      <c r="M452" s="2"/>
      <c r="N452" s="2"/>
      <c r="O452" s="2"/>
      <c r="P452" s="2">
        <v>3</v>
      </c>
      <c r="Q452" s="2"/>
    </row>
    <row r="453" spans="1:17">
      <c r="A453" s="1" t="s">
        <v>25</v>
      </c>
      <c r="B453" s="1" t="s">
        <v>21</v>
      </c>
      <c r="C453" s="1" t="s">
        <v>16</v>
      </c>
      <c r="D453" s="2" t="s">
        <v>123</v>
      </c>
      <c r="E453" s="4">
        <v>45841</v>
      </c>
      <c r="F453" s="2">
        <f t="shared" si="16"/>
        <v>147</v>
      </c>
      <c r="G453" s="2">
        <v>1</v>
      </c>
      <c r="H453" s="1" t="s">
        <v>100</v>
      </c>
      <c r="I453" s="1">
        <v>8</v>
      </c>
      <c r="J453" s="1">
        <v>0</v>
      </c>
      <c r="K453" s="2"/>
      <c r="L453" s="2"/>
      <c r="M453" s="2"/>
      <c r="N453" s="2"/>
      <c r="O453" s="2"/>
      <c r="P453" s="2">
        <v>0</v>
      </c>
      <c r="Q453" s="2"/>
    </row>
    <row r="454" spans="1:17">
      <c r="A454" s="1" t="s">
        <v>25</v>
      </c>
      <c r="B454" s="1" t="s">
        <v>21</v>
      </c>
      <c r="C454" s="1" t="s">
        <v>16</v>
      </c>
      <c r="D454" s="2" t="s">
        <v>123</v>
      </c>
      <c r="E454" s="4">
        <v>45841</v>
      </c>
      <c r="F454" s="2">
        <f t="shared" si="16"/>
        <v>147</v>
      </c>
      <c r="G454" s="2">
        <v>2</v>
      </c>
      <c r="H454" s="1" t="s">
        <v>100</v>
      </c>
      <c r="I454" s="1">
        <v>1</v>
      </c>
      <c r="J454" s="1">
        <v>2</v>
      </c>
      <c r="K454" s="2"/>
      <c r="L454" s="2"/>
      <c r="M454" s="2"/>
      <c r="N454" s="2"/>
      <c r="O454" s="2"/>
      <c r="P454" s="2">
        <v>2</v>
      </c>
      <c r="Q454" s="2"/>
    </row>
    <row r="455" spans="1:17">
      <c r="A455" s="1" t="s">
        <v>25</v>
      </c>
      <c r="B455" s="1" t="s">
        <v>21</v>
      </c>
      <c r="C455" s="1" t="s">
        <v>16</v>
      </c>
      <c r="D455" s="2" t="s">
        <v>123</v>
      </c>
      <c r="E455" s="4">
        <v>45841</v>
      </c>
      <c r="F455" s="2">
        <f t="shared" si="16"/>
        <v>147</v>
      </c>
      <c r="G455" s="2">
        <v>3</v>
      </c>
      <c r="H455" s="1" t="s">
        <v>100</v>
      </c>
      <c r="I455" s="1">
        <v>6</v>
      </c>
      <c r="J455" s="1">
        <v>2</v>
      </c>
      <c r="K455" s="2"/>
      <c r="L455" s="2"/>
      <c r="M455" s="2"/>
      <c r="N455" s="2"/>
      <c r="O455" s="2"/>
      <c r="P455" s="2">
        <v>1</v>
      </c>
      <c r="Q455" s="2"/>
    </row>
    <row r="456" spans="1:17">
      <c r="A456" s="1" t="s">
        <v>25</v>
      </c>
      <c r="B456" s="1" t="s">
        <v>20</v>
      </c>
      <c r="C456" s="15" t="s">
        <v>17</v>
      </c>
      <c r="D456" s="2" t="s">
        <v>123</v>
      </c>
      <c r="E456" s="4">
        <v>45845</v>
      </c>
      <c r="F456" s="2">
        <f t="shared" si="16"/>
        <v>148</v>
      </c>
      <c r="G456" s="2">
        <v>1</v>
      </c>
      <c r="H456" s="1" t="s">
        <v>109</v>
      </c>
      <c r="I456" s="1">
        <v>0</v>
      </c>
      <c r="K456" s="2">
        <v>2</v>
      </c>
      <c r="L456" s="2"/>
      <c r="M456" s="2"/>
      <c r="N456" s="2"/>
      <c r="O456" s="2"/>
      <c r="P456" s="2">
        <v>1</v>
      </c>
      <c r="Q456" s="2"/>
    </row>
    <row r="457" spans="1:17">
      <c r="A457" s="1" t="s">
        <v>25</v>
      </c>
      <c r="B457" s="1" t="s">
        <v>20</v>
      </c>
      <c r="C457" s="15" t="s">
        <v>17</v>
      </c>
      <c r="D457" s="2" t="s">
        <v>123</v>
      </c>
      <c r="E457" s="4">
        <v>45845</v>
      </c>
      <c r="F457" s="2">
        <f t="shared" si="16"/>
        <v>148</v>
      </c>
      <c r="G457" s="2">
        <v>2</v>
      </c>
      <c r="H457" s="1" t="s">
        <v>109</v>
      </c>
      <c r="I457" s="1">
        <v>0</v>
      </c>
      <c r="K457" s="2">
        <v>1</v>
      </c>
      <c r="L457" s="2"/>
      <c r="M457" s="2"/>
      <c r="N457" s="2"/>
      <c r="O457" s="2"/>
      <c r="P457" s="2">
        <v>0</v>
      </c>
      <c r="Q457" s="2"/>
    </row>
    <row r="458" spans="1:17">
      <c r="A458" s="1" t="s">
        <v>25</v>
      </c>
      <c r="B458" s="1" t="s">
        <v>20</v>
      </c>
      <c r="C458" s="15" t="s">
        <v>17</v>
      </c>
      <c r="D458" s="2" t="s">
        <v>123</v>
      </c>
      <c r="E458" s="4">
        <v>45845</v>
      </c>
      <c r="F458" s="2">
        <f t="shared" si="16"/>
        <v>148</v>
      </c>
      <c r="G458" s="2">
        <v>3</v>
      </c>
      <c r="H458" s="1" t="s">
        <v>109</v>
      </c>
      <c r="I458" s="1">
        <v>1</v>
      </c>
      <c r="K458" s="2">
        <v>2</v>
      </c>
      <c r="L458" s="2"/>
      <c r="M458" s="2"/>
      <c r="N458" s="2"/>
      <c r="O458" s="2"/>
      <c r="P458" s="2">
        <v>3</v>
      </c>
      <c r="Q458" s="2"/>
    </row>
    <row r="459" spans="1:17">
      <c r="A459" s="1" t="s">
        <v>25</v>
      </c>
      <c r="B459" s="1" t="s">
        <v>20</v>
      </c>
      <c r="C459" s="1" t="s">
        <v>16</v>
      </c>
      <c r="D459" s="2" t="s">
        <v>123</v>
      </c>
      <c r="E459" s="4">
        <v>45845</v>
      </c>
      <c r="F459" s="2">
        <f t="shared" si="16"/>
        <v>149</v>
      </c>
      <c r="G459" s="2">
        <v>1</v>
      </c>
      <c r="H459" s="1" t="s">
        <v>110</v>
      </c>
      <c r="I459" s="1">
        <v>2</v>
      </c>
      <c r="K459" s="2">
        <v>5</v>
      </c>
      <c r="L459" s="2"/>
      <c r="M459" s="2"/>
      <c r="N459" s="2"/>
      <c r="O459" s="2"/>
      <c r="P459" s="2">
        <v>1</v>
      </c>
      <c r="Q459" s="2"/>
    </row>
    <row r="460" spans="1:17">
      <c r="A460" s="1" t="s">
        <v>25</v>
      </c>
      <c r="B460" s="1" t="s">
        <v>20</v>
      </c>
      <c r="C460" s="1" t="s">
        <v>16</v>
      </c>
      <c r="D460" s="2" t="s">
        <v>123</v>
      </c>
      <c r="E460" s="4">
        <v>45845</v>
      </c>
      <c r="F460" s="2">
        <f t="shared" si="16"/>
        <v>149</v>
      </c>
      <c r="G460" s="2">
        <v>2</v>
      </c>
      <c r="H460" s="1" t="s">
        <v>110</v>
      </c>
      <c r="I460" s="1">
        <v>6</v>
      </c>
      <c r="K460" s="2">
        <v>0</v>
      </c>
      <c r="L460" s="2"/>
      <c r="M460" s="2"/>
      <c r="N460" s="2"/>
      <c r="O460" s="2"/>
      <c r="P460" s="2">
        <v>5</v>
      </c>
      <c r="Q460" s="2"/>
    </row>
    <row r="461" spans="1:17">
      <c r="A461" s="1" t="s">
        <v>25</v>
      </c>
      <c r="B461" s="1" t="s">
        <v>20</v>
      </c>
      <c r="C461" s="1" t="s">
        <v>16</v>
      </c>
      <c r="D461" s="2" t="s">
        <v>123</v>
      </c>
      <c r="E461" s="4">
        <v>45845</v>
      </c>
      <c r="F461" s="2">
        <f t="shared" si="16"/>
        <v>149</v>
      </c>
      <c r="G461" s="2">
        <v>3</v>
      </c>
      <c r="H461" s="1" t="s">
        <v>110</v>
      </c>
      <c r="I461" s="1">
        <v>1</v>
      </c>
      <c r="K461" s="2">
        <v>0</v>
      </c>
      <c r="L461" s="2"/>
      <c r="M461" s="2"/>
      <c r="N461" s="2"/>
      <c r="O461" s="2"/>
      <c r="P461" s="2">
        <v>0</v>
      </c>
      <c r="Q461" s="2"/>
    </row>
    <row r="462" spans="1:17">
      <c r="A462" s="1" t="s">
        <v>25</v>
      </c>
      <c r="B462" s="1" t="s">
        <v>20</v>
      </c>
      <c r="C462" s="1" t="s">
        <v>16</v>
      </c>
      <c r="D462" s="2" t="s">
        <v>123</v>
      </c>
      <c r="E462" s="4">
        <v>45845</v>
      </c>
      <c r="F462" s="2">
        <f t="shared" si="16"/>
        <v>150</v>
      </c>
      <c r="G462" s="2">
        <v>1</v>
      </c>
      <c r="H462" s="1" t="s">
        <v>111</v>
      </c>
      <c r="I462" s="1">
        <v>0</v>
      </c>
      <c r="K462" s="2"/>
      <c r="L462" s="2"/>
      <c r="M462" s="2"/>
      <c r="N462" s="2"/>
      <c r="O462" s="2"/>
      <c r="P462" s="2">
        <v>8</v>
      </c>
      <c r="Q462" s="2"/>
    </row>
    <row r="463" spans="1:17">
      <c r="A463" s="1" t="s">
        <v>25</v>
      </c>
      <c r="B463" s="1" t="s">
        <v>20</v>
      </c>
      <c r="C463" s="1" t="s">
        <v>16</v>
      </c>
      <c r="D463" s="2" t="s">
        <v>123</v>
      </c>
      <c r="E463" s="4">
        <v>45845</v>
      </c>
      <c r="F463" s="2">
        <f t="shared" si="16"/>
        <v>150</v>
      </c>
      <c r="G463" s="2">
        <v>2</v>
      </c>
      <c r="H463" s="1" t="s">
        <v>111</v>
      </c>
      <c r="I463" s="1">
        <v>4</v>
      </c>
      <c r="K463" s="2"/>
      <c r="L463" s="2"/>
      <c r="M463" s="2"/>
      <c r="N463" s="2"/>
      <c r="O463" s="2"/>
      <c r="P463" s="2">
        <v>0</v>
      </c>
      <c r="Q463" s="2"/>
    </row>
    <row r="464" spans="1:17">
      <c r="A464" s="1" t="s">
        <v>25</v>
      </c>
      <c r="B464" s="1" t="s">
        <v>20</v>
      </c>
      <c r="C464" s="1" t="s">
        <v>16</v>
      </c>
      <c r="D464" s="2" t="s">
        <v>123</v>
      </c>
      <c r="E464" s="4">
        <v>45845</v>
      </c>
      <c r="F464" s="2">
        <f t="shared" si="16"/>
        <v>150</v>
      </c>
      <c r="G464" s="2">
        <v>3</v>
      </c>
      <c r="H464" s="1" t="s">
        <v>111</v>
      </c>
      <c r="I464" s="1">
        <v>5</v>
      </c>
      <c r="K464" s="2"/>
      <c r="L464" s="2"/>
      <c r="M464" s="2"/>
      <c r="N464" s="2"/>
      <c r="O464" s="2"/>
      <c r="P464" s="2">
        <v>3</v>
      </c>
      <c r="Q464" s="2"/>
    </row>
    <row r="465" spans="1:17">
      <c r="A465" s="1" t="s">
        <v>25</v>
      </c>
      <c r="B465" s="1" t="s">
        <v>20</v>
      </c>
      <c r="C465" s="1" t="s">
        <v>16</v>
      </c>
      <c r="D465" s="2" t="s">
        <v>123</v>
      </c>
      <c r="E465" s="4">
        <v>45846</v>
      </c>
      <c r="F465" s="2">
        <f t="shared" si="16"/>
        <v>151</v>
      </c>
      <c r="G465" s="2">
        <v>1</v>
      </c>
      <c r="H465" s="1" t="s">
        <v>103</v>
      </c>
      <c r="I465" s="1">
        <v>8</v>
      </c>
      <c r="K465" s="2"/>
      <c r="L465" s="2"/>
      <c r="M465" s="2"/>
      <c r="N465" s="2"/>
      <c r="O465" s="2"/>
      <c r="P465" s="2">
        <v>0</v>
      </c>
      <c r="Q465" s="2"/>
    </row>
    <row r="466" spans="1:17">
      <c r="A466" s="1" t="s">
        <v>25</v>
      </c>
      <c r="B466" s="1" t="s">
        <v>20</v>
      </c>
      <c r="C466" s="1" t="s">
        <v>16</v>
      </c>
      <c r="D466" s="2" t="s">
        <v>123</v>
      </c>
      <c r="E466" s="4">
        <v>45846</v>
      </c>
      <c r="F466" s="2">
        <f t="shared" si="16"/>
        <v>151</v>
      </c>
      <c r="G466" s="2">
        <v>2</v>
      </c>
      <c r="H466" s="1" t="s">
        <v>103</v>
      </c>
      <c r="I466" s="1">
        <v>3</v>
      </c>
      <c r="K466" s="2"/>
      <c r="L466" s="2"/>
      <c r="M466" s="2"/>
      <c r="N466" s="2"/>
      <c r="O466" s="2"/>
      <c r="P466" s="2">
        <v>0</v>
      </c>
      <c r="Q466" s="2"/>
    </row>
    <row r="467" spans="1:17">
      <c r="A467" s="1" t="s">
        <v>25</v>
      </c>
      <c r="B467" s="1" t="s">
        <v>20</v>
      </c>
      <c r="C467" s="1" t="s">
        <v>16</v>
      </c>
      <c r="D467" s="2" t="s">
        <v>123</v>
      </c>
      <c r="E467" s="4">
        <v>45846</v>
      </c>
      <c r="F467" s="2">
        <f t="shared" si="16"/>
        <v>151</v>
      </c>
      <c r="G467" s="2">
        <v>3</v>
      </c>
      <c r="H467" s="1" t="s">
        <v>103</v>
      </c>
      <c r="I467" s="1">
        <v>6</v>
      </c>
      <c r="K467" s="2"/>
      <c r="L467" s="2"/>
      <c r="M467" s="2"/>
      <c r="N467" s="2"/>
      <c r="O467" s="2"/>
      <c r="P467" s="2">
        <v>6</v>
      </c>
      <c r="Q467" s="2"/>
    </row>
    <row r="468" spans="1:17">
      <c r="A468" s="1" t="s">
        <v>25</v>
      </c>
      <c r="B468" s="1" t="s">
        <v>19</v>
      </c>
      <c r="C468" s="1" t="s">
        <v>16</v>
      </c>
      <c r="D468" s="2" t="s">
        <v>123</v>
      </c>
      <c r="E468" s="4">
        <v>45846</v>
      </c>
      <c r="F468" s="2">
        <f t="shared" si="16"/>
        <v>152</v>
      </c>
      <c r="G468" s="2">
        <v>1</v>
      </c>
      <c r="H468" s="1" t="s">
        <v>111</v>
      </c>
      <c r="I468" s="1">
        <v>2</v>
      </c>
      <c r="K468" s="2"/>
      <c r="L468" s="2"/>
      <c r="M468" s="2"/>
      <c r="N468" s="2"/>
      <c r="O468" s="2"/>
      <c r="P468" s="2">
        <v>0</v>
      </c>
      <c r="Q468" s="2"/>
    </row>
    <row r="469" spans="1:17">
      <c r="A469" s="1" t="s">
        <v>25</v>
      </c>
      <c r="B469" s="1" t="s">
        <v>19</v>
      </c>
      <c r="C469" s="1" t="s">
        <v>16</v>
      </c>
      <c r="D469" s="2" t="s">
        <v>123</v>
      </c>
      <c r="E469" s="4">
        <v>45846</v>
      </c>
      <c r="F469" s="2">
        <f t="shared" si="16"/>
        <v>152</v>
      </c>
      <c r="G469" s="2">
        <v>2</v>
      </c>
      <c r="H469" s="1" t="s">
        <v>111</v>
      </c>
      <c r="I469" s="1">
        <v>2</v>
      </c>
      <c r="K469" s="2"/>
      <c r="L469" s="2"/>
      <c r="M469" s="2"/>
      <c r="N469" s="2"/>
      <c r="O469" s="2"/>
      <c r="P469" s="2">
        <v>3</v>
      </c>
      <c r="Q469" s="2"/>
    </row>
    <row r="470" spans="1:17">
      <c r="A470" s="1" t="s">
        <v>25</v>
      </c>
      <c r="B470" s="1" t="s">
        <v>19</v>
      </c>
      <c r="C470" s="1" t="s">
        <v>16</v>
      </c>
      <c r="D470" s="2" t="s">
        <v>123</v>
      </c>
      <c r="E470" s="4">
        <v>45846</v>
      </c>
      <c r="F470" s="2">
        <f t="shared" si="16"/>
        <v>152</v>
      </c>
      <c r="G470" s="2">
        <v>3</v>
      </c>
      <c r="H470" s="1" t="s">
        <v>111</v>
      </c>
      <c r="I470" s="1">
        <v>1</v>
      </c>
      <c r="K470" s="2"/>
      <c r="L470" s="2"/>
      <c r="M470" s="2"/>
      <c r="N470" s="2"/>
      <c r="O470" s="2"/>
      <c r="P470" s="2">
        <v>2</v>
      </c>
      <c r="Q470" s="2"/>
    </row>
    <row r="471" spans="1:17">
      <c r="A471" s="1" t="s">
        <v>25</v>
      </c>
      <c r="B471" s="1" t="s">
        <v>19</v>
      </c>
      <c r="C471" s="1" t="s">
        <v>16</v>
      </c>
      <c r="D471" s="2" t="s">
        <v>123</v>
      </c>
      <c r="E471" s="4">
        <v>45846</v>
      </c>
      <c r="F471" s="2">
        <v>152</v>
      </c>
      <c r="G471" s="2" t="s">
        <v>82</v>
      </c>
      <c r="H471" s="1" t="s">
        <v>111</v>
      </c>
      <c r="I471" s="1">
        <v>6</v>
      </c>
      <c r="K471" s="2"/>
      <c r="L471" s="2"/>
      <c r="M471" s="2"/>
      <c r="N471" s="2"/>
      <c r="O471" s="2"/>
      <c r="P471" s="2">
        <v>0</v>
      </c>
      <c r="Q471" s="2"/>
    </row>
    <row r="472" spans="1:17">
      <c r="A472" s="1" t="s">
        <v>25</v>
      </c>
      <c r="B472" s="1" t="s">
        <v>20</v>
      </c>
      <c r="C472" s="1" t="s">
        <v>16</v>
      </c>
      <c r="D472" s="2" t="s">
        <v>123</v>
      </c>
      <c r="E472" s="4">
        <v>45847</v>
      </c>
      <c r="F472" s="2">
        <f t="shared" si="16"/>
        <v>153</v>
      </c>
      <c r="G472" s="2">
        <v>1</v>
      </c>
      <c r="H472" s="1" t="s">
        <v>103</v>
      </c>
      <c r="I472" s="1">
        <v>3</v>
      </c>
      <c r="K472" s="2"/>
      <c r="L472" s="2"/>
      <c r="M472" s="2"/>
      <c r="N472" s="2"/>
      <c r="O472" s="2"/>
      <c r="P472" s="2">
        <v>5</v>
      </c>
      <c r="Q472" s="2"/>
    </row>
    <row r="473" spans="1:17">
      <c r="A473" s="1" t="s">
        <v>25</v>
      </c>
      <c r="B473" s="1" t="s">
        <v>20</v>
      </c>
      <c r="C473" s="1" t="s">
        <v>16</v>
      </c>
      <c r="D473" s="2" t="s">
        <v>123</v>
      </c>
      <c r="E473" s="4">
        <v>45847</v>
      </c>
      <c r="F473" s="2">
        <f t="shared" si="16"/>
        <v>153</v>
      </c>
      <c r="G473" s="2">
        <v>2</v>
      </c>
      <c r="H473" s="1" t="s">
        <v>103</v>
      </c>
      <c r="I473" s="1">
        <v>0</v>
      </c>
      <c r="K473" s="2"/>
      <c r="L473" s="2"/>
      <c r="M473" s="2"/>
      <c r="N473" s="2"/>
      <c r="O473" s="2"/>
      <c r="P473" s="2">
        <v>3</v>
      </c>
      <c r="Q473" s="2"/>
    </row>
    <row r="474" spans="1:17">
      <c r="A474" s="1" t="s">
        <v>25</v>
      </c>
      <c r="B474" s="1" t="s">
        <v>20</v>
      </c>
      <c r="C474" s="1" t="s">
        <v>16</v>
      </c>
      <c r="D474" s="2" t="s">
        <v>123</v>
      </c>
      <c r="E474" s="4">
        <v>45847</v>
      </c>
      <c r="F474" s="2">
        <f t="shared" si="16"/>
        <v>153</v>
      </c>
      <c r="G474" s="2">
        <v>3</v>
      </c>
      <c r="H474" s="1" t="s">
        <v>103</v>
      </c>
      <c r="I474" s="1">
        <v>1</v>
      </c>
      <c r="K474" s="2"/>
      <c r="L474" s="2"/>
      <c r="M474" s="2"/>
      <c r="N474" s="2"/>
      <c r="O474" s="2"/>
      <c r="P474" s="2">
        <v>2</v>
      </c>
      <c r="Q474" s="2"/>
    </row>
    <row r="475" spans="1:17">
      <c r="A475" s="1" t="s">
        <v>25</v>
      </c>
      <c r="B475" s="1" t="s">
        <v>19</v>
      </c>
      <c r="C475" s="1" t="s">
        <v>16</v>
      </c>
      <c r="D475" s="2" t="s">
        <v>123</v>
      </c>
      <c r="E475" s="4">
        <v>45847</v>
      </c>
      <c r="F475" s="2">
        <f t="shared" si="16"/>
        <v>154</v>
      </c>
      <c r="G475" s="2">
        <v>1</v>
      </c>
      <c r="H475" s="1" t="s">
        <v>111</v>
      </c>
      <c r="I475" s="1">
        <v>4</v>
      </c>
      <c r="K475" s="2"/>
      <c r="L475" s="2"/>
      <c r="M475" s="2"/>
      <c r="N475" s="2"/>
      <c r="O475" s="2"/>
      <c r="P475" s="2">
        <v>0</v>
      </c>
      <c r="Q475" s="2"/>
    </row>
    <row r="476" spans="1:17">
      <c r="A476" s="1" t="s">
        <v>25</v>
      </c>
      <c r="B476" s="1" t="s">
        <v>19</v>
      </c>
      <c r="C476" s="1" t="s">
        <v>16</v>
      </c>
      <c r="D476" s="2" t="s">
        <v>123</v>
      </c>
      <c r="E476" s="4">
        <v>45847</v>
      </c>
      <c r="F476" s="2">
        <f t="shared" si="16"/>
        <v>154</v>
      </c>
      <c r="G476" s="2">
        <v>2</v>
      </c>
      <c r="H476" s="1" t="s">
        <v>111</v>
      </c>
      <c r="I476" s="1">
        <v>1</v>
      </c>
      <c r="K476" s="2"/>
      <c r="L476" s="2"/>
      <c r="M476" s="2"/>
      <c r="N476" s="2"/>
      <c r="O476" s="2"/>
      <c r="P476" s="2">
        <v>1</v>
      </c>
      <c r="Q476" s="2"/>
    </row>
    <row r="477" spans="1:17">
      <c r="A477" s="1" t="s">
        <v>25</v>
      </c>
      <c r="B477" s="1" t="s">
        <v>19</v>
      </c>
      <c r="C477" s="1" t="s">
        <v>16</v>
      </c>
      <c r="D477" s="2" t="s">
        <v>123</v>
      </c>
      <c r="E477" s="4">
        <v>45847</v>
      </c>
      <c r="F477" s="2">
        <f t="shared" si="16"/>
        <v>154</v>
      </c>
      <c r="G477" s="2">
        <v>3</v>
      </c>
      <c r="H477" s="1" t="s">
        <v>111</v>
      </c>
      <c r="I477" s="1">
        <v>0</v>
      </c>
      <c r="K477" s="2"/>
      <c r="L477" s="2"/>
      <c r="M477" s="2"/>
      <c r="N477" s="2"/>
      <c r="O477" s="2"/>
      <c r="P477" s="2">
        <v>1</v>
      </c>
      <c r="Q477" s="2"/>
    </row>
    <row r="478" spans="1:17">
      <c r="A478" s="1" t="s">
        <v>25</v>
      </c>
      <c r="B478" s="1" t="s">
        <v>20</v>
      </c>
      <c r="C478" s="1" t="s">
        <v>16</v>
      </c>
      <c r="D478" s="2" t="s">
        <v>123</v>
      </c>
      <c r="E478" s="4">
        <v>45847</v>
      </c>
      <c r="F478" s="2">
        <f t="shared" si="16"/>
        <v>155</v>
      </c>
      <c r="G478" s="2">
        <v>1</v>
      </c>
      <c r="H478" s="1" t="s">
        <v>103</v>
      </c>
      <c r="I478" s="1">
        <v>1</v>
      </c>
      <c r="K478" s="2"/>
      <c r="L478" s="2"/>
      <c r="M478" s="2"/>
      <c r="N478" s="2"/>
      <c r="O478" s="2"/>
      <c r="P478" s="2">
        <v>0</v>
      </c>
      <c r="Q478" s="2"/>
    </row>
    <row r="479" spans="1:17">
      <c r="A479" s="1" t="s">
        <v>25</v>
      </c>
      <c r="B479" s="1" t="s">
        <v>20</v>
      </c>
      <c r="C479" s="1" t="s">
        <v>16</v>
      </c>
      <c r="D479" s="2" t="s">
        <v>123</v>
      </c>
      <c r="E479" s="4">
        <v>45847</v>
      </c>
      <c r="F479" s="2">
        <f t="shared" si="16"/>
        <v>155</v>
      </c>
      <c r="G479" s="2">
        <v>2</v>
      </c>
      <c r="H479" s="1" t="s">
        <v>103</v>
      </c>
      <c r="I479" s="1">
        <v>6</v>
      </c>
      <c r="K479" s="2"/>
      <c r="L479" s="2"/>
      <c r="M479" s="2"/>
      <c r="N479" s="2"/>
      <c r="O479" s="2"/>
      <c r="P479" s="2">
        <v>1</v>
      </c>
      <c r="Q479" s="2"/>
    </row>
    <row r="480" spans="1:17">
      <c r="A480" s="1" t="s">
        <v>25</v>
      </c>
      <c r="B480" s="1" t="s">
        <v>20</v>
      </c>
      <c r="C480" s="1" t="s">
        <v>16</v>
      </c>
      <c r="D480" s="2" t="s">
        <v>123</v>
      </c>
      <c r="E480" s="4">
        <v>45847</v>
      </c>
      <c r="F480" s="2">
        <f t="shared" si="16"/>
        <v>155</v>
      </c>
      <c r="G480" s="2">
        <v>3</v>
      </c>
      <c r="H480" s="1" t="s">
        <v>103</v>
      </c>
      <c r="I480" s="1">
        <v>2</v>
      </c>
      <c r="K480" s="2"/>
      <c r="L480" s="2"/>
      <c r="M480" s="2"/>
      <c r="N480" s="2"/>
      <c r="O480" s="2"/>
      <c r="P480" s="2">
        <v>0</v>
      </c>
      <c r="Q480" s="2"/>
    </row>
    <row r="481" spans="1:17">
      <c r="A481" s="1" t="s">
        <v>25</v>
      </c>
      <c r="B481" s="1" t="s">
        <v>20</v>
      </c>
      <c r="C481" s="1" t="s">
        <v>16</v>
      </c>
      <c r="D481" s="2" t="s">
        <v>123</v>
      </c>
      <c r="E481" s="4">
        <v>45848</v>
      </c>
      <c r="F481" s="2">
        <f t="shared" si="16"/>
        <v>156</v>
      </c>
      <c r="G481" s="2">
        <v>1</v>
      </c>
      <c r="H481" s="1" t="s">
        <v>111</v>
      </c>
      <c r="I481" s="1">
        <v>6</v>
      </c>
      <c r="K481" s="2"/>
      <c r="L481" s="2"/>
      <c r="M481" s="2"/>
      <c r="N481" s="2"/>
      <c r="O481" s="2"/>
      <c r="P481" s="2">
        <v>0</v>
      </c>
      <c r="Q481" s="2"/>
    </row>
    <row r="482" spans="1:17">
      <c r="A482" s="1" t="s">
        <v>25</v>
      </c>
      <c r="B482" s="1" t="s">
        <v>20</v>
      </c>
      <c r="C482" s="1" t="s">
        <v>16</v>
      </c>
      <c r="D482" s="2" t="s">
        <v>123</v>
      </c>
      <c r="E482" s="4">
        <v>45848</v>
      </c>
      <c r="F482" s="2">
        <f t="shared" si="16"/>
        <v>156</v>
      </c>
      <c r="G482" s="2">
        <v>2</v>
      </c>
      <c r="H482" s="1" t="s">
        <v>111</v>
      </c>
      <c r="I482" s="1">
        <v>0</v>
      </c>
      <c r="K482" s="2"/>
      <c r="L482" s="2"/>
      <c r="M482" s="2"/>
      <c r="N482" s="2"/>
      <c r="O482" s="2"/>
      <c r="P482" s="2">
        <v>1</v>
      </c>
      <c r="Q482" s="2"/>
    </row>
    <row r="483" spans="1:17">
      <c r="A483" s="1" t="s">
        <v>25</v>
      </c>
      <c r="B483" s="1" t="s">
        <v>20</v>
      </c>
      <c r="C483" s="1" t="s">
        <v>16</v>
      </c>
      <c r="D483" s="2" t="s">
        <v>123</v>
      </c>
      <c r="E483" s="4">
        <v>45848</v>
      </c>
      <c r="F483" s="2">
        <f t="shared" si="16"/>
        <v>156</v>
      </c>
      <c r="G483" s="2">
        <v>3</v>
      </c>
      <c r="H483" s="1" t="s">
        <v>111</v>
      </c>
      <c r="I483" s="1">
        <v>7</v>
      </c>
      <c r="K483" s="2"/>
      <c r="L483" s="2"/>
      <c r="M483" s="2"/>
      <c r="N483" s="2"/>
      <c r="O483" s="2"/>
      <c r="P483" s="2">
        <v>0</v>
      </c>
      <c r="Q483" s="2"/>
    </row>
    <row r="484" spans="1:17">
      <c r="A484" s="1" t="s">
        <v>25</v>
      </c>
      <c r="B484" s="1" t="s">
        <v>21</v>
      </c>
      <c r="C484" s="1" t="s">
        <v>16</v>
      </c>
      <c r="D484" s="2" t="s">
        <v>123</v>
      </c>
      <c r="E484" s="4">
        <v>45848</v>
      </c>
      <c r="F484" s="2">
        <f t="shared" si="16"/>
        <v>157</v>
      </c>
      <c r="G484" s="2">
        <v>1</v>
      </c>
      <c r="H484" s="1" t="s">
        <v>103</v>
      </c>
      <c r="I484" s="1">
        <v>1</v>
      </c>
      <c r="K484" s="2"/>
      <c r="L484" s="2"/>
      <c r="M484" s="2"/>
      <c r="N484" s="2"/>
      <c r="O484" s="2"/>
      <c r="P484" s="2">
        <v>1</v>
      </c>
      <c r="Q484" s="2"/>
    </row>
    <row r="485" spans="1:17">
      <c r="A485" s="1" t="s">
        <v>25</v>
      </c>
      <c r="B485" s="1" t="s">
        <v>21</v>
      </c>
      <c r="C485" s="1" t="s">
        <v>16</v>
      </c>
      <c r="D485" s="2" t="s">
        <v>123</v>
      </c>
      <c r="E485" s="4">
        <v>45848</v>
      </c>
      <c r="F485" s="2">
        <f t="shared" si="16"/>
        <v>157</v>
      </c>
      <c r="G485" s="2">
        <v>2</v>
      </c>
      <c r="H485" s="1" t="s">
        <v>103</v>
      </c>
      <c r="I485" s="1">
        <v>1</v>
      </c>
      <c r="K485" s="2"/>
      <c r="L485" s="2"/>
      <c r="M485" s="2"/>
      <c r="N485" s="2"/>
      <c r="O485" s="2"/>
      <c r="P485" s="2">
        <v>0</v>
      </c>
      <c r="Q485" s="2"/>
    </row>
    <row r="486" spans="1:17">
      <c r="A486" s="1" t="s">
        <v>25</v>
      </c>
      <c r="B486" s="1" t="s">
        <v>21</v>
      </c>
      <c r="C486" s="1" t="s">
        <v>16</v>
      </c>
      <c r="D486" s="2" t="s">
        <v>123</v>
      </c>
      <c r="E486" s="4">
        <v>45848</v>
      </c>
      <c r="F486" s="2">
        <f t="shared" si="16"/>
        <v>157</v>
      </c>
      <c r="G486" s="2">
        <v>3</v>
      </c>
      <c r="H486" s="1" t="s">
        <v>103</v>
      </c>
      <c r="I486" s="1">
        <v>1</v>
      </c>
      <c r="K486" s="2"/>
      <c r="L486" s="2"/>
      <c r="M486" s="2"/>
      <c r="N486" s="2"/>
      <c r="O486" s="2"/>
      <c r="P486" s="2">
        <v>2</v>
      </c>
      <c r="Q486" s="2"/>
    </row>
    <row r="487" spans="1:17">
      <c r="A487" s="1" t="s">
        <v>25</v>
      </c>
      <c r="B487" s="1" t="s">
        <v>21</v>
      </c>
      <c r="C487" s="1" t="s">
        <v>16</v>
      </c>
      <c r="D487" s="2" t="s">
        <v>123</v>
      </c>
      <c r="E487" s="4">
        <v>45848</v>
      </c>
      <c r="F487" s="2">
        <v>157</v>
      </c>
      <c r="G487" s="2" t="s">
        <v>82</v>
      </c>
      <c r="H487" s="1" t="s">
        <v>103</v>
      </c>
      <c r="I487" s="1">
        <v>0</v>
      </c>
      <c r="K487" s="2"/>
      <c r="L487" s="2"/>
      <c r="M487" s="2"/>
      <c r="N487" s="2"/>
      <c r="O487" s="2"/>
      <c r="P487" s="2">
        <v>0</v>
      </c>
      <c r="Q487" s="2"/>
    </row>
    <row r="488" spans="1:17">
      <c r="A488" s="1" t="s">
        <v>25</v>
      </c>
      <c r="B488" s="1" t="s">
        <v>21</v>
      </c>
      <c r="C488" s="1" t="s">
        <v>16</v>
      </c>
      <c r="D488" s="2" t="s">
        <v>123</v>
      </c>
      <c r="E488" s="4">
        <v>45848</v>
      </c>
      <c r="F488" s="2">
        <v>157</v>
      </c>
      <c r="G488" s="2" t="s">
        <v>83</v>
      </c>
      <c r="H488" s="1" t="s">
        <v>103</v>
      </c>
      <c r="I488" s="1">
        <v>1</v>
      </c>
      <c r="K488" s="2"/>
      <c r="L488" s="2"/>
      <c r="M488" s="2"/>
      <c r="N488" s="2"/>
      <c r="O488" s="2"/>
      <c r="P488" s="2">
        <v>0</v>
      </c>
      <c r="Q488" s="2"/>
    </row>
    <row r="489" spans="1:17">
      <c r="A489" s="1" t="s">
        <v>25</v>
      </c>
      <c r="B489" s="1" t="s">
        <v>19</v>
      </c>
      <c r="C489" s="1" t="s">
        <v>16</v>
      </c>
      <c r="D489" s="2" t="s">
        <v>123</v>
      </c>
      <c r="E489" s="4">
        <v>45848</v>
      </c>
      <c r="F489" s="2">
        <f t="shared" ref="F489:F494" si="17">F486+1</f>
        <v>158</v>
      </c>
      <c r="G489" s="2">
        <v>1</v>
      </c>
      <c r="H489" s="1" t="s">
        <v>103</v>
      </c>
      <c r="I489" s="1">
        <v>1</v>
      </c>
      <c r="K489" s="2"/>
      <c r="L489" s="2"/>
      <c r="M489" s="2"/>
      <c r="N489" s="2"/>
      <c r="O489" s="2"/>
      <c r="P489" s="2">
        <v>0</v>
      </c>
      <c r="Q489" s="2"/>
    </row>
    <row r="490" spans="1:17">
      <c r="A490" s="1" t="s">
        <v>25</v>
      </c>
      <c r="B490" s="1" t="s">
        <v>19</v>
      </c>
      <c r="C490" s="1" t="s">
        <v>16</v>
      </c>
      <c r="D490" s="2" t="s">
        <v>123</v>
      </c>
      <c r="E490" s="4">
        <v>45848</v>
      </c>
      <c r="F490" s="2">
        <f t="shared" si="17"/>
        <v>158</v>
      </c>
      <c r="G490" s="2">
        <v>2</v>
      </c>
      <c r="H490" s="1" t="s">
        <v>103</v>
      </c>
      <c r="I490" s="1">
        <v>4</v>
      </c>
      <c r="K490" s="2"/>
      <c r="L490" s="2"/>
      <c r="M490" s="2"/>
      <c r="N490" s="2"/>
      <c r="O490" s="2"/>
      <c r="P490" s="2">
        <v>0</v>
      </c>
      <c r="Q490" s="2"/>
    </row>
    <row r="491" spans="1:17">
      <c r="A491" s="1" t="s">
        <v>25</v>
      </c>
      <c r="B491" s="1" t="s">
        <v>19</v>
      </c>
      <c r="C491" s="1" t="s">
        <v>16</v>
      </c>
      <c r="D491" s="2" t="s">
        <v>123</v>
      </c>
      <c r="E491" s="4">
        <v>45848</v>
      </c>
      <c r="F491" s="2">
        <f t="shared" si="17"/>
        <v>158</v>
      </c>
      <c r="G491" s="2">
        <v>3</v>
      </c>
      <c r="H491" s="1" t="s">
        <v>103</v>
      </c>
      <c r="I491" s="1">
        <v>1</v>
      </c>
      <c r="K491" s="2"/>
      <c r="L491" s="2"/>
      <c r="M491" s="2"/>
      <c r="N491" s="2"/>
      <c r="O491" s="2"/>
      <c r="P491" s="2">
        <v>0</v>
      </c>
      <c r="Q491" s="2"/>
    </row>
    <row r="492" spans="1:17">
      <c r="A492" s="1" t="s">
        <v>25</v>
      </c>
      <c r="B492" s="1" t="s">
        <v>20</v>
      </c>
      <c r="C492" s="1" t="s">
        <v>16</v>
      </c>
      <c r="D492" s="2" t="s">
        <v>123</v>
      </c>
      <c r="E492" s="4">
        <v>45849</v>
      </c>
      <c r="F492" s="2">
        <f t="shared" si="17"/>
        <v>159</v>
      </c>
      <c r="G492" s="2">
        <v>1</v>
      </c>
      <c r="H492" s="1" t="s">
        <v>103</v>
      </c>
      <c r="I492" s="1">
        <v>6</v>
      </c>
      <c r="K492" s="2"/>
      <c r="L492" s="2"/>
      <c r="M492" s="2"/>
      <c r="N492" s="2"/>
      <c r="O492" s="2"/>
      <c r="P492" s="2">
        <v>3</v>
      </c>
      <c r="Q492" s="2"/>
    </row>
    <row r="493" spans="1:17">
      <c r="A493" s="1" t="s">
        <v>25</v>
      </c>
      <c r="B493" s="1" t="s">
        <v>20</v>
      </c>
      <c r="C493" s="1" t="s">
        <v>16</v>
      </c>
      <c r="D493" s="2" t="s">
        <v>123</v>
      </c>
      <c r="E493" s="4">
        <v>45849</v>
      </c>
      <c r="F493" s="2">
        <f t="shared" si="17"/>
        <v>159</v>
      </c>
      <c r="G493" s="2">
        <v>2</v>
      </c>
      <c r="H493" s="1" t="s">
        <v>103</v>
      </c>
      <c r="I493" s="1">
        <v>3</v>
      </c>
      <c r="K493" s="2"/>
      <c r="L493" s="2"/>
      <c r="M493" s="2"/>
      <c r="N493" s="2"/>
      <c r="O493" s="2"/>
      <c r="P493" s="2">
        <v>1</v>
      </c>
      <c r="Q493" s="2"/>
    </row>
    <row r="494" spans="1:17">
      <c r="A494" s="1" t="s">
        <v>25</v>
      </c>
      <c r="B494" s="1" t="s">
        <v>20</v>
      </c>
      <c r="C494" s="1" t="s">
        <v>16</v>
      </c>
      <c r="D494" s="2" t="s">
        <v>123</v>
      </c>
      <c r="E494" s="4">
        <v>45849</v>
      </c>
      <c r="F494" s="2">
        <f t="shared" si="17"/>
        <v>159</v>
      </c>
      <c r="G494" s="2">
        <v>3</v>
      </c>
      <c r="H494" s="1" t="s">
        <v>103</v>
      </c>
      <c r="I494" s="1">
        <v>3</v>
      </c>
      <c r="K494" s="2"/>
      <c r="L494" s="2"/>
      <c r="M494" s="2"/>
      <c r="N494" s="2"/>
      <c r="O494" s="2"/>
      <c r="P494" s="2">
        <v>2</v>
      </c>
      <c r="Q494" s="2"/>
    </row>
    <row r="495" spans="1:17">
      <c r="A495" s="1" t="s">
        <v>25</v>
      </c>
      <c r="B495" s="1" t="s">
        <v>20</v>
      </c>
      <c r="C495" s="1" t="s">
        <v>16</v>
      </c>
      <c r="D495" s="2" t="s">
        <v>123</v>
      </c>
      <c r="E495" s="4">
        <v>45849</v>
      </c>
      <c r="F495" s="2">
        <f t="shared" ref="F495:F559" si="18">F492+1</f>
        <v>160</v>
      </c>
      <c r="G495" s="2">
        <v>1</v>
      </c>
      <c r="H495" s="1" t="s">
        <v>111</v>
      </c>
      <c r="I495" s="1">
        <v>3</v>
      </c>
      <c r="K495" s="2"/>
      <c r="L495" s="2"/>
      <c r="M495" s="2"/>
      <c r="N495" s="2"/>
      <c r="O495" s="2"/>
      <c r="P495" s="2">
        <v>0</v>
      </c>
      <c r="Q495" s="2"/>
    </row>
    <row r="496" spans="1:17">
      <c r="A496" s="1" t="s">
        <v>25</v>
      </c>
      <c r="B496" s="1" t="s">
        <v>20</v>
      </c>
      <c r="C496" s="1" t="s">
        <v>16</v>
      </c>
      <c r="D496" s="2" t="s">
        <v>123</v>
      </c>
      <c r="E496" s="16">
        <v>45849</v>
      </c>
      <c r="F496" s="2">
        <f t="shared" si="18"/>
        <v>160</v>
      </c>
      <c r="G496" s="2">
        <v>2</v>
      </c>
      <c r="H496" s="1" t="s">
        <v>111</v>
      </c>
      <c r="I496" s="1">
        <v>0</v>
      </c>
      <c r="K496" s="2"/>
      <c r="L496" s="2"/>
      <c r="M496" s="2"/>
      <c r="N496" s="2"/>
      <c r="O496" s="2"/>
      <c r="P496" s="2">
        <v>1</v>
      </c>
      <c r="Q496" s="2"/>
    </row>
    <row r="497" spans="1:17">
      <c r="A497" s="1" t="s">
        <v>25</v>
      </c>
      <c r="B497" s="1" t="s">
        <v>20</v>
      </c>
      <c r="C497" s="1" t="s">
        <v>16</v>
      </c>
      <c r="D497" s="2" t="s">
        <v>123</v>
      </c>
      <c r="E497" s="4">
        <v>45849</v>
      </c>
      <c r="F497" s="2">
        <f t="shared" si="18"/>
        <v>160</v>
      </c>
      <c r="G497" s="2">
        <v>3</v>
      </c>
      <c r="H497" s="1" t="s">
        <v>111</v>
      </c>
      <c r="I497" s="1">
        <v>0</v>
      </c>
      <c r="K497" s="2"/>
      <c r="L497" s="2"/>
      <c r="M497" s="2"/>
      <c r="N497" s="2"/>
      <c r="O497" s="2"/>
      <c r="P497" s="2">
        <v>0</v>
      </c>
      <c r="Q497" s="2"/>
    </row>
    <row r="498" spans="1:17">
      <c r="A498" s="1" t="s">
        <v>25</v>
      </c>
      <c r="B498" s="1" t="s">
        <v>20</v>
      </c>
      <c r="C498" s="1" t="s">
        <v>16</v>
      </c>
      <c r="D498" s="2" t="s">
        <v>123</v>
      </c>
      <c r="E498" s="4">
        <v>45849</v>
      </c>
      <c r="F498" s="2">
        <f t="shared" si="18"/>
        <v>161</v>
      </c>
      <c r="G498" s="2">
        <v>1</v>
      </c>
      <c r="H498" s="1" t="s">
        <v>103</v>
      </c>
      <c r="I498" s="1">
        <v>3</v>
      </c>
      <c r="K498" s="2"/>
      <c r="L498" s="2"/>
      <c r="M498" s="2"/>
      <c r="N498" s="2"/>
      <c r="O498" s="2"/>
      <c r="P498" s="2">
        <v>1</v>
      </c>
      <c r="Q498" s="2"/>
    </row>
    <row r="499" spans="1:17">
      <c r="A499" s="1" t="s">
        <v>25</v>
      </c>
      <c r="B499" s="1" t="s">
        <v>20</v>
      </c>
      <c r="C499" s="1" t="s">
        <v>16</v>
      </c>
      <c r="D499" s="2" t="s">
        <v>123</v>
      </c>
      <c r="E499" s="4">
        <v>45849</v>
      </c>
      <c r="F499" s="2">
        <f t="shared" si="18"/>
        <v>161</v>
      </c>
      <c r="G499" s="2">
        <v>2</v>
      </c>
      <c r="H499" s="1" t="s">
        <v>103</v>
      </c>
      <c r="I499" s="1">
        <v>4</v>
      </c>
      <c r="K499" s="2"/>
      <c r="L499" s="2"/>
      <c r="M499" s="2"/>
      <c r="N499" s="2"/>
      <c r="O499" s="2"/>
      <c r="P499" s="2">
        <v>0</v>
      </c>
      <c r="Q499" s="2"/>
    </row>
    <row r="500" spans="1:17">
      <c r="A500" s="1" t="s">
        <v>25</v>
      </c>
      <c r="B500" s="1" t="s">
        <v>20</v>
      </c>
      <c r="C500" s="1" t="s">
        <v>16</v>
      </c>
      <c r="D500" s="2" t="s">
        <v>123</v>
      </c>
      <c r="E500" s="4">
        <v>45849</v>
      </c>
      <c r="F500" s="2">
        <f t="shared" si="18"/>
        <v>161</v>
      </c>
      <c r="G500" s="2">
        <v>3</v>
      </c>
      <c r="H500" s="1" t="s">
        <v>103</v>
      </c>
      <c r="I500" s="1">
        <v>8</v>
      </c>
      <c r="K500" s="2"/>
      <c r="L500" s="2"/>
      <c r="M500" s="2"/>
      <c r="N500" s="2"/>
      <c r="O500" s="2"/>
      <c r="P500" s="2">
        <v>0</v>
      </c>
      <c r="Q500" s="2"/>
    </row>
    <row r="501" spans="1:17">
      <c r="A501" s="1" t="s">
        <v>25</v>
      </c>
      <c r="B501" s="1" t="s">
        <v>20</v>
      </c>
      <c r="C501" s="1" t="s">
        <v>16</v>
      </c>
      <c r="D501" s="2" t="s">
        <v>123</v>
      </c>
      <c r="E501" s="4">
        <v>45852</v>
      </c>
      <c r="F501" s="2">
        <f t="shared" si="18"/>
        <v>162</v>
      </c>
      <c r="G501" s="2">
        <v>1</v>
      </c>
      <c r="H501" s="1" t="s">
        <v>111</v>
      </c>
      <c r="I501" s="1">
        <v>4</v>
      </c>
      <c r="K501" s="2"/>
      <c r="L501" s="2"/>
      <c r="M501" s="2"/>
      <c r="N501" s="2"/>
      <c r="O501" s="2"/>
      <c r="P501" s="2">
        <v>2</v>
      </c>
      <c r="Q501" s="2"/>
    </row>
    <row r="502" spans="1:17">
      <c r="A502" s="1" t="s">
        <v>25</v>
      </c>
      <c r="B502" s="1" t="s">
        <v>20</v>
      </c>
      <c r="C502" s="1" t="s">
        <v>16</v>
      </c>
      <c r="D502" s="2" t="s">
        <v>123</v>
      </c>
      <c r="E502" s="4">
        <v>45852</v>
      </c>
      <c r="F502" s="2">
        <f t="shared" si="18"/>
        <v>162</v>
      </c>
      <c r="G502" s="2">
        <v>2</v>
      </c>
      <c r="H502" s="1" t="s">
        <v>111</v>
      </c>
      <c r="I502" s="1">
        <v>3</v>
      </c>
      <c r="K502" s="2"/>
      <c r="L502" s="2"/>
      <c r="M502" s="2"/>
      <c r="N502" s="2"/>
      <c r="O502" s="2"/>
      <c r="P502" s="2">
        <v>2</v>
      </c>
      <c r="Q502" s="2"/>
    </row>
    <row r="503" spans="1:17">
      <c r="A503" s="1" t="s">
        <v>25</v>
      </c>
      <c r="B503" s="1" t="s">
        <v>20</v>
      </c>
      <c r="C503" s="1" t="s">
        <v>16</v>
      </c>
      <c r="D503" s="2" t="s">
        <v>123</v>
      </c>
      <c r="E503" s="4">
        <v>45852</v>
      </c>
      <c r="F503" s="2">
        <f t="shared" si="18"/>
        <v>162</v>
      </c>
      <c r="G503" s="2">
        <v>3</v>
      </c>
      <c r="H503" s="1" t="s">
        <v>111</v>
      </c>
      <c r="I503" s="1">
        <v>2</v>
      </c>
      <c r="K503" s="2"/>
      <c r="L503" s="2"/>
      <c r="M503" s="2"/>
      <c r="N503" s="2"/>
      <c r="O503" s="2"/>
      <c r="P503" s="2">
        <v>2</v>
      </c>
      <c r="Q503" s="2"/>
    </row>
    <row r="504" spans="1:17">
      <c r="A504" s="1" t="s">
        <v>25</v>
      </c>
      <c r="B504" s="1" t="s">
        <v>20</v>
      </c>
      <c r="C504" s="1" t="s">
        <v>16</v>
      </c>
      <c r="D504" s="2" t="s">
        <v>123</v>
      </c>
      <c r="E504" s="4">
        <v>45852</v>
      </c>
      <c r="F504" s="2">
        <f t="shared" si="18"/>
        <v>163</v>
      </c>
      <c r="G504" s="2">
        <v>1</v>
      </c>
      <c r="H504" s="1" t="s">
        <v>103</v>
      </c>
      <c r="I504" s="1">
        <v>3</v>
      </c>
      <c r="K504" s="2"/>
      <c r="L504" s="2"/>
      <c r="M504" s="2"/>
      <c r="N504" s="2"/>
      <c r="O504" s="2"/>
      <c r="P504" s="2">
        <v>2</v>
      </c>
      <c r="Q504" s="2"/>
    </row>
    <row r="505" spans="1:17">
      <c r="A505" s="1" t="s">
        <v>25</v>
      </c>
      <c r="B505" s="1" t="s">
        <v>20</v>
      </c>
      <c r="C505" s="1" t="s">
        <v>16</v>
      </c>
      <c r="D505" s="2" t="s">
        <v>123</v>
      </c>
      <c r="E505" s="4">
        <v>45852</v>
      </c>
      <c r="F505" s="2">
        <f t="shared" si="18"/>
        <v>163</v>
      </c>
      <c r="G505" s="2">
        <v>2</v>
      </c>
      <c r="H505" s="1" t="s">
        <v>103</v>
      </c>
      <c r="I505" s="1">
        <v>3</v>
      </c>
      <c r="K505" s="2"/>
      <c r="L505" s="2"/>
      <c r="M505" s="2"/>
      <c r="N505" s="2"/>
      <c r="O505" s="2"/>
      <c r="P505" s="2">
        <v>4</v>
      </c>
      <c r="Q505" s="2"/>
    </row>
    <row r="506" spans="1:17">
      <c r="A506" s="1" t="s">
        <v>25</v>
      </c>
      <c r="B506" s="1" t="s">
        <v>20</v>
      </c>
      <c r="C506" s="1" t="s">
        <v>16</v>
      </c>
      <c r="D506" s="2" t="s">
        <v>123</v>
      </c>
      <c r="E506" s="4">
        <v>45852</v>
      </c>
      <c r="F506" s="2">
        <f t="shared" si="18"/>
        <v>163</v>
      </c>
      <c r="G506" s="2">
        <v>3</v>
      </c>
      <c r="H506" s="1" t="s">
        <v>103</v>
      </c>
      <c r="I506" s="1">
        <v>0</v>
      </c>
      <c r="K506" s="2"/>
      <c r="L506" s="2"/>
      <c r="M506" s="2"/>
      <c r="N506" s="2"/>
      <c r="O506" s="2"/>
      <c r="P506" s="2">
        <v>1</v>
      </c>
      <c r="Q506" s="2"/>
    </row>
    <row r="507" spans="1:17">
      <c r="A507" s="1" t="s">
        <v>25</v>
      </c>
      <c r="B507" s="1" t="s">
        <v>20</v>
      </c>
      <c r="C507" s="1" t="s">
        <v>16</v>
      </c>
      <c r="D507" s="2" t="s">
        <v>123</v>
      </c>
      <c r="E507" s="4">
        <v>45852</v>
      </c>
      <c r="F507" s="2">
        <f t="shared" si="18"/>
        <v>164</v>
      </c>
      <c r="G507" s="2">
        <v>1</v>
      </c>
      <c r="H507" s="1" t="s">
        <v>111</v>
      </c>
      <c r="I507" s="1">
        <v>2</v>
      </c>
      <c r="K507" s="2"/>
      <c r="L507" s="2"/>
      <c r="M507" s="2"/>
      <c r="N507" s="2"/>
      <c r="O507" s="2"/>
      <c r="P507" s="2">
        <v>1</v>
      </c>
      <c r="Q507" s="2"/>
    </row>
    <row r="508" spans="1:17">
      <c r="A508" s="1" t="s">
        <v>25</v>
      </c>
      <c r="B508" s="1" t="s">
        <v>20</v>
      </c>
      <c r="C508" s="1" t="s">
        <v>16</v>
      </c>
      <c r="D508" s="2" t="s">
        <v>123</v>
      </c>
      <c r="E508" s="4">
        <v>45852</v>
      </c>
      <c r="F508" s="2">
        <f t="shared" si="18"/>
        <v>164</v>
      </c>
      <c r="G508" s="2">
        <v>2</v>
      </c>
      <c r="H508" s="1" t="s">
        <v>111</v>
      </c>
      <c r="I508" s="1">
        <v>0</v>
      </c>
      <c r="K508" s="2"/>
      <c r="L508" s="2"/>
      <c r="M508" s="2"/>
      <c r="N508" s="2"/>
      <c r="O508" s="2"/>
      <c r="P508" s="2">
        <v>1</v>
      </c>
      <c r="Q508" s="2"/>
    </row>
    <row r="509" spans="1:17">
      <c r="A509" s="1" t="s">
        <v>25</v>
      </c>
      <c r="B509" s="1" t="s">
        <v>20</v>
      </c>
      <c r="C509" s="1" t="s">
        <v>16</v>
      </c>
      <c r="D509" s="2" t="s">
        <v>123</v>
      </c>
      <c r="E509" s="4">
        <v>45852</v>
      </c>
      <c r="F509" s="2">
        <f t="shared" si="18"/>
        <v>164</v>
      </c>
      <c r="G509" s="2">
        <v>3</v>
      </c>
      <c r="H509" s="1" t="s">
        <v>111</v>
      </c>
      <c r="I509" s="1">
        <v>0</v>
      </c>
      <c r="K509" s="2"/>
      <c r="L509" s="2"/>
      <c r="M509" s="2"/>
      <c r="N509" s="2"/>
      <c r="O509" s="2"/>
      <c r="P509" s="2">
        <v>2</v>
      </c>
      <c r="Q509" s="2"/>
    </row>
    <row r="510" spans="1:17">
      <c r="A510" s="1" t="s">
        <v>25</v>
      </c>
      <c r="B510" s="1" t="s">
        <v>20</v>
      </c>
      <c r="C510" s="1" t="s">
        <v>16</v>
      </c>
      <c r="D510" s="2" t="s">
        <v>123</v>
      </c>
      <c r="E510" s="4">
        <v>45853</v>
      </c>
      <c r="F510" s="2">
        <f t="shared" si="18"/>
        <v>165</v>
      </c>
      <c r="G510" s="2">
        <v>1</v>
      </c>
      <c r="H510" s="1" t="s">
        <v>108</v>
      </c>
      <c r="I510" s="1">
        <v>1</v>
      </c>
      <c r="J510" s="1">
        <v>0</v>
      </c>
      <c r="K510" s="2"/>
      <c r="L510" s="2"/>
      <c r="M510" s="2"/>
      <c r="N510" s="2"/>
      <c r="O510" s="2"/>
      <c r="P510" s="2">
        <v>1</v>
      </c>
      <c r="Q510" s="2"/>
    </row>
    <row r="511" spans="1:17">
      <c r="A511" s="1" t="s">
        <v>25</v>
      </c>
      <c r="B511" s="1" t="s">
        <v>20</v>
      </c>
      <c r="C511" s="1" t="s">
        <v>16</v>
      </c>
      <c r="D511" s="2" t="s">
        <v>123</v>
      </c>
      <c r="E511" s="4">
        <v>45853</v>
      </c>
      <c r="F511" s="2">
        <f t="shared" si="18"/>
        <v>165</v>
      </c>
      <c r="G511" s="2">
        <v>2</v>
      </c>
      <c r="H511" s="1" t="s">
        <v>108</v>
      </c>
      <c r="I511" s="1">
        <v>1</v>
      </c>
      <c r="J511" s="1">
        <v>0</v>
      </c>
      <c r="K511" s="2"/>
      <c r="L511" s="2"/>
      <c r="M511" s="2"/>
      <c r="N511" s="2"/>
      <c r="O511" s="2"/>
      <c r="P511" s="2">
        <v>6</v>
      </c>
      <c r="Q511" s="2"/>
    </row>
    <row r="512" spans="1:17">
      <c r="A512" s="1" t="s">
        <v>25</v>
      </c>
      <c r="B512" s="1" t="s">
        <v>20</v>
      </c>
      <c r="C512" s="1" t="s">
        <v>16</v>
      </c>
      <c r="D512" s="2" t="s">
        <v>123</v>
      </c>
      <c r="E512" s="4">
        <v>45853</v>
      </c>
      <c r="F512" s="2">
        <f t="shared" si="18"/>
        <v>165</v>
      </c>
      <c r="G512" s="2">
        <v>3</v>
      </c>
      <c r="H512" s="1" t="s">
        <v>108</v>
      </c>
      <c r="I512" s="1">
        <v>2</v>
      </c>
      <c r="J512" s="1">
        <v>0</v>
      </c>
      <c r="K512" s="2"/>
      <c r="L512" s="2"/>
      <c r="M512" s="2"/>
      <c r="N512" s="2"/>
      <c r="O512" s="2"/>
      <c r="P512" s="2">
        <v>2</v>
      </c>
      <c r="Q512" s="2"/>
    </row>
    <row r="513" spans="1:17">
      <c r="A513" s="1" t="s">
        <v>25</v>
      </c>
      <c r="B513" s="1" t="s">
        <v>19</v>
      </c>
      <c r="C513" s="1" t="s">
        <v>16</v>
      </c>
      <c r="D513" s="2" t="s">
        <v>123</v>
      </c>
      <c r="E513" s="4">
        <v>45853</v>
      </c>
      <c r="F513" s="2">
        <f t="shared" si="18"/>
        <v>166</v>
      </c>
      <c r="G513" s="2">
        <v>1</v>
      </c>
      <c r="H513" s="1" t="s">
        <v>94</v>
      </c>
      <c r="I513" s="1">
        <v>4</v>
      </c>
      <c r="J513" s="1">
        <v>0</v>
      </c>
      <c r="K513" s="2"/>
      <c r="L513" s="2"/>
      <c r="M513" s="2"/>
      <c r="N513" s="2"/>
      <c r="O513" s="2"/>
      <c r="P513" s="2">
        <v>3</v>
      </c>
      <c r="Q513" s="2"/>
    </row>
    <row r="514" spans="1:17">
      <c r="A514" s="1" t="s">
        <v>25</v>
      </c>
      <c r="B514" s="1" t="s">
        <v>19</v>
      </c>
      <c r="C514" s="1" t="s">
        <v>16</v>
      </c>
      <c r="D514" s="2" t="s">
        <v>123</v>
      </c>
      <c r="E514" s="4">
        <v>45853</v>
      </c>
      <c r="F514" s="2">
        <f t="shared" si="18"/>
        <v>166</v>
      </c>
      <c r="G514" s="2">
        <v>2</v>
      </c>
      <c r="H514" s="1" t="s">
        <v>94</v>
      </c>
      <c r="I514" s="1">
        <v>1</v>
      </c>
      <c r="J514" s="1">
        <v>1</v>
      </c>
      <c r="K514" s="2"/>
      <c r="L514" s="2"/>
      <c r="M514" s="2"/>
      <c r="N514" s="2"/>
      <c r="O514" s="2"/>
      <c r="P514" s="2">
        <v>3</v>
      </c>
      <c r="Q514" s="2"/>
    </row>
    <row r="515" spans="1:17">
      <c r="A515" s="1" t="s">
        <v>25</v>
      </c>
      <c r="B515" s="1" t="s">
        <v>19</v>
      </c>
      <c r="C515" s="1" t="s">
        <v>16</v>
      </c>
      <c r="D515" s="2" t="s">
        <v>123</v>
      </c>
      <c r="E515" s="4">
        <v>45853</v>
      </c>
      <c r="F515" s="2">
        <f t="shared" si="18"/>
        <v>166</v>
      </c>
      <c r="G515" s="2">
        <v>3</v>
      </c>
      <c r="H515" s="1" t="s">
        <v>94</v>
      </c>
      <c r="I515" s="1">
        <v>0</v>
      </c>
      <c r="J515" s="1">
        <v>2</v>
      </c>
      <c r="K515" s="2"/>
      <c r="L515" s="2"/>
      <c r="M515" s="2"/>
      <c r="N515" s="2"/>
      <c r="O515" s="2"/>
      <c r="P515" s="2">
        <v>2</v>
      </c>
      <c r="Q515" s="2"/>
    </row>
    <row r="516" spans="1:17">
      <c r="A516" s="1" t="s">
        <v>25</v>
      </c>
      <c r="B516" s="1" t="s">
        <v>21</v>
      </c>
      <c r="C516" s="1" t="s">
        <v>16</v>
      </c>
      <c r="D516" s="2" t="s">
        <v>123</v>
      </c>
      <c r="E516" s="4">
        <v>45853</v>
      </c>
      <c r="F516" s="2">
        <f t="shared" si="18"/>
        <v>167</v>
      </c>
      <c r="G516" s="2">
        <v>1</v>
      </c>
      <c r="H516" s="1" t="s">
        <v>111</v>
      </c>
      <c r="I516" s="1">
        <v>4</v>
      </c>
      <c r="K516" s="2"/>
      <c r="L516" s="2"/>
      <c r="M516" s="2"/>
      <c r="N516" s="2"/>
      <c r="O516" s="2"/>
      <c r="P516" s="2">
        <v>0</v>
      </c>
      <c r="Q516" s="2"/>
    </row>
    <row r="517" spans="1:17">
      <c r="A517" s="1" t="s">
        <v>25</v>
      </c>
      <c r="B517" s="1" t="s">
        <v>21</v>
      </c>
      <c r="C517" s="1" t="s">
        <v>16</v>
      </c>
      <c r="D517" s="2" t="s">
        <v>123</v>
      </c>
      <c r="E517" s="4">
        <v>45853</v>
      </c>
      <c r="F517" s="2">
        <f t="shared" si="18"/>
        <v>167</v>
      </c>
      <c r="G517" s="2">
        <v>2</v>
      </c>
      <c r="H517" s="1" t="s">
        <v>111</v>
      </c>
      <c r="I517" s="1">
        <v>1</v>
      </c>
      <c r="K517" s="2"/>
      <c r="L517" s="2"/>
      <c r="M517" s="2"/>
      <c r="N517" s="2"/>
      <c r="O517" s="2"/>
      <c r="P517" s="2">
        <v>1</v>
      </c>
      <c r="Q517" s="2"/>
    </row>
    <row r="518" spans="1:17">
      <c r="A518" s="1" t="s">
        <v>25</v>
      </c>
      <c r="B518" s="1" t="s">
        <v>21</v>
      </c>
      <c r="C518" s="1" t="s">
        <v>16</v>
      </c>
      <c r="D518" s="2" t="s">
        <v>123</v>
      </c>
      <c r="E518" s="4">
        <v>45853</v>
      </c>
      <c r="F518" s="2">
        <f t="shared" si="18"/>
        <v>167</v>
      </c>
      <c r="G518" s="2">
        <v>3</v>
      </c>
      <c r="H518" s="1" t="s">
        <v>111</v>
      </c>
      <c r="I518" s="1">
        <v>3</v>
      </c>
      <c r="K518" s="2"/>
      <c r="L518" s="2"/>
      <c r="M518" s="2"/>
      <c r="N518" s="2"/>
      <c r="O518" s="2"/>
      <c r="P518" s="2">
        <v>1</v>
      </c>
      <c r="Q518" s="2"/>
    </row>
    <row r="519" spans="1:17">
      <c r="A519" s="1" t="s">
        <v>25</v>
      </c>
      <c r="B519" s="1" t="s">
        <v>20</v>
      </c>
      <c r="C519" s="1" t="s">
        <v>16</v>
      </c>
      <c r="D519" s="2" t="s">
        <v>123</v>
      </c>
      <c r="E519" s="4">
        <v>45854</v>
      </c>
      <c r="F519" s="2">
        <f t="shared" si="18"/>
        <v>168</v>
      </c>
      <c r="G519" s="2">
        <v>1</v>
      </c>
      <c r="H519" s="1" t="s">
        <v>104</v>
      </c>
      <c r="I519" s="1">
        <v>4</v>
      </c>
      <c r="J519" s="1">
        <v>0</v>
      </c>
      <c r="K519" s="2"/>
      <c r="L519" s="2"/>
      <c r="M519" s="2"/>
      <c r="N519" s="2"/>
      <c r="O519" s="2"/>
      <c r="P519" s="2">
        <v>0</v>
      </c>
      <c r="Q519" s="2"/>
    </row>
    <row r="520" spans="1:17">
      <c r="A520" s="1" t="s">
        <v>25</v>
      </c>
      <c r="B520" s="1" t="s">
        <v>20</v>
      </c>
      <c r="C520" s="1" t="s">
        <v>16</v>
      </c>
      <c r="D520" s="2" t="s">
        <v>123</v>
      </c>
      <c r="E520" s="4">
        <v>45854</v>
      </c>
      <c r="F520" s="2">
        <f t="shared" si="18"/>
        <v>168</v>
      </c>
      <c r="G520" s="2">
        <v>2</v>
      </c>
      <c r="H520" s="1" t="s">
        <v>104</v>
      </c>
      <c r="I520" s="1">
        <v>3</v>
      </c>
      <c r="J520" s="1">
        <v>3</v>
      </c>
      <c r="K520" s="2"/>
      <c r="L520" s="2"/>
      <c r="M520" s="2"/>
      <c r="N520" s="2"/>
      <c r="O520" s="2"/>
      <c r="P520" s="2">
        <v>0</v>
      </c>
      <c r="Q520" s="2"/>
    </row>
    <row r="521" spans="1:17">
      <c r="A521" s="1" t="s">
        <v>25</v>
      </c>
      <c r="B521" s="1" t="s">
        <v>20</v>
      </c>
      <c r="C521" s="1" t="s">
        <v>16</v>
      </c>
      <c r="D521" s="2" t="s">
        <v>123</v>
      </c>
      <c r="E521" s="4">
        <v>45854</v>
      </c>
      <c r="F521" s="2">
        <f t="shared" si="18"/>
        <v>168</v>
      </c>
      <c r="G521" s="2">
        <v>3</v>
      </c>
      <c r="H521" s="1" t="s">
        <v>104</v>
      </c>
      <c r="I521" s="1">
        <v>4</v>
      </c>
      <c r="J521" s="1">
        <v>0</v>
      </c>
      <c r="K521" s="2"/>
      <c r="L521" s="2"/>
      <c r="M521" s="2"/>
      <c r="N521" s="2"/>
      <c r="O521" s="2"/>
      <c r="P521" s="2">
        <v>0</v>
      </c>
      <c r="Q521" s="2"/>
    </row>
    <row r="522" spans="1:17">
      <c r="A522" s="1" t="s">
        <v>25</v>
      </c>
      <c r="B522" s="1" t="s">
        <v>20</v>
      </c>
      <c r="C522" s="1" t="s">
        <v>16</v>
      </c>
      <c r="D522" s="2" t="s">
        <v>123</v>
      </c>
      <c r="E522" s="4">
        <v>45854</v>
      </c>
      <c r="F522" s="2">
        <f t="shared" si="18"/>
        <v>169</v>
      </c>
      <c r="G522" s="2">
        <v>1</v>
      </c>
      <c r="H522" s="1" t="s">
        <v>108</v>
      </c>
      <c r="I522" s="1">
        <v>6</v>
      </c>
      <c r="J522" s="1">
        <v>0</v>
      </c>
      <c r="K522" s="2"/>
      <c r="L522" s="2"/>
      <c r="M522" s="2"/>
      <c r="N522" s="2"/>
      <c r="O522" s="2"/>
      <c r="P522" s="2">
        <v>1</v>
      </c>
      <c r="Q522" s="2"/>
    </row>
    <row r="523" spans="1:17">
      <c r="A523" s="1" t="s">
        <v>25</v>
      </c>
      <c r="B523" s="1" t="s">
        <v>20</v>
      </c>
      <c r="C523" s="1" t="s">
        <v>16</v>
      </c>
      <c r="D523" s="2" t="s">
        <v>123</v>
      </c>
      <c r="E523" s="4">
        <v>45854</v>
      </c>
      <c r="F523" s="2">
        <f t="shared" si="18"/>
        <v>169</v>
      </c>
      <c r="G523" s="2">
        <v>2</v>
      </c>
      <c r="H523" s="1" t="s">
        <v>108</v>
      </c>
      <c r="I523" s="1">
        <v>1</v>
      </c>
      <c r="J523" s="1">
        <v>0</v>
      </c>
      <c r="K523" s="2"/>
      <c r="L523" s="2"/>
      <c r="M523" s="2"/>
      <c r="N523" s="2"/>
      <c r="O523" s="2"/>
      <c r="P523" s="2">
        <v>1</v>
      </c>
      <c r="Q523" s="2"/>
    </row>
    <row r="524" spans="1:17">
      <c r="A524" s="1" t="s">
        <v>25</v>
      </c>
      <c r="B524" s="1" t="s">
        <v>20</v>
      </c>
      <c r="C524" s="1" t="s">
        <v>16</v>
      </c>
      <c r="D524" s="2" t="s">
        <v>123</v>
      </c>
      <c r="E524" s="4">
        <v>45854</v>
      </c>
      <c r="F524" s="2">
        <f t="shared" si="18"/>
        <v>169</v>
      </c>
      <c r="G524" s="2">
        <v>3</v>
      </c>
      <c r="H524" s="1" t="s">
        <v>108</v>
      </c>
      <c r="I524" s="1">
        <v>1</v>
      </c>
      <c r="J524" s="1">
        <v>1</v>
      </c>
      <c r="K524" s="2"/>
      <c r="L524" s="2"/>
      <c r="M524" s="2"/>
      <c r="N524" s="2"/>
      <c r="O524" s="2"/>
      <c r="P524" s="2">
        <v>0</v>
      </c>
      <c r="Q524" s="2"/>
    </row>
    <row r="525" spans="1:17">
      <c r="A525" s="1" t="s">
        <v>25</v>
      </c>
      <c r="B525" s="1" t="s">
        <v>20</v>
      </c>
      <c r="C525" s="1" t="s">
        <v>16</v>
      </c>
      <c r="D525" s="2" t="s">
        <v>123</v>
      </c>
      <c r="E525" s="4">
        <v>45855</v>
      </c>
      <c r="F525" s="2">
        <f t="shared" si="18"/>
        <v>170</v>
      </c>
      <c r="G525" s="2">
        <v>1</v>
      </c>
      <c r="H525" s="1" t="s">
        <v>108</v>
      </c>
      <c r="I525" s="1">
        <v>1</v>
      </c>
      <c r="J525" s="1">
        <v>2</v>
      </c>
      <c r="K525" s="2"/>
      <c r="L525" s="2"/>
      <c r="M525" s="2"/>
      <c r="N525" s="2"/>
      <c r="O525" s="2"/>
      <c r="P525" s="2">
        <v>0</v>
      </c>
      <c r="Q525" s="2"/>
    </row>
    <row r="526" spans="1:17">
      <c r="A526" s="1" t="s">
        <v>25</v>
      </c>
      <c r="B526" s="1" t="s">
        <v>20</v>
      </c>
      <c r="C526" s="1" t="s">
        <v>16</v>
      </c>
      <c r="D526" s="2" t="s">
        <v>123</v>
      </c>
      <c r="E526" s="4">
        <v>45855</v>
      </c>
      <c r="F526" s="2">
        <f t="shared" si="18"/>
        <v>170</v>
      </c>
      <c r="G526" s="2">
        <v>2</v>
      </c>
      <c r="H526" s="1" t="s">
        <v>108</v>
      </c>
      <c r="I526" s="1">
        <v>2</v>
      </c>
      <c r="J526" s="1">
        <v>4</v>
      </c>
      <c r="K526" s="2"/>
      <c r="L526" s="2"/>
      <c r="M526" s="2"/>
      <c r="N526" s="2"/>
      <c r="O526" s="2"/>
      <c r="P526" s="2">
        <v>1</v>
      </c>
      <c r="Q526" s="2"/>
    </row>
    <row r="527" spans="1:17">
      <c r="A527" s="1" t="s">
        <v>25</v>
      </c>
      <c r="B527" s="1" t="s">
        <v>20</v>
      </c>
      <c r="C527" s="1" t="s">
        <v>16</v>
      </c>
      <c r="D527" s="2" t="s">
        <v>123</v>
      </c>
      <c r="E527" s="4">
        <v>45855</v>
      </c>
      <c r="F527" s="2">
        <f t="shared" si="18"/>
        <v>170</v>
      </c>
      <c r="G527" s="2">
        <v>3</v>
      </c>
      <c r="H527" s="1" t="s">
        <v>108</v>
      </c>
      <c r="I527" s="1">
        <v>1</v>
      </c>
      <c r="J527" s="1">
        <v>3</v>
      </c>
      <c r="K527" s="2"/>
      <c r="L527" s="2"/>
      <c r="M527" s="2"/>
      <c r="N527" s="2"/>
      <c r="O527" s="2"/>
      <c r="P527" s="2">
        <v>2</v>
      </c>
      <c r="Q527" s="2"/>
    </row>
    <row r="528" spans="1:17">
      <c r="A528" s="1" t="s">
        <v>25</v>
      </c>
      <c r="B528" s="1" t="s">
        <v>20</v>
      </c>
      <c r="C528" s="1" t="s">
        <v>16</v>
      </c>
      <c r="D528" s="2" t="s">
        <v>123</v>
      </c>
      <c r="E528" s="4">
        <v>45855</v>
      </c>
      <c r="F528" s="2">
        <f t="shared" si="18"/>
        <v>171</v>
      </c>
      <c r="G528" s="2">
        <v>1</v>
      </c>
      <c r="H528" s="1" t="s">
        <v>104</v>
      </c>
      <c r="I528" s="1">
        <v>0</v>
      </c>
      <c r="J528" s="1">
        <v>2</v>
      </c>
      <c r="K528" s="2"/>
      <c r="L528" s="2"/>
      <c r="M528" s="2"/>
      <c r="N528" s="2"/>
      <c r="O528" s="2"/>
      <c r="P528" s="2">
        <v>0</v>
      </c>
      <c r="Q528" s="2"/>
    </row>
    <row r="529" spans="1:17">
      <c r="A529" s="1" t="s">
        <v>25</v>
      </c>
      <c r="B529" s="1" t="s">
        <v>20</v>
      </c>
      <c r="C529" s="1" t="s">
        <v>16</v>
      </c>
      <c r="D529" s="2" t="s">
        <v>123</v>
      </c>
      <c r="E529" s="4">
        <v>45855</v>
      </c>
      <c r="F529" s="2">
        <f t="shared" si="18"/>
        <v>171</v>
      </c>
      <c r="G529" s="2">
        <v>2</v>
      </c>
      <c r="H529" s="1" t="s">
        <v>104</v>
      </c>
      <c r="I529" s="1">
        <v>5</v>
      </c>
      <c r="J529" s="1">
        <v>3</v>
      </c>
      <c r="K529" s="2"/>
      <c r="L529" s="2"/>
      <c r="M529" s="2"/>
      <c r="N529" s="2"/>
      <c r="O529" s="2"/>
      <c r="P529" s="2">
        <v>1</v>
      </c>
      <c r="Q529" s="2"/>
    </row>
    <row r="530" spans="1:17">
      <c r="A530" s="1" t="s">
        <v>25</v>
      </c>
      <c r="B530" s="1" t="s">
        <v>20</v>
      </c>
      <c r="C530" s="1" t="s">
        <v>16</v>
      </c>
      <c r="D530" s="2" t="s">
        <v>123</v>
      </c>
      <c r="E530" s="4">
        <v>45855</v>
      </c>
      <c r="F530" s="2">
        <f t="shared" si="18"/>
        <v>171</v>
      </c>
      <c r="G530" s="2">
        <v>3</v>
      </c>
      <c r="H530" s="1" t="s">
        <v>104</v>
      </c>
      <c r="I530" s="1">
        <v>0</v>
      </c>
      <c r="J530" s="1">
        <v>1</v>
      </c>
      <c r="K530" s="2"/>
      <c r="L530" s="2"/>
      <c r="M530" s="2"/>
      <c r="N530" s="2"/>
      <c r="O530" s="2"/>
      <c r="P530" s="2">
        <v>0</v>
      </c>
      <c r="Q530" s="2"/>
    </row>
    <row r="531" spans="1:17">
      <c r="A531" s="1" t="s">
        <v>25</v>
      </c>
      <c r="B531" s="1" t="s">
        <v>20</v>
      </c>
      <c r="C531" s="1" t="s">
        <v>16</v>
      </c>
      <c r="D531" s="2" t="s">
        <v>123</v>
      </c>
      <c r="E531" s="4">
        <v>45855</v>
      </c>
      <c r="F531" s="2">
        <f t="shared" si="18"/>
        <v>172</v>
      </c>
      <c r="G531" s="2">
        <v>1</v>
      </c>
      <c r="H531" s="1" t="s">
        <v>103</v>
      </c>
      <c r="I531" s="1">
        <v>5</v>
      </c>
      <c r="K531" s="2"/>
      <c r="L531" s="2"/>
      <c r="M531" s="2"/>
      <c r="N531" s="2"/>
      <c r="O531" s="2"/>
      <c r="P531" s="2">
        <v>0</v>
      </c>
      <c r="Q531" s="2"/>
    </row>
    <row r="532" spans="1:17">
      <c r="A532" s="1" t="s">
        <v>25</v>
      </c>
      <c r="B532" s="1" t="s">
        <v>20</v>
      </c>
      <c r="C532" s="1" t="s">
        <v>16</v>
      </c>
      <c r="D532" s="2" t="s">
        <v>123</v>
      </c>
      <c r="E532" s="4">
        <v>45855</v>
      </c>
      <c r="F532" s="2">
        <f t="shared" si="18"/>
        <v>172</v>
      </c>
      <c r="G532" s="2">
        <v>2</v>
      </c>
      <c r="H532" s="1" t="s">
        <v>103</v>
      </c>
      <c r="I532" s="1">
        <v>4</v>
      </c>
      <c r="K532" s="2"/>
      <c r="L532" s="2"/>
      <c r="M532" s="2"/>
      <c r="N532" s="2"/>
      <c r="O532" s="2"/>
      <c r="P532" s="2">
        <v>0</v>
      </c>
      <c r="Q532" s="2"/>
    </row>
    <row r="533" spans="1:17">
      <c r="A533" s="1" t="s">
        <v>25</v>
      </c>
      <c r="B533" s="1" t="s">
        <v>20</v>
      </c>
      <c r="C533" s="1" t="s">
        <v>16</v>
      </c>
      <c r="D533" s="2" t="s">
        <v>123</v>
      </c>
      <c r="E533" s="4">
        <v>45855</v>
      </c>
      <c r="F533" s="2">
        <f t="shared" si="18"/>
        <v>172</v>
      </c>
      <c r="G533" s="2">
        <v>3</v>
      </c>
      <c r="H533" s="1" t="s">
        <v>103</v>
      </c>
      <c r="I533" s="1">
        <v>3</v>
      </c>
      <c r="K533" s="2"/>
      <c r="L533" s="2"/>
      <c r="M533" s="2"/>
      <c r="N533" s="2"/>
      <c r="O533" s="2"/>
      <c r="P533" s="2">
        <v>0</v>
      </c>
      <c r="Q533" s="2"/>
    </row>
    <row r="534" spans="1:17">
      <c r="A534" s="1" t="s">
        <v>25</v>
      </c>
      <c r="B534" s="1" t="s">
        <v>20</v>
      </c>
      <c r="C534" s="1" t="s">
        <v>16</v>
      </c>
      <c r="D534" s="2" t="s">
        <v>123</v>
      </c>
      <c r="E534" s="4">
        <v>45859</v>
      </c>
      <c r="F534" s="2">
        <f t="shared" si="18"/>
        <v>173</v>
      </c>
      <c r="G534" s="2">
        <v>1</v>
      </c>
      <c r="H534" s="1" t="s">
        <v>77</v>
      </c>
      <c r="J534" s="1">
        <v>0</v>
      </c>
      <c r="K534" s="2"/>
      <c r="L534" s="2"/>
      <c r="M534" s="2"/>
      <c r="N534" s="2"/>
      <c r="O534" s="2"/>
      <c r="P534" s="2">
        <v>0</v>
      </c>
      <c r="Q534" s="2"/>
    </row>
    <row r="535" spans="1:17">
      <c r="A535" s="1" t="s">
        <v>25</v>
      </c>
      <c r="B535" s="1" t="s">
        <v>20</v>
      </c>
      <c r="C535" s="1" t="s">
        <v>16</v>
      </c>
      <c r="D535" s="2" t="s">
        <v>123</v>
      </c>
      <c r="E535" s="4">
        <v>45859</v>
      </c>
      <c r="F535" s="2">
        <f t="shared" si="18"/>
        <v>173</v>
      </c>
      <c r="G535" s="2">
        <v>2</v>
      </c>
      <c r="H535" s="1" t="s">
        <v>77</v>
      </c>
      <c r="J535" s="1">
        <v>0</v>
      </c>
      <c r="K535" s="2"/>
      <c r="L535" s="2"/>
      <c r="M535" s="2"/>
      <c r="N535" s="2"/>
      <c r="O535" s="2"/>
      <c r="P535" s="2">
        <v>0</v>
      </c>
      <c r="Q535" s="2"/>
    </row>
    <row r="536" spans="1:17">
      <c r="A536" s="1" t="s">
        <v>25</v>
      </c>
      <c r="B536" s="1" t="s">
        <v>20</v>
      </c>
      <c r="C536" s="1" t="s">
        <v>16</v>
      </c>
      <c r="D536" s="2" t="s">
        <v>123</v>
      </c>
      <c r="E536" s="4">
        <v>45859</v>
      </c>
      <c r="F536" s="2">
        <f t="shared" si="18"/>
        <v>173</v>
      </c>
      <c r="G536" s="2">
        <v>3</v>
      </c>
      <c r="H536" s="1" t="s">
        <v>77</v>
      </c>
      <c r="J536" s="1">
        <v>0</v>
      </c>
      <c r="K536" s="2"/>
      <c r="L536" s="2"/>
      <c r="M536" s="2"/>
      <c r="N536" s="2"/>
      <c r="O536" s="2"/>
      <c r="P536" s="2">
        <v>0</v>
      </c>
      <c r="Q536" s="2"/>
    </row>
    <row r="537" spans="1:17">
      <c r="A537" s="1" t="s">
        <v>25</v>
      </c>
      <c r="B537" s="1" t="s">
        <v>20</v>
      </c>
      <c r="C537" s="1" t="s">
        <v>16</v>
      </c>
      <c r="D537" s="2" t="s">
        <v>123</v>
      </c>
      <c r="E537" s="4">
        <v>45859</v>
      </c>
      <c r="F537" s="2">
        <v>173</v>
      </c>
      <c r="G537" s="2" t="s">
        <v>82</v>
      </c>
      <c r="H537" s="1" t="s">
        <v>77</v>
      </c>
      <c r="J537" s="1">
        <v>1</v>
      </c>
      <c r="K537" s="2"/>
      <c r="L537" s="2"/>
      <c r="M537" s="2"/>
      <c r="N537" s="2"/>
      <c r="O537" s="2"/>
      <c r="P537" s="2">
        <v>0</v>
      </c>
      <c r="Q537" s="2"/>
    </row>
    <row r="538" spans="1:17">
      <c r="A538" s="1" t="s">
        <v>25</v>
      </c>
      <c r="B538" s="1" t="s">
        <v>20</v>
      </c>
      <c r="C538" s="1" t="s">
        <v>16</v>
      </c>
      <c r="D538" s="2" t="s">
        <v>123</v>
      </c>
      <c r="E538" s="4">
        <v>45859</v>
      </c>
      <c r="F538" s="2">
        <f t="shared" si="18"/>
        <v>174</v>
      </c>
      <c r="G538" s="2">
        <v>1</v>
      </c>
      <c r="H538" s="1" t="s">
        <v>115</v>
      </c>
      <c r="J538" s="1">
        <v>0</v>
      </c>
      <c r="K538" s="2"/>
      <c r="L538" s="2"/>
      <c r="M538" s="2"/>
      <c r="N538" s="2"/>
      <c r="O538" s="2"/>
      <c r="P538" s="2">
        <v>0</v>
      </c>
      <c r="Q538" s="2"/>
    </row>
    <row r="539" spans="1:17">
      <c r="A539" s="1" t="s">
        <v>25</v>
      </c>
      <c r="B539" s="1" t="s">
        <v>20</v>
      </c>
      <c r="C539" s="1" t="s">
        <v>16</v>
      </c>
      <c r="D539" s="2" t="s">
        <v>123</v>
      </c>
      <c r="E539" s="4">
        <v>45859</v>
      </c>
      <c r="F539" s="2">
        <f t="shared" si="18"/>
        <v>174</v>
      </c>
      <c r="G539" s="2">
        <v>2</v>
      </c>
      <c r="H539" s="1" t="s">
        <v>115</v>
      </c>
      <c r="J539" s="1">
        <v>5</v>
      </c>
      <c r="K539" s="2"/>
      <c r="L539" s="2"/>
      <c r="M539" s="2"/>
      <c r="N539" s="2"/>
      <c r="O539" s="2"/>
      <c r="P539" s="2">
        <v>1</v>
      </c>
      <c r="Q539" s="2"/>
    </row>
    <row r="540" spans="1:17">
      <c r="A540" s="1" t="s">
        <v>25</v>
      </c>
      <c r="B540" s="1" t="s">
        <v>20</v>
      </c>
      <c r="C540" s="1" t="s">
        <v>16</v>
      </c>
      <c r="D540" s="2" t="s">
        <v>123</v>
      </c>
      <c r="E540" s="4">
        <v>45859</v>
      </c>
      <c r="F540" s="2">
        <f t="shared" si="18"/>
        <v>174</v>
      </c>
      <c r="G540" s="2">
        <v>3</v>
      </c>
      <c r="H540" s="1" t="s">
        <v>115</v>
      </c>
      <c r="J540" s="1">
        <v>0</v>
      </c>
      <c r="K540" s="2"/>
      <c r="L540" s="2"/>
      <c r="M540" s="2"/>
      <c r="N540" s="2"/>
      <c r="O540" s="2"/>
      <c r="P540" s="2">
        <v>2</v>
      </c>
      <c r="Q540" s="2"/>
    </row>
    <row r="541" spans="1:17">
      <c r="A541" s="1" t="s">
        <v>25</v>
      </c>
      <c r="B541" s="1" t="s">
        <v>19</v>
      </c>
      <c r="C541" s="1" t="s">
        <v>16</v>
      </c>
      <c r="D541" s="2" t="s">
        <v>123</v>
      </c>
      <c r="E541" s="4">
        <v>45859</v>
      </c>
      <c r="F541" s="2">
        <f t="shared" si="18"/>
        <v>175</v>
      </c>
      <c r="G541" s="2">
        <v>1</v>
      </c>
      <c r="H541" s="1" t="s">
        <v>115</v>
      </c>
      <c r="J541" s="1">
        <v>1</v>
      </c>
      <c r="K541" s="2"/>
      <c r="L541" s="2"/>
      <c r="M541" s="2"/>
      <c r="N541" s="2"/>
      <c r="O541" s="2"/>
      <c r="P541" s="2">
        <v>1</v>
      </c>
      <c r="Q541" s="2"/>
    </row>
    <row r="542" spans="1:17">
      <c r="A542" s="1" t="s">
        <v>25</v>
      </c>
      <c r="B542" s="1" t="s">
        <v>19</v>
      </c>
      <c r="C542" s="1" t="s">
        <v>16</v>
      </c>
      <c r="D542" s="2" t="s">
        <v>123</v>
      </c>
      <c r="E542" s="4">
        <v>45859</v>
      </c>
      <c r="F542" s="2">
        <f t="shared" si="18"/>
        <v>175</v>
      </c>
      <c r="G542" s="2">
        <v>2</v>
      </c>
      <c r="H542" s="1" t="s">
        <v>115</v>
      </c>
      <c r="J542" s="1">
        <v>0</v>
      </c>
      <c r="K542" s="2"/>
      <c r="L542" s="2"/>
      <c r="M542" s="2"/>
      <c r="N542" s="2"/>
      <c r="O542" s="2"/>
      <c r="P542" s="2">
        <v>0</v>
      </c>
      <c r="Q542" s="2"/>
    </row>
    <row r="543" spans="1:17">
      <c r="A543" s="1" t="s">
        <v>25</v>
      </c>
      <c r="B543" s="1" t="s">
        <v>19</v>
      </c>
      <c r="C543" s="1" t="s">
        <v>16</v>
      </c>
      <c r="D543" s="2" t="s">
        <v>123</v>
      </c>
      <c r="E543" s="4">
        <v>45859</v>
      </c>
      <c r="F543" s="2">
        <f t="shared" si="18"/>
        <v>175</v>
      </c>
      <c r="G543" s="2">
        <v>3</v>
      </c>
      <c r="H543" s="1" t="s">
        <v>115</v>
      </c>
      <c r="J543" s="1">
        <v>3</v>
      </c>
      <c r="K543" s="2"/>
      <c r="L543" s="2"/>
      <c r="M543" s="2"/>
      <c r="N543" s="2"/>
      <c r="O543" s="2"/>
      <c r="P543" s="2">
        <v>0</v>
      </c>
      <c r="Q543" s="2"/>
    </row>
    <row r="544" spans="1:17">
      <c r="A544" s="1" t="s">
        <v>25</v>
      </c>
      <c r="B544" s="1" t="s">
        <v>20</v>
      </c>
      <c r="C544" s="1" t="s">
        <v>16</v>
      </c>
      <c r="D544" s="2" t="s">
        <v>123</v>
      </c>
      <c r="E544" s="4">
        <v>45860</v>
      </c>
      <c r="F544" s="2">
        <f t="shared" si="18"/>
        <v>176</v>
      </c>
      <c r="G544" s="2">
        <v>1</v>
      </c>
      <c r="H544" s="1" t="s">
        <v>11</v>
      </c>
      <c r="I544" s="1">
        <v>2</v>
      </c>
      <c r="J544" s="1">
        <v>2</v>
      </c>
      <c r="K544" s="2"/>
      <c r="L544" s="2"/>
      <c r="M544" s="2"/>
      <c r="N544" s="2"/>
      <c r="O544" s="2"/>
      <c r="P544" s="2"/>
      <c r="Q544" s="2"/>
    </row>
    <row r="545" spans="1:17">
      <c r="A545" s="1" t="s">
        <v>25</v>
      </c>
      <c r="B545" s="1" t="s">
        <v>20</v>
      </c>
      <c r="C545" s="1" t="s">
        <v>16</v>
      </c>
      <c r="D545" s="2" t="s">
        <v>123</v>
      </c>
      <c r="E545" s="4">
        <v>45860</v>
      </c>
      <c r="F545" s="2">
        <f t="shared" si="18"/>
        <v>176</v>
      </c>
      <c r="G545" s="2">
        <v>2</v>
      </c>
      <c r="H545" s="1" t="s">
        <v>11</v>
      </c>
      <c r="I545" s="1">
        <v>4</v>
      </c>
      <c r="J545" s="1">
        <v>0</v>
      </c>
      <c r="K545" s="2"/>
      <c r="L545" s="2"/>
      <c r="M545" s="2"/>
      <c r="N545" s="2"/>
      <c r="O545" s="2"/>
      <c r="P545" s="2"/>
      <c r="Q545" s="2"/>
    </row>
    <row r="546" spans="1:17">
      <c r="A546" s="1" t="s">
        <v>25</v>
      </c>
      <c r="B546" s="1" t="s">
        <v>20</v>
      </c>
      <c r="C546" s="1" t="s">
        <v>16</v>
      </c>
      <c r="D546" s="2" t="s">
        <v>123</v>
      </c>
      <c r="E546" s="4">
        <v>45860</v>
      </c>
      <c r="F546" s="2">
        <f t="shared" si="18"/>
        <v>176</v>
      </c>
      <c r="G546" s="2">
        <v>3</v>
      </c>
      <c r="H546" s="1" t="s">
        <v>11</v>
      </c>
      <c r="I546" s="1">
        <v>2</v>
      </c>
      <c r="J546" s="1">
        <v>4</v>
      </c>
      <c r="K546" s="2"/>
      <c r="L546" s="2"/>
      <c r="M546" s="2"/>
      <c r="N546" s="2"/>
      <c r="O546" s="2"/>
      <c r="P546" s="2"/>
      <c r="Q546" s="2"/>
    </row>
    <row r="547" spans="1:17">
      <c r="A547" s="1" t="s">
        <v>25</v>
      </c>
      <c r="B547" s="1" t="s">
        <v>19</v>
      </c>
      <c r="C547" s="1" t="s">
        <v>16</v>
      </c>
      <c r="D547" s="2" t="s">
        <v>123</v>
      </c>
      <c r="E547" s="4">
        <v>45860</v>
      </c>
      <c r="F547" s="2">
        <f t="shared" si="18"/>
        <v>177</v>
      </c>
      <c r="G547" s="2">
        <v>1</v>
      </c>
      <c r="H547" s="1" t="s">
        <v>9</v>
      </c>
      <c r="I547" s="1">
        <v>2</v>
      </c>
      <c r="J547" s="1">
        <v>0</v>
      </c>
      <c r="K547" s="2"/>
      <c r="L547" s="2"/>
      <c r="M547" s="2"/>
      <c r="N547" s="2"/>
      <c r="O547" s="2"/>
      <c r="P547" s="2"/>
      <c r="Q547" s="2"/>
    </row>
    <row r="548" spans="1:17">
      <c r="A548" s="1" t="s">
        <v>25</v>
      </c>
      <c r="B548" s="1" t="s">
        <v>19</v>
      </c>
      <c r="C548" s="1" t="s">
        <v>16</v>
      </c>
      <c r="D548" s="2" t="s">
        <v>123</v>
      </c>
      <c r="E548" s="4">
        <v>45860</v>
      </c>
      <c r="F548" s="2">
        <f t="shared" si="18"/>
        <v>177</v>
      </c>
      <c r="G548" s="2">
        <v>2</v>
      </c>
      <c r="H548" s="1" t="s">
        <v>9</v>
      </c>
      <c r="I548" s="1">
        <v>0</v>
      </c>
      <c r="J548" s="1">
        <v>4</v>
      </c>
      <c r="K548" s="2"/>
      <c r="L548" s="2"/>
      <c r="M548" s="2"/>
      <c r="N548" s="2"/>
      <c r="O548" s="2"/>
      <c r="P548" s="2"/>
      <c r="Q548" s="2"/>
    </row>
    <row r="549" spans="1:17">
      <c r="A549" s="1" t="s">
        <v>25</v>
      </c>
      <c r="B549" s="1" t="s">
        <v>19</v>
      </c>
      <c r="C549" s="1" t="s">
        <v>16</v>
      </c>
      <c r="D549" s="2" t="s">
        <v>123</v>
      </c>
      <c r="E549" s="4">
        <v>45860</v>
      </c>
      <c r="F549" s="2">
        <f t="shared" si="18"/>
        <v>177</v>
      </c>
      <c r="G549" s="2">
        <v>3</v>
      </c>
      <c r="H549" s="1" t="s">
        <v>9</v>
      </c>
      <c r="I549" s="1">
        <v>1</v>
      </c>
      <c r="J549" s="1">
        <v>3</v>
      </c>
      <c r="K549" s="2"/>
      <c r="L549" s="2"/>
      <c r="M549" s="2"/>
      <c r="N549" s="2"/>
      <c r="O549" s="2"/>
      <c r="P549" s="2"/>
      <c r="Q549" s="2"/>
    </row>
    <row r="550" spans="1:17">
      <c r="A550" s="1" t="s">
        <v>25</v>
      </c>
      <c r="B550" s="1" t="s">
        <v>20</v>
      </c>
      <c r="C550" s="1" t="s">
        <v>16</v>
      </c>
      <c r="D550" s="2" t="s">
        <v>123</v>
      </c>
      <c r="E550" s="4">
        <v>45861</v>
      </c>
      <c r="F550" s="2">
        <f t="shared" si="18"/>
        <v>178</v>
      </c>
      <c r="G550" s="2">
        <v>1</v>
      </c>
      <c r="H550" s="1" t="s">
        <v>8</v>
      </c>
      <c r="I550" s="1">
        <v>4</v>
      </c>
      <c r="J550" s="1">
        <v>5</v>
      </c>
      <c r="K550" s="2">
        <v>0</v>
      </c>
      <c r="L550" s="2"/>
      <c r="M550" s="2"/>
      <c r="N550" s="2"/>
      <c r="O550" s="2"/>
      <c r="P550" s="2"/>
      <c r="Q550" s="2"/>
    </row>
    <row r="551" spans="1:17">
      <c r="A551" s="1" t="s">
        <v>25</v>
      </c>
      <c r="B551" s="1" t="s">
        <v>20</v>
      </c>
      <c r="C551" s="1" t="s">
        <v>16</v>
      </c>
      <c r="D551" s="2" t="s">
        <v>123</v>
      </c>
      <c r="E551" s="4">
        <v>45861</v>
      </c>
      <c r="F551" s="2">
        <f t="shared" si="18"/>
        <v>178</v>
      </c>
      <c r="G551" s="2">
        <v>2</v>
      </c>
      <c r="H551" s="1" t="s">
        <v>8</v>
      </c>
      <c r="I551" s="1">
        <v>2</v>
      </c>
      <c r="J551" s="1">
        <v>0</v>
      </c>
      <c r="K551" s="2">
        <v>1</v>
      </c>
      <c r="L551" s="2"/>
      <c r="M551" s="2"/>
      <c r="N551" s="2"/>
      <c r="O551" s="2"/>
      <c r="P551" s="2"/>
      <c r="Q551" s="2"/>
    </row>
    <row r="552" spans="1:17">
      <c r="A552" s="1" t="s">
        <v>25</v>
      </c>
      <c r="B552" s="1" t="s">
        <v>20</v>
      </c>
      <c r="C552" s="1" t="s">
        <v>16</v>
      </c>
      <c r="D552" s="2" t="s">
        <v>123</v>
      </c>
      <c r="E552" s="4">
        <v>45861</v>
      </c>
      <c r="F552" s="2">
        <f t="shared" si="18"/>
        <v>178</v>
      </c>
      <c r="G552" s="2">
        <v>3</v>
      </c>
      <c r="H552" s="1" t="s">
        <v>8</v>
      </c>
      <c r="I552" s="1">
        <v>3</v>
      </c>
      <c r="J552" s="1">
        <v>0</v>
      </c>
      <c r="K552" s="2">
        <v>1</v>
      </c>
      <c r="L552" s="2"/>
      <c r="M552" s="2"/>
      <c r="N552" s="2"/>
      <c r="O552" s="2"/>
      <c r="P552" s="2"/>
      <c r="Q552" s="2"/>
    </row>
    <row r="553" spans="1:17">
      <c r="A553" s="1" t="s">
        <v>25</v>
      </c>
      <c r="B553" s="1" t="s">
        <v>20</v>
      </c>
      <c r="C553" s="1" t="s">
        <v>16</v>
      </c>
      <c r="D553" s="2" t="s">
        <v>123</v>
      </c>
      <c r="E553" s="4">
        <v>45861</v>
      </c>
      <c r="F553" s="2">
        <f t="shared" si="18"/>
        <v>179</v>
      </c>
      <c r="G553" s="2">
        <v>1</v>
      </c>
      <c r="H553" s="1" t="s">
        <v>9</v>
      </c>
      <c r="I553" s="1">
        <v>1</v>
      </c>
      <c r="J553" s="1">
        <v>3</v>
      </c>
      <c r="K553" s="2"/>
      <c r="L553" s="2"/>
      <c r="M553" s="2"/>
      <c r="N553" s="2"/>
      <c r="O553" s="2"/>
      <c r="P553" s="2"/>
      <c r="Q553" s="2"/>
    </row>
    <row r="554" spans="1:17">
      <c r="A554" s="1" t="s">
        <v>25</v>
      </c>
      <c r="B554" s="1" t="s">
        <v>20</v>
      </c>
      <c r="C554" s="1" t="s">
        <v>16</v>
      </c>
      <c r="D554" s="2" t="s">
        <v>123</v>
      </c>
      <c r="E554" s="4">
        <v>45861</v>
      </c>
      <c r="F554" s="2">
        <f t="shared" si="18"/>
        <v>179</v>
      </c>
      <c r="G554" s="2">
        <v>2</v>
      </c>
      <c r="H554" s="1" t="s">
        <v>9</v>
      </c>
      <c r="I554" s="1">
        <v>3</v>
      </c>
      <c r="J554" s="1">
        <v>0</v>
      </c>
      <c r="K554" s="2"/>
      <c r="L554" s="2"/>
      <c r="M554" s="2"/>
      <c r="N554" s="2"/>
      <c r="O554" s="2"/>
      <c r="P554" s="2"/>
      <c r="Q554" s="2"/>
    </row>
    <row r="555" spans="1:17">
      <c r="A555" s="1" t="s">
        <v>25</v>
      </c>
      <c r="B555" s="1" t="s">
        <v>20</v>
      </c>
      <c r="C555" s="1" t="s">
        <v>16</v>
      </c>
      <c r="D555" s="2" t="s">
        <v>123</v>
      </c>
      <c r="E555" s="4">
        <v>45861</v>
      </c>
      <c r="F555" s="2">
        <f t="shared" si="18"/>
        <v>179</v>
      </c>
      <c r="G555" s="2">
        <v>3</v>
      </c>
      <c r="H555" s="1" t="s">
        <v>9</v>
      </c>
      <c r="I555" s="1">
        <v>2</v>
      </c>
      <c r="J555" s="1">
        <v>0</v>
      </c>
      <c r="K555" s="2"/>
      <c r="L555" s="2"/>
      <c r="M555" s="2"/>
      <c r="N555" s="2"/>
      <c r="O555" s="2"/>
      <c r="P555" s="2"/>
      <c r="Q555" s="2"/>
    </row>
    <row r="556" spans="1:17">
      <c r="A556" s="1" t="s">
        <v>25</v>
      </c>
      <c r="B556" s="1" t="s">
        <v>20</v>
      </c>
      <c r="C556" s="1" t="s">
        <v>16</v>
      </c>
      <c r="D556" s="2" t="s">
        <v>123</v>
      </c>
      <c r="E556" s="4">
        <v>45862</v>
      </c>
      <c r="F556" s="2">
        <f t="shared" si="18"/>
        <v>180</v>
      </c>
      <c r="G556" s="2">
        <v>1</v>
      </c>
      <c r="H556" s="1" t="s">
        <v>34</v>
      </c>
      <c r="J556" s="1">
        <v>0</v>
      </c>
      <c r="K556" s="2">
        <v>4</v>
      </c>
      <c r="L556" s="2"/>
      <c r="M556" s="2"/>
      <c r="N556" s="2"/>
      <c r="O556" s="2"/>
      <c r="P556" s="2"/>
      <c r="Q556" s="2"/>
    </row>
    <row r="557" spans="1:17">
      <c r="A557" s="1" t="s">
        <v>25</v>
      </c>
      <c r="B557" s="1" t="s">
        <v>20</v>
      </c>
      <c r="C557" s="1" t="s">
        <v>16</v>
      </c>
      <c r="D557" s="2" t="s">
        <v>123</v>
      </c>
      <c r="E557" s="4">
        <v>45862</v>
      </c>
      <c r="F557" s="2">
        <f t="shared" si="18"/>
        <v>180</v>
      </c>
      <c r="G557" s="2">
        <v>2</v>
      </c>
      <c r="H557" s="1" t="s">
        <v>34</v>
      </c>
      <c r="J557" s="1">
        <v>4</v>
      </c>
      <c r="K557" s="2">
        <v>1</v>
      </c>
      <c r="L557" s="2"/>
      <c r="M557" s="2"/>
      <c r="N557" s="2"/>
      <c r="O557" s="2"/>
      <c r="P557" s="2"/>
      <c r="Q557" s="2"/>
    </row>
    <row r="558" spans="1:17">
      <c r="A558" s="1" t="s">
        <v>25</v>
      </c>
      <c r="B558" s="1" t="s">
        <v>20</v>
      </c>
      <c r="C558" s="1" t="s">
        <v>16</v>
      </c>
      <c r="D558" s="2" t="s">
        <v>123</v>
      </c>
      <c r="E558" s="4">
        <v>45862</v>
      </c>
      <c r="F558" s="2">
        <f t="shared" si="18"/>
        <v>180</v>
      </c>
      <c r="G558" s="2">
        <v>3</v>
      </c>
      <c r="H558" s="1" t="s">
        <v>34</v>
      </c>
      <c r="J558" s="1">
        <v>1</v>
      </c>
      <c r="K558" s="2">
        <v>3</v>
      </c>
      <c r="L558" s="2"/>
      <c r="M558" s="2"/>
      <c r="N558" s="2"/>
      <c r="O558" s="2"/>
      <c r="P558" s="2"/>
      <c r="Q558" s="2"/>
    </row>
    <row r="559" spans="1:17">
      <c r="A559" s="1" t="s">
        <v>25</v>
      </c>
      <c r="B559" s="1" t="s">
        <v>20</v>
      </c>
      <c r="C559" s="1" t="s">
        <v>16</v>
      </c>
      <c r="D559" s="2" t="s">
        <v>123</v>
      </c>
      <c r="E559" s="4">
        <v>45863</v>
      </c>
      <c r="F559" s="2">
        <f t="shared" si="18"/>
        <v>181</v>
      </c>
      <c r="G559" s="2">
        <v>1</v>
      </c>
      <c r="H559" s="1" t="s">
        <v>71</v>
      </c>
      <c r="J559" s="1">
        <v>1</v>
      </c>
      <c r="K559" s="2">
        <v>0</v>
      </c>
      <c r="L559" s="2"/>
      <c r="M559" s="2"/>
      <c r="N559" s="2"/>
      <c r="O559" s="2"/>
      <c r="P559" s="2"/>
      <c r="Q559" s="2"/>
    </row>
    <row r="560" spans="1:17">
      <c r="A560" s="1" t="s">
        <v>25</v>
      </c>
      <c r="B560" s="1" t="s">
        <v>20</v>
      </c>
      <c r="C560" s="1" t="s">
        <v>16</v>
      </c>
      <c r="D560" s="2" t="s">
        <v>123</v>
      </c>
      <c r="E560" s="4">
        <v>45863</v>
      </c>
      <c r="F560" s="2">
        <f t="shared" ref="F560:F624" si="19">F557+1</f>
        <v>181</v>
      </c>
      <c r="G560" s="2">
        <v>2</v>
      </c>
      <c r="H560" s="1" t="s">
        <v>71</v>
      </c>
      <c r="J560" s="1">
        <v>3</v>
      </c>
      <c r="K560" s="2">
        <v>0</v>
      </c>
      <c r="L560" s="2"/>
      <c r="M560" s="2"/>
      <c r="N560" s="2"/>
      <c r="O560" s="2"/>
      <c r="P560" s="2"/>
      <c r="Q560" s="2"/>
    </row>
    <row r="561" spans="1:17">
      <c r="A561" s="1" t="s">
        <v>25</v>
      </c>
      <c r="B561" s="1" t="s">
        <v>20</v>
      </c>
      <c r="C561" s="1" t="s">
        <v>16</v>
      </c>
      <c r="D561" s="2" t="s">
        <v>123</v>
      </c>
      <c r="E561" s="4">
        <v>45863</v>
      </c>
      <c r="F561" s="2">
        <f t="shared" si="19"/>
        <v>181</v>
      </c>
      <c r="G561" s="2">
        <v>3</v>
      </c>
      <c r="H561" s="1" t="s">
        <v>71</v>
      </c>
      <c r="J561" s="1">
        <v>0</v>
      </c>
      <c r="K561" s="2">
        <v>0</v>
      </c>
      <c r="L561" s="2"/>
      <c r="M561" s="2"/>
      <c r="N561" s="2"/>
      <c r="O561" s="2"/>
      <c r="P561" s="2"/>
      <c r="Q561" s="2"/>
    </row>
    <row r="562" spans="1:17">
      <c r="A562" s="1" t="s">
        <v>25</v>
      </c>
      <c r="B562" s="1" t="s">
        <v>20</v>
      </c>
      <c r="C562" s="1" t="s">
        <v>16</v>
      </c>
      <c r="D562" s="2" t="s">
        <v>123</v>
      </c>
      <c r="E562" s="4">
        <v>45863</v>
      </c>
      <c r="F562" s="2">
        <f t="shared" si="19"/>
        <v>182</v>
      </c>
      <c r="G562" s="2">
        <v>1</v>
      </c>
      <c r="H562" s="1" t="s">
        <v>115</v>
      </c>
      <c r="J562" s="1">
        <v>0</v>
      </c>
      <c r="K562" s="2"/>
      <c r="L562" s="2"/>
      <c r="M562" s="2"/>
      <c r="N562" s="2"/>
      <c r="O562" s="2"/>
      <c r="P562" s="2">
        <v>0</v>
      </c>
      <c r="Q562" s="2"/>
    </row>
    <row r="563" spans="1:17">
      <c r="A563" s="1" t="s">
        <v>25</v>
      </c>
      <c r="B563" s="1" t="s">
        <v>20</v>
      </c>
      <c r="C563" s="1" t="s">
        <v>16</v>
      </c>
      <c r="D563" s="2" t="s">
        <v>123</v>
      </c>
      <c r="E563" s="4">
        <v>45863</v>
      </c>
      <c r="F563" s="2">
        <f t="shared" si="19"/>
        <v>182</v>
      </c>
      <c r="G563" s="2">
        <v>2</v>
      </c>
      <c r="H563" s="1" t="s">
        <v>115</v>
      </c>
      <c r="J563" s="1">
        <v>0</v>
      </c>
      <c r="K563" s="2"/>
      <c r="L563" s="2"/>
      <c r="M563" s="2"/>
      <c r="N563" s="2"/>
      <c r="O563" s="2"/>
      <c r="P563" s="2">
        <v>1</v>
      </c>
      <c r="Q563" s="2"/>
    </row>
    <row r="564" spans="1:17">
      <c r="A564" s="1" t="s">
        <v>25</v>
      </c>
      <c r="B564" s="1" t="s">
        <v>20</v>
      </c>
      <c r="C564" s="1" t="s">
        <v>16</v>
      </c>
      <c r="D564" s="2" t="s">
        <v>123</v>
      </c>
      <c r="E564" s="4">
        <v>45863</v>
      </c>
      <c r="F564" s="2">
        <f t="shared" si="19"/>
        <v>182</v>
      </c>
      <c r="G564" s="2">
        <v>3</v>
      </c>
      <c r="H564" s="1" t="s">
        <v>115</v>
      </c>
      <c r="J564" s="1">
        <v>2</v>
      </c>
      <c r="K564" s="2"/>
      <c r="L564" s="2"/>
      <c r="M564" s="2"/>
      <c r="N564" s="2"/>
      <c r="O564" s="2"/>
      <c r="P564" s="2">
        <v>1</v>
      </c>
      <c r="Q564" s="2"/>
    </row>
    <row r="565" spans="1:17">
      <c r="A565" s="1" t="s">
        <v>25</v>
      </c>
      <c r="B565" s="1" t="s">
        <v>20</v>
      </c>
      <c r="C565" s="1" t="s">
        <v>16</v>
      </c>
      <c r="D565" s="2" t="s">
        <v>123</v>
      </c>
      <c r="E565" s="4">
        <v>45863</v>
      </c>
      <c r="F565" s="2">
        <v>182</v>
      </c>
      <c r="G565" s="2" t="s">
        <v>82</v>
      </c>
      <c r="H565" s="1" t="s">
        <v>115</v>
      </c>
      <c r="J565" s="1">
        <v>2</v>
      </c>
      <c r="K565" s="2"/>
      <c r="L565" s="2"/>
      <c r="M565" s="2"/>
      <c r="N565" s="2"/>
      <c r="O565" s="2"/>
      <c r="P565" s="2">
        <v>1</v>
      </c>
      <c r="Q565" s="2"/>
    </row>
    <row r="566" spans="1:17">
      <c r="A566" s="1" t="s">
        <v>25</v>
      </c>
      <c r="B566" s="1" t="s">
        <v>20</v>
      </c>
      <c r="C566" s="1" t="s">
        <v>16</v>
      </c>
      <c r="D566" s="2" t="s">
        <v>123</v>
      </c>
      <c r="E566" s="4">
        <v>45863</v>
      </c>
      <c r="F566" s="2">
        <f t="shared" si="19"/>
        <v>183</v>
      </c>
      <c r="G566" s="2">
        <v>1</v>
      </c>
      <c r="H566" s="1" t="s">
        <v>77</v>
      </c>
      <c r="J566" s="1">
        <v>0</v>
      </c>
      <c r="K566" s="2"/>
      <c r="L566" s="2"/>
      <c r="M566" s="2"/>
      <c r="N566" s="2"/>
      <c r="O566" s="2"/>
      <c r="P566" s="2">
        <v>3</v>
      </c>
      <c r="Q566" s="2"/>
    </row>
    <row r="567" spans="1:17">
      <c r="A567" s="1" t="s">
        <v>25</v>
      </c>
      <c r="B567" s="1" t="s">
        <v>20</v>
      </c>
      <c r="C567" s="1" t="s">
        <v>16</v>
      </c>
      <c r="D567" s="2" t="s">
        <v>123</v>
      </c>
      <c r="E567" s="4">
        <v>45863</v>
      </c>
      <c r="F567" s="2">
        <f t="shared" si="19"/>
        <v>183</v>
      </c>
      <c r="G567" s="2">
        <v>2</v>
      </c>
      <c r="H567" s="1" t="s">
        <v>77</v>
      </c>
      <c r="J567" s="1">
        <v>2</v>
      </c>
      <c r="K567" s="2"/>
      <c r="L567" s="2"/>
      <c r="M567" s="2"/>
      <c r="N567" s="2"/>
      <c r="O567" s="2"/>
      <c r="P567" s="2">
        <v>0</v>
      </c>
      <c r="Q567" s="2"/>
    </row>
    <row r="568" spans="1:17">
      <c r="A568" s="1" t="s">
        <v>25</v>
      </c>
      <c r="B568" s="1" t="s">
        <v>20</v>
      </c>
      <c r="C568" s="1" t="s">
        <v>16</v>
      </c>
      <c r="D568" s="2" t="s">
        <v>123</v>
      </c>
      <c r="E568" s="4">
        <v>45863</v>
      </c>
      <c r="F568" s="2">
        <f t="shared" si="19"/>
        <v>183</v>
      </c>
      <c r="G568" s="2">
        <v>3</v>
      </c>
      <c r="H568" s="1" t="s">
        <v>77</v>
      </c>
      <c r="J568" s="1">
        <v>3</v>
      </c>
      <c r="K568" s="2"/>
      <c r="L568" s="2"/>
      <c r="M568" s="2"/>
      <c r="N568" s="2"/>
      <c r="O568" s="2"/>
      <c r="P568" s="2">
        <v>0</v>
      </c>
      <c r="Q568" s="2"/>
    </row>
    <row r="569" spans="1:17">
      <c r="A569" s="1" t="s">
        <v>25</v>
      </c>
      <c r="B569" s="1" t="s">
        <v>20</v>
      </c>
      <c r="C569" s="1" t="s">
        <v>16</v>
      </c>
      <c r="D569" s="2" t="s">
        <v>123</v>
      </c>
      <c r="E569" s="4">
        <v>45866</v>
      </c>
      <c r="F569" s="2">
        <f t="shared" si="19"/>
        <v>184</v>
      </c>
      <c r="G569" s="2">
        <v>1</v>
      </c>
      <c r="H569" s="1" t="s">
        <v>71</v>
      </c>
      <c r="J569" s="1">
        <v>3</v>
      </c>
      <c r="K569" s="2">
        <v>0</v>
      </c>
      <c r="L569" s="2"/>
      <c r="M569" s="2"/>
      <c r="N569" s="2"/>
      <c r="O569" s="2"/>
      <c r="P569" s="2"/>
      <c r="Q569" s="2"/>
    </row>
    <row r="570" spans="1:17">
      <c r="A570" s="1" t="s">
        <v>25</v>
      </c>
      <c r="B570" s="1" t="s">
        <v>20</v>
      </c>
      <c r="C570" s="1" t="s">
        <v>16</v>
      </c>
      <c r="D570" s="2" t="s">
        <v>123</v>
      </c>
      <c r="E570" s="4">
        <v>45866</v>
      </c>
      <c r="F570" s="2">
        <f t="shared" si="19"/>
        <v>184</v>
      </c>
      <c r="G570" s="2">
        <v>2</v>
      </c>
      <c r="H570" s="1" t="s">
        <v>71</v>
      </c>
      <c r="J570" s="1">
        <v>2</v>
      </c>
      <c r="K570" s="2">
        <v>2</v>
      </c>
      <c r="L570" s="2"/>
      <c r="M570" s="2"/>
      <c r="N570" s="2"/>
      <c r="O570" s="2"/>
      <c r="P570" s="2"/>
      <c r="Q570" s="2"/>
    </row>
    <row r="571" spans="1:17">
      <c r="A571" s="1" t="s">
        <v>25</v>
      </c>
      <c r="B571" s="1" t="s">
        <v>20</v>
      </c>
      <c r="C571" s="1" t="s">
        <v>16</v>
      </c>
      <c r="D571" s="2" t="s">
        <v>123</v>
      </c>
      <c r="E571" s="4">
        <v>45866</v>
      </c>
      <c r="F571" s="2">
        <f t="shared" si="19"/>
        <v>184</v>
      </c>
      <c r="G571" s="2">
        <v>3</v>
      </c>
      <c r="H571" s="1" t="s">
        <v>71</v>
      </c>
      <c r="J571" s="1">
        <v>3</v>
      </c>
      <c r="K571" s="2">
        <v>0</v>
      </c>
      <c r="L571" s="2"/>
      <c r="M571" s="2"/>
      <c r="N571" s="2"/>
      <c r="O571" s="2"/>
      <c r="P571" s="2"/>
      <c r="Q571" s="2"/>
    </row>
    <row r="572" spans="1:17">
      <c r="A572" s="1" t="s">
        <v>25</v>
      </c>
      <c r="B572" s="1" t="s">
        <v>20</v>
      </c>
      <c r="C572" s="1" t="s">
        <v>16</v>
      </c>
      <c r="D572" s="2" t="s">
        <v>123</v>
      </c>
      <c r="E572" s="4">
        <v>45868</v>
      </c>
      <c r="F572" s="2">
        <f t="shared" si="19"/>
        <v>185</v>
      </c>
      <c r="G572" s="2">
        <v>1</v>
      </c>
      <c r="H572" s="1" t="s">
        <v>11</v>
      </c>
      <c r="I572" s="1">
        <v>6</v>
      </c>
      <c r="J572" s="1">
        <v>3</v>
      </c>
      <c r="K572" s="2"/>
      <c r="L572" s="2"/>
      <c r="M572" s="2"/>
      <c r="N572" s="2"/>
      <c r="O572" s="2"/>
      <c r="P572" s="2"/>
      <c r="Q572" s="2"/>
    </row>
    <row r="573" spans="1:17">
      <c r="A573" s="1" t="s">
        <v>25</v>
      </c>
      <c r="B573" s="1" t="s">
        <v>20</v>
      </c>
      <c r="C573" s="1" t="s">
        <v>16</v>
      </c>
      <c r="D573" s="2" t="s">
        <v>123</v>
      </c>
      <c r="E573" s="4">
        <v>45868</v>
      </c>
      <c r="F573" s="2">
        <f t="shared" si="19"/>
        <v>185</v>
      </c>
      <c r="G573" s="2">
        <v>2</v>
      </c>
      <c r="H573" s="1" t="s">
        <v>11</v>
      </c>
      <c r="I573" s="1">
        <v>1</v>
      </c>
      <c r="J573" s="1">
        <v>1</v>
      </c>
      <c r="K573" s="2"/>
      <c r="L573" s="2"/>
      <c r="M573" s="2"/>
      <c r="N573" s="2"/>
      <c r="O573" s="2"/>
      <c r="P573" s="2"/>
      <c r="Q573" s="2"/>
    </row>
    <row r="574" spans="1:17">
      <c r="A574" s="1" t="s">
        <v>25</v>
      </c>
      <c r="B574" s="1" t="s">
        <v>20</v>
      </c>
      <c r="C574" s="1" t="s">
        <v>16</v>
      </c>
      <c r="D574" s="2" t="s">
        <v>123</v>
      </c>
      <c r="E574" s="4">
        <v>45868</v>
      </c>
      <c r="F574" s="2">
        <f t="shared" si="19"/>
        <v>185</v>
      </c>
      <c r="G574" s="2">
        <v>3</v>
      </c>
      <c r="H574" s="1" t="s">
        <v>11</v>
      </c>
      <c r="I574" s="1">
        <v>4</v>
      </c>
      <c r="J574" s="1">
        <v>2</v>
      </c>
      <c r="K574" s="2"/>
      <c r="L574" s="2"/>
      <c r="M574" s="2"/>
      <c r="N574" s="2"/>
      <c r="O574" s="2"/>
      <c r="P574" s="2"/>
      <c r="Q574" s="2"/>
    </row>
    <row r="575" spans="1:17">
      <c r="A575" s="1" t="s">
        <v>25</v>
      </c>
      <c r="B575" s="1" t="s">
        <v>20</v>
      </c>
      <c r="C575" s="1" t="s">
        <v>116</v>
      </c>
      <c r="D575" s="2" t="s">
        <v>123</v>
      </c>
      <c r="E575" s="4">
        <v>45868</v>
      </c>
      <c r="F575" s="2">
        <f t="shared" si="19"/>
        <v>186</v>
      </c>
      <c r="G575" s="2">
        <v>1</v>
      </c>
      <c r="H575" s="1" t="s">
        <v>9</v>
      </c>
      <c r="I575" s="1">
        <v>2</v>
      </c>
      <c r="J575" s="1">
        <v>5</v>
      </c>
      <c r="K575" s="2"/>
      <c r="L575" s="2"/>
      <c r="M575" s="2"/>
      <c r="N575" s="2"/>
      <c r="O575" s="2"/>
      <c r="P575" s="2"/>
      <c r="Q575" s="2"/>
    </row>
    <row r="576" spans="1:17">
      <c r="A576" s="1" t="s">
        <v>25</v>
      </c>
      <c r="B576" s="1" t="s">
        <v>20</v>
      </c>
      <c r="C576" s="1" t="s">
        <v>116</v>
      </c>
      <c r="D576" s="2" t="s">
        <v>123</v>
      </c>
      <c r="E576" s="4">
        <v>45868</v>
      </c>
      <c r="F576" s="2">
        <f t="shared" si="19"/>
        <v>186</v>
      </c>
      <c r="G576" s="2">
        <v>2</v>
      </c>
      <c r="H576" s="1" t="s">
        <v>9</v>
      </c>
      <c r="I576" s="1">
        <v>7</v>
      </c>
      <c r="J576" s="1">
        <v>0</v>
      </c>
      <c r="K576" s="2"/>
      <c r="L576" s="2"/>
      <c r="M576" s="2"/>
      <c r="N576" s="2"/>
      <c r="O576" s="2"/>
      <c r="P576" s="2"/>
      <c r="Q576" s="2"/>
    </row>
    <row r="577" spans="1:17">
      <c r="A577" s="1" t="s">
        <v>25</v>
      </c>
      <c r="B577" s="1" t="s">
        <v>20</v>
      </c>
      <c r="C577" s="1" t="s">
        <v>116</v>
      </c>
      <c r="D577" s="2" t="s">
        <v>123</v>
      </c>
      <c r="E577" s="4">
        <v>45868</v>
      </c>
      <c r="F577" s="2">
        <f t="shared" si="19"/>
        <v>186</v>
      </c>
      <c r="G577" s="2">
        <v>3</v>
      </c>
      <c r="H577" s="1" t="s">
        <v>9</v>
      </c>
      <c r="I577" s="1">
        <v>1</v>
      </c>
      <c r="J577" s="1">
        <v>2</v>
      </c>
      <c r="K577" s="2"/>
      <c r="L577" s="2"/>
      <c r="M577" s="2"/>
      <c r="N577" s="2"/>
      <c r="O577" s="2"/>
      <c r="P577" s="2"/>
      <c r="Q577" s="2"/>
    </row>
    <row r="578" spans="1:17">
      <c r="A578" s="1" t="s">
        <v>25</v>
      </c>
      <c r="B578" s="1" t="s">
        <v>20</v>
      </c>
      <c r="C578" s="1" t="s">
        <v>116</v>
      </c>
      <c r="D578" s="2" t="s">
        <v>123</v>
      </c>
      <c r="E578" s="4">
        <v>45868</v>
      </c>
      <c r="F578" s="2">
        <f t="shared" si="19"/>
        <v>187</v>
      </c>
      <c r="G578" s="2">
        <v>1</v>
      </c>
      <c r="H578" s="1" t="s">
        <v>9</v>
      </c>
      <c r="I578" s="1">
        <v>4</v>
      </c>
      <c r="J578" s="1">
        <v>1</v>
      </c>
      <c r="K578" s="2"/>
      <c r="L578" s="2"/>
      <c r="M578" s="2"/>
      <c r="N578" s="2"/>
      <c r="O578" s="2"/>
      <c r="P578" s="2"/>
      <c r="Q578" s="2"/>
    </row>
    <row r="579" spans="1:17">
      <c r="A579" s="1" t="s">
        <v>25</v>
      </c>
      <c r="B579" s="1" t="s">
        <v>20</v>
      </c>
      <c r="C579" s="1" t="s">
        <v>116</v>
      </c>
      <c r="D579" s="2" t="s">
        <v>123</v>
      </c>
      <c r="E579" s="4">
        <v>45868</v>
      </c>
      <c r="F579" s="2">
        <f t="shared" si="19"/>
        <v>187</v>
      </c>
      <c r="G579" s="2">
        <v>2</v>
      </c>
      <c r="H579" s="1" t="s">
        <v>9</v>
      </c>
      <c r="I579" s="1">
        <v>5</v>
      </c>
      <c r="J579" s="1">
        <v>1</v>
      </c>
      <c r="K579" s="2"/>
      <c r="L579" s="2"/>
      <c r="M579" s="2"/>
      <c r="N579" s="2"/>
      <c r="O579" s="2"/>
      <c r="P579" s="2"/>
      <c r="Q579" s="2"/>
    </row>
    <row r="580" spans="1:17">
      <c r="A580" s="1" t="s">
        <v>25</v>
      </c>
      <c r="B580" s="1" t="s">
        <v>20</v>
      </c>
      <c r="C580" s="1" t="s">
        <v>116</v>
      </c>
      <c r="D580" s="2" t="s">
        <v>123</v>
      </c>
      <c r="E580" s="4">
        <v>45868</v>
      </c>
      <c r="F580" s="2">
        <f t="shared" si="19"/>
        <v>187</v>
      </c>
      <c r="G580" s="2">
        <v>3</v>
      </c>
      <c r="H580" s="1" t="s">
        <v>9</v>
      </c>
      <c r="I580" s="1">
        <v>4</v>
      </c>
      <c r="J580" s="1">
        <v>2</v>
      </c>
      <c r="K580" s="2"/>
      <c r="L580" s="2"/>
      <c r="M580" s="2"/>
      <c r="N580" s="2"/>
      <c r="O580" s="2"/>
      <c r="P580" s="2"/>
      <c r="Q580" s="2"/>
    </row>
    <row r="581" spans="1:17">
      <c r="A581" s="1" t="s">
        <v>25</v>
      </c>
      <c r="B581" s="1" t="s">
        <v>20</v>
      </c>
      <c r="C581" s="1" t="s">
        <v>116</v>
      </c>
      <c r="D581" s="2" t="s">
        <v>123</v>
      </c>
      <c r="E581" s="4">
        <v>45868</v>
      </c>
      <c r="F581" s="2">
        <f t="shared" si="19"/>
        <v>188</v>
      </c>
      <c r="G581" s="2">
        <v>1</v>
      </c>
      <c r="H581" s="1" t="s">
        <v>11</v>
      </c>
      <c r="I581" s="1">
        <v>3</v>
      </c>
      <c r="J581" s="1">
        <v>2</v>
      </c>
      <c r="K581" s="2"/>
      <c r="L581" s="2"/>
      <c r="M581" s="2"/>
      <c r="N581" s="2"/>
      <c r="O581" s="2"/>
      <c r="P581" s="2"/>
      <c r="Q581" s="2"/>
    </row>
    <row r="582" spans="1:17">
      <c r="A582" s="1" t="s">
        <v>25</v>
      </c>
      <c r="B582" s="1" t="s">
        <v>20</v>
      </c>
      <c r="C582" s="1" t="s">
        <v>116</v>
      </c>
      <c r="D582" s="2" t="s">
        <v>123</v>
      </c>
      <c r="E582" s="4">
        <v>45868</v>
      </c>
      <c r="F582" s="2">
        <f t="shared" si="19"/>
        <v>188</v>
      </c>
      <c r="G582" s="2">
        <v>2</v>
      </c>
      <c r="H582" s="1" t="s">
        <v>11</v>
      </c>
      <c r="I582" s="1">
        <v>3</v>
      </c>
      <c r="J582" s="1">
        <v>1</v>
      </c>
      <c r="K582" s="2"/>
      <c r="L582" s="2"/>
      <c r="M582" s="2"/>
      <c r="N582" s="2"/>
      <c r="O582" s="2"/>
      <c r="P582" s="2"/>
      <c r="Q582" s="2"/>
    </row>
    <row r="583" spans="1:17">
      <c r="A583" s="1" t="s">
        <v>25</v>
      </c>
      <c r="B583" s="1" t="s">
        <v>20</v>
      </c>
      <c r="C583" s="1" t="s">
        <v>116</v>
      </c>
      <c r="D583" s="2" t="s">
        <v>123</v>
      </c>
      <c r="E583" s="4">
        <v>45868</v>
      </c>
      <c r="F583" s="2">
        <f t="shared" si="19"/>
        <v>188</v>
      </c>
      <c r="G583" s="2">
        <v>3</v>
      </c>
      <c r="H583" s="1" t="s">
        <v>11</v>
      </c>
      <c r="I583" s="1">
        <v>2</v>
      </c>
      <c r="J583" s="1">
        <v>3</v>
      </c>
      <c r="K583" s="2"/>
      <c r="L583" s="2"/>
      <c r="M583" s="2"/>
      <c r="N583" s="2"/>
      <c r="O583" s="2"/>
      <c r="P583" s="2"/>
      <c r="Q583" s="2"/>
    </row>
    <row r="584" spans="1:17">
      <c r="A584" s="1" t="s">
        <v>25</v>
      </c>
      <c r="B584" s="1" t="s">
        <v>20</v>
      </c>
      <c r="C584" s="1" t="s">
        <v>116</v>
      </c>
      <c r="D584" s="2" t="s">
        <v>123</v>
      </c>
      <c r="E584" s="4">
        <v>45869</v>
      </c>
      <c r="F584" s="2">
        <f t="shared" si="19"/>
        <v>189</v>
      </c>
      <c r="G584" s="2">
        <v>1</v>
      </c>
      <c r="H584" s="1" t="s">
        <v>9</v>
      </c>
      <c r="I584" s="1">
        <v>6</v>
      </c>
      <c r="J584" s="1">
        <v>3</v>
      </c>
      <c r="K584" s="2"/>
      <c r="L584" s="2"/>
      <c r="M584" s="2"/>
      <c r="N584" s="2"/>
      <c r="O584" s="2"/>
      <c r="P584" s="2"/>
      <c r="Q584" s="2"/>
    </row>
    <row r="585" spans="1:17">
      <c r="A585" s="1" t="s">
        <v>25</v>
      </c>
      <c r="B585" s="1" t="s">
        <v>20</v>
      </c>
      <c r="C585" s="1" t="s">
        <v>116</v>
      </c>
      <c r="D585" s="2" t="s">
        <v>123</v>
      </c>
      <c r="E585" s="4">
        <v>45869</v>
      </c>
      <c r="F585" s="2">
        <f t="shared" si="19"/>
        <v>189</v>
      </c>
      <c r="G585" s="2">
        <v>2</v>
      </c>
      <c r="H585" s="1" t="s">
        <v>9</v>
      </c>
      <c r="I585" s="1">
        <v>6</v>
      </c>
      <c r="J585" s="1">
        <v>3</v>
      </c>
      <c r="K585" s="2"/>
      <c r="L585" s="2"/>
      <c r="M585" s="2"/>
      <c r="N585" s="2"/>
      <c r="O585" s="2"/>
      <c r="P585" s="2"/>
      <c r="Q585" s="2"/>
    </row>
    <row r="586" spans="1:17">
      <c r="A586" s="1" t="s">
        <v>25</v>
      </c>
      <c r="B586" s="1" t="s">
        <v>20</v>
      </c>
      <c r="C586" s="1" t="s">
        <v>116</v>
      </c>
      <c r="D586" s="2" t="s">
        <v>123</v>
      </c>
      <c r="E586" s="4">
        <v>45869</v>
      </c>
      <c r="F586" s="2">
        <f t="shared" si="19"/>
        <v>189</v>
      </c>
      <c r="G586" s="2">
        <v>3</v>
      </c>
      <c r="H586" s="1" t="s">
        <v>9</v>
      </c>
      <c r="I586" s="1">
        <v>4</v>
      </c>
      <c r="J586" s="1">
        <v>0</v>
      </c>
      <c r="K586" s="2"/>
      <c r="L586" s="2"/>
      <c r="M586" s="2"/>
      <c r="N586" s="2"/>
      <c r="O586" s="2"/>
      <c r="P586" s="2"/>
      <c r="Q586" s="2"/>
    </row>
    <row r="587" spans="1:17">
      <c r="A587" s="1" t="s">
        <v>25</v>
      </c>
      <c r="B587" s="1" t="s">
        <v>20</v>
      </c>
      <c r="C587" s="1" t="s">
        <v>116</v>
      </c>
      <c r="D587" s="2" t="s">
        <v>123</v>
      </c>
      <c r="E587" s="4">
        <v>45869</v>
      </c>
      <c r="F587" s="2">
        <f t="shared" si="19"/>
        <v>190</v>
      </c>
      <c r="G587" s="2">
        <v>1</v>
      </c>
      <c r="H587" s="1" t="s">
        <v>11</v>
      </c>
      <c r="I587" s="1">
        <v>3</v>
      </c>
      <c r="J587" s="1">
        <v>1</v>
      </c>
      <c r="K587" s="2"/>
      <c r="L587" s="2"/>
      <c r="M587" s="2"/>
      <c r="N587" s="2"/>
      <c r="O587" s="2"/>
      <c r="P587" s="2"/>
      <c r="Q587" s="2"/>
    </row>
    <row r="588" spans="1:17">
      <c r="A588" s="1" t="s">
        <v>25</v>
      </c>
      <c r="B588" s="1" t="s">
        <v>20</v>
      </c>
      <c r="C588" s="1" t="s">
        <v>116</v>
      </c>
      <c r="D588" s="2" t="s">
        <v>123</v>
      </c>
      <c r="E588" s="4">
        <v>45869</v>
      </c>
      <c r="F588" s="2">
        <f t="shared" si="19"/>
        <v>190</v>
      </c>
      <c r="G588" s="2">
        <v>2</v>
      </c>
      <c r="H588" s="1" t="s">
        <v>11</v>
      </c>
      <c r="I588" s="1">
        <v>2</v>
      </c>
      <c r="J588" s="1">
        <v>4</v>
      </c>
      <c r="K588" s="2"/>
      <c r="L588" s="2"/>
      <c r="M588" s="2"/>
      <c r="N588" s="2"/>
      <c r="O588" s="2"/>
      <c r="P588" s="2"/>
      <c r="Q588" s="2"/>
    </row>
    <row r="589" spans="1:17">
      <c r="A589" s="1" t="s">
        <v>25</v>
      </c>
      <c r="B589" s="1" t="s">
        <v>20</v>
      </c>
      <c r="C589" s="1" t="s">
        <v>116</v>
      </c>
      <c r="D589" s="2" t="s">
        <v>123</v>
      </c>
      <c r="E589" s="4">
        <v>45869</v>
      </c>
      <c r="F589" s="2">
        <f t="shared" si="19"/>
        <v>190</v>
      </c>
      <c r="G589" s="2">
        <v>3</v>
      </c>
      <c r="H589" s="1" t="s">
        <v>11</v>
      </c>
      <c r="I589" s="1">
        <v>0</v>
      </c>
      <c r="J589" s="1">
        <v>0</v>
      </c>
      <c r="K589" s="2"/>
      <c r="L589" s="2"/>
      <c r="M589" s="2"/>
      <c r="N589" s="2"/>
      <c r="O589" s="2"/>
      <c r="P589" s="2"/>
      <c r="Q589" s="2"/>
    </row>
    <row r="590" spans="1:17">
      <c r="A590" s="1" t="s">
        <v>25</v>
      </c>
      <c r="B590" s="1" t="s">
        <v>20</v>
      </c>
      <c r="C590" s="1" t="s">
        <v>116</v>
      </c>
      <c r="D590" s="2" t="s">
        <v>123</v>
      </c>
      <c r="E590" s="4">
        <v>45869</v>
      </c>
      <c r="F590" s="2">
        <v>190</v>
      </c>
      <c r="G590" s="2" t="s">
        <v>82</v>
      </c>
      <c r="H590" s="1" t="s">
        <v>11</v>
      </c>
      <c r="I590" s="1">
        <v>4</v>
      </c>
      <c r="J590" s="1">
        <v>0</v>
      </c>
      <c r="K590" s="2"/>
      <c r="L590" s="2"/>
      <c r="M590" s="2"/>
      <c r="N590" s="2"/>
      <c r="O590" s="2"/>
      <c r="P590" s="2"/>
      <c r="Q590" s="2"/>
    </row>
    <row r="591" spans="1:17">
      <c r="A591" s="1" t="s">
        <v>25</v>
      </c>
      <c r="B591" s="1" t="s">
        <v>20</v>
      </c>
      <c r="C591" s="1" t="s">
        <v>116</v>
      </c>
      <c r="D591" s="2" t="s">
        <v>123</v>
      </c>
      <c r="E591" s="4">
        <v>45869</v>
      </c>
      <c r="F591" s="2">
        <f t="shared" si="19"/>
        <v>191</v>
      </c>
      <c r="G591" s="2">
        <v>1</v>
      </c>
      <c r="H591" s="1" t="s">
        <v>9</v>
      </c>
      <c r="I591" s="1">
        <v>3</v>
      </c>
      <c r="J591" s="1">
        <v>4</v>
      </c>
      <c r="K591" s="2"/>
      <c r="L591" s="2"/>
      <c r="M591" s="2"/>
      <c r="N591" s="2"/>
      <c r="O591" s="2"/>
      <c r="P591" s="2"/>
      <c r="Q591" s="2"/>
    </row>
    <row r="592" spans="1:17">
      <c r="A592" s="1" t="s">
        <v>25</v>
      </c>
      <c r="B592" s="1" t="s">
        <v>20</v>
      </c>
      <c r="C592" s="1" t="s">
        <v>116</v>
      </c>
      <c r="D592" s="2" t="s">
        <v>123</v>
      </c>
      <c r="E592" s="4">
        <v>45869</v>
      </c>
      <c r="F592" s="2">
        <f t="shared" si="19"/>
        <v>191</v>
      </c>
      <c r="G592" s="2">
        <v>2</v>
      </c>
      <c r="H592" s="1" t="s">
        <v>9</v>
      </c>
      <c r="I592" s="1">
        <v>1</v>
      </c>
      <c r="J592" s="1">
        <v>1</v>
      </c>
      <c r="K592" s="2"/>
      <c r="L592" s="2"/>
      <c r="M592" s="2"/>
      <c r="N592" s="2"/>
      <c r="O592" s="2"/>
      <c r="P592" s="2"/>
      <c r="Q592" s="2"/>
    </row>
    <row r="593" spans="1:17">
      <c r="A593" s="1" t="s">
        <v>25</v>
      </c>
      <c r="B593" s="1" t="s">
        <v>20</v>
      </c>
      <c r="C593" s="1" t="s">
        <v>116</v>
      </c>
      <c r="D593" s="2" t="s">
        <v>123</v>
      </c>
      <c r="E593" s="4">
        <v>45869</v>
      </c>
      <c r="F593" s="2">
        <f t="shared" si="19"/>
        <v>191</v>
      </c>
      <c r="G593" s="2">
        <v>3</v>
      </c>
      <c r="H593" s="1" t="s">
        <v>9</v>
      </c>
      <c r="I593" s="1">
        <v>1</v>
      </c>
      <c r="J593" s="1">
        <v>2</v>
      </c>
      <c r="K593" s="2"/>
      <c r="L593" s="2"/>
      <c r="M593" s="2"/>
      <c r="N593" s="2"/>
      <c r="O593" s="2"/>
      <c r="P593" s="2"/>
      <c r="Q593" s="2"/>
    </row>
    <row r="594" spans="1:17">
      <c r="A594" s="1" t="s">
        <v>25</v>
      </c>
      <c r="B594" s="1" t="s">
        <v>19</v>
      </c>
      <c r="C594" s="1" t="s">
        <v>116</v>
      </c>
      <c r="D594" s="2" t="s">
        <v>123</v>
      </c>
      <c r="E594" s="4">
        <v>45870</v>
      </c>
      <c r="F594" s="2">
        <f t="shared" si="19"/>
        <v>192</v>
      </c>
      <c r="G594" s="2">
        <v>1</v>
      </c>
      <c r="H594" s="1" t="s">
        <v>11</v>
      </c>
      <c r="I594" s="1">
        <v>1</v>
      </c>
      <c r="J594" s="1">
        <v>1</v>
      </c>
      <c r="K594" s="2"/>
      <c r="L594" s="2"/>
      <c r="M594" s="2"/>
      <c r="N594" s="2"/>
      <c r="O594" s="2"/>
      <c r="P594" s="2"/>
      <c r="Q594" s="2"/>
    </row>
    <row r="595" spans="1:17">
      <c r="A595" s="1" t="s">
        <v>25</v>
      </c>
      <c r="B595" s="1" t="s">
        <v>19</v>
      </c>
      <c r="C595" s="1" t="s">
        <v>116</v>
      </c>
      <c r="D595" s="2" t="s">
        <v>123</v>
      </c>
      <c r="E595" s="4">
        <v>45870</v>
      </c>
      <c r="F595" s="2">
        <f t="shared" si="19"/>
        <v>192</v>
      </c>
      <c r="G595" s="2">
        <v>2</v>
      </c>
      <c r="H595" s="1" t="s">
        <v>11</v>
      </c>
      <c r="I595" s="1">
        <v>3</v>
      </c>
      <c r="J595" s="1">
        <v>3</v>
      </c>
      <c r="K595" s="2"/>
      <c r="L595" s="2"/>
      <c r="M595" s="2"/>
      <c r="N595" s="2"/>
      <c r="O595" s="2"/>
      <c r="P595" s="2"/>
      <c r="Q595" s="2"/>
    </row>
    <row r="596" spans="1:17">
      <c r="A596" s="1" t="s">
        <v>25</v>
      </c>
      <c r="B596" s="1" t="s">
        <v>19</v>
      </c>
      <c r="C596" s="1" t="s">
        <v>116</v>
      </c>
      <c r="D596" s="2" t="s">
        <v>123</v>
      </c>
      <c r="E596" s="4">
        <v>45870</v>
      </c>
      <c r="F596" s="2">
        <f t="shared" si="19"/>
        <v>192</v>
      </c>
      <c r="G596" s="2">
        <v>3</v>
      </c>
      <c r="H596" s="1" t="s">
        <v>11</v>
      </c>
      <c r="I596" s="1">
        <v>4</v>
      </c>
      <c r="J596" s="1">
        <v>5</v>
      </c>
      <c r="K596" s="2"/>
      <c r="L596" s="2"/>
      <c r="M596" s="2"/>
      <c r="N596" s="2"/>
      <c r="O596" s="2"/>
      <c r="P596" s="2"/>
      <c r="Q596" s="2"/>
    </row>
    <row r="597" spans="1:17">
      <c r="A597" s="1" t="s">
        <v>25</v>
      </c>
      <c r="B597" s="1" t="s">
        <v>20</v>
      </c>
      <c r="C597" s="1" t="s">
        <v>116</v>
      </c>
      <c r="D597" s="2" t="s">
        <v>123</v>
      </c>
      <c r="E597" s="4">
        <v>45870</v>
      </c>
      <c r="F597" s="2">
        <f t="shared" si="19"/>
        <v>193</v>
      </c>
      <c r="G597" s="2">
        <v>1</v>
      </c>
      <c r="H597" s="1" t="s">
        <v>11</v>
      </c>
      <c r="I597" s="1">
        <v>1</v>
      </c>
      <c r="J597" s="1">
        <v>4</v>
      </c>
      <c r="K597" s="2"/>
      <c r="L597" s="2"/>
      <c r="M597" s="2"/>
      <c r="N597" s="2"/>
      <c r="O597" s="2"/>
      <c r="P597" s="2"/>
      <c r="Q597" s="2"/>
    </row>
    <row r="598" spans="1:17">
      <c r="A598" s="1" t="s">
        <v>25</v>
      </c>
      <c r="B598" s="1" t="s">
        <v>20</v>
      </c>
      <c r="C598" s="1" t="s">
        <v>116</v>
      </c>
      <c r="D598" s="2" t="s">
        <v>123</v>
      </c>
      <c r="E598" s="4">
        <v>45870</v>
      </c>
      <c r="F598" s="2">
        <f t="shared" si="19"/>
        <v>193</v>
      </c>
      <c r="G598" s="2">
        <v>2</v>
      </c>
      <c r="H598" s="1" t="s">
        <v>11</v>
      </c>
      <c r="I598" s="1">
        <v>3</v>
      </c>
      <c r="J598" s="1">
        <v>3</v>
      </c>
      <c r="K598" s="2"/>
      <c r="L598" s="2"/>
      <c r="M598" s="2"/>
      <c r="N598" s="2"/>
      <c r="O598" s="2"/>
      <c r="P598" s="2"/>
      <c r="Q598" s="2"/>
    </row>
    <row r="599" spans="1:17">
      <c r="A599" s="1" t="s">
        <v>25</v>
      </c>
      <c r="B599" s="1" t="s">
        <v>20</v>
      </c>
      <c r="C599" s="1" t="s">
        <v>116</v>
      </c>
      <c r="D599" s="2" t="s">
        <v>123</v>
      </c>
      <c r="E599" s="4">
        <v>45870</v>
      </c>
      <c r="F599" s="2">
        <f t="shared" si="19"/>
        <v>193</v>
      </c>
      <c r="G599" s="2">
        <v>3</v>
      </c>
      <c r="H599" s="1" t="s">
        <v>11</v>
      </c>
      <c r="I599" s="1">
        <v>4</v>
      </c>
      <c r="J599" s="1">
        <v>3</v>
      </c>
      <c r="K599" s="2"/>
      <c r="L599" s="2"/>
      <c r="M599" s="2"/>
      <c r="N599" s="2"/>
      <c r="O599" s="2"/>
      <c r="P599" s="2"/>
      <c r="Q599" s="2"/>
    </row>
    <row r="600" spans="1:17">
      <c r="A600" s="1" t="s">
        <v>25</v>
      </c>
      <c r="B600" s="1" t="s">
        <v>20</v>
      </c>
      <c r="C600" s="1" t="s">
        <v>116</v>
      </c>
      <c r="D600" s="2" t="s">
        <v>123</v>
      </c>
      <c r="E600" s="4">
        <v>45870</v>
      </c>
      <c r="F600" s="2">
        <f t="shared" si="19"/>
        <v>194</v>
      </c>
      <c r="G600" s="2">
        <v>1</v>
      </c>
      <c r="H600" s="1" t="s">
        <v>9</v>
      </c>
      <c r="I600" s="1">
        <v>4</v>
      </c>
      <c r="J600" s="1">
        <v>3</v>
      </c>
      <c r="K600" s="2"/>
      <c r="L600" s="2"/>
      <c r="M600" s="2"/>
      <c r="N600" s="2"/>
      <c r="O600" s="2"/>
      <c r="P600" s="2"/>
      <c r="Q600" s="2"/>
    </row>
    <row r="601" spans="1:17">
      <c r="A601" s="1" t="s">
        <v>25</v>
      </c>
      <c r="B601" s="1" t="s">
        <v>20</v>
      </c>
      <c r="C601" s="1" t="s">
        <v>116</v>
      </c>
      <c r="D601" s="2" t="s">
        <v>123</v>
      </c>
      <c r="E601" s="4">
        <v>45870</v>
      </c>
      <c r="F601" s="2">
        <f t="shared" si="19"/>
        <v>194</v>
      </c>
      <c r="G601" s="2">
        <v>2</v>
      </c>
      <c r="H601" s="1" t="s">
        <v>9</v>
      </c>
      <c r="I601" s="1">
        <v>5</v>
      </c>
      <c r="J601" s="1">
        <v>1</v>
      </c>
      <c r="K601" s="2"/>
      <c r="L601" s="2"/>
      <c r="M601" s="2"/>
      <c r="N601" s="2"/>
      <c r="O601" s="2"/>
      <c r="P601" s="2"/>
      <c r="Q601" s="2"/>
    </row>
    <row r="602" spans="1:17">
      <c r="A602" s="1" t="s">
        <v>25</v>
      </c>
      <c r="B602" s="1" t="s">
        <v>20</v>
      </c>
      <c r="C602" s="1" t="s">
        <v>116</v>
      </c>
      <c r="D602" s="2" t="s">
        <v>123</v>
      </c>
      <c r="E602" s="4">
        <v>45870</v>
      </c>
      <c r="F602" s="2">
        <f t="shared" si="19"/>
        <v>194</v>
      </c>
      <c r="G602" s="2">
        <v>3</v>
      </c>
      <c r="H602" s="1" t="s">
        <v>9</v>
      </c>
      <c r="I602" s="1">
        <v>0</v>
      </c>
      <c r="J602" s="1">
        <v>3</v>
      </c>
      <c r="K602" s="2"/>
      <c r="L602" s="2"/>
      <c r="M602" s="2"/>
      <c r="N602" s="2"/>
      <c r="O602" s="2"/>
      <c r="P602" s="2"/>
      <c r="Q602" s="2"/>
    </row>
    <row r="603" spans="1:17">
      <c r="A603" s="1" t="s">
        <v>25</v>
      </c>
      <c r="B603" s="1" t="s">
        <v>20</v>
      </c>
      <c r="C603" s="1" t="s">
        <v>116</v>
      </c>
      <c r="D603" s="2" t="s">
        <v>123</v>
      </c>
      <c r="E603" s="4">
        <v>45873</v>
      </c>
      <c r="F603" s="2">
        <f t="shared" si="19"/>
        <v>195</v>
      </c>
      <c r="G603" s="2">
        <v>1</v>
      </c>
      <c r="H603" s="1" t="s">
        <v>9</v>
      </c>
      <c r="I603" s="1">
        <v>0</v>
      </c>
      <c r="J603" s="1">
        <v>4</v>
      </c>
      <c r="K603" s="2"/>
      <c r="L603" s="2"/>
      <c r="M603" s="2"/>
      <c r="N603" s="2"/>
      <c r="O603" s="2"/>
      <c r="P603" s="2"/>
      <c r="Q603" s="2"/>
    </row>
    <row r="604" spans="1:17">
      <c r="A604" s="1" t="s">
        <v>25</v>
      </c>
      <c r="B604" s="1" t="s">
        <v>20</v>
      </c>
      <c r="C604" s="1" t="s">
        <v>116</v>
      </c>
      <c r="D604" s="2" t="s">
        <v>123</v>
      </c>
      <c r="E604" s="4">
        <v>45873</v>
      </c>
      <c r="F604" s="2">
        <f t="shared" si="19"/>
        <v>195</v>
      </c>
      <c r="G604" s="2">
        <v>2</v>
      </c>
      <c r="H604" s="1" t="s">
        <v>9</v>
      </c>
      <c r="I604" s="1">
        <v>4</v>
      </c>
      <c r="J604" s="1">
        <v>1</v>
      </c>
      <c r="K604" s="2"/>
      <c r="L604" s="2"/>
      <c r="M604" s="2"/>
      <c r="N604" s="2"/>
      <c r="O604" s="2"/>
      <c r="P604" s="2"/>
      <c r="Q604" s="2"/>
    </row>
    <row r="605" spans="1:17">
      <c r="A605" s="1" t="s">
        <v>25</v>
      </c>
      <c r="B605" s="1" t="s">
        <v>20</v>
      </c>
      <c r="C605" s="1" t="s">
        <v>116</v>
      </c>
      <c r="D605" s="2" t="s">
        <v>123</v>
      </c>
      <c r="E605" s="4">
        <v>45873</v>
      </c>
      <c r="F605" s="2">
        <f t="shared" si="19"/>
        <v>195</v>
      </c>
      <c r="G605" s="2">
        <v>3</v>
      </c>
      <c r="H605" s="1" t="s">
        <v>9</v>
      </c>
      <c r="I605" s="1">
        <v>2</v>
      </c>
      <c r="J605" s="1">
        <v>0</v>
      </c>
      <c r="K605" s="2"/>
      <c r="L605" s="2"/>
      <c r="M605" s="2"/>
      <c r="N605" s="2"/>
      <c r="O605" s="2"/>
      <c r="P605" s="2"/>
      <c r="Q605" s="2"/>
    </row>
    <row r="606" spans="1:17">
      <c r="A606" s="1" t="s">
        <v>25</v>
      </c>
      <c r="B606" s="1" t="s">
        <v>20</v>
      </c>
      <c r="C606" s="1" t="s">
        <v>116</v>
      </c>
      <c r="D606" s="2" t="s">
        <v>123</v>
      </c>
      <c r="E606" s="4">
        <v>45873</v>
      </c>
      <c r="F606" s="2">
        <f t="shared" si="19"/>
        <v>196</v>
      </c>
      <c r="G606" s="2">
        <v>1</v>
      </c>
      <c r="H606" s="1" t="s">
        <v>11</v>
      </c>
      <c r="I606" s="1">
        <v>3</v>
      </c>
      <c r="J606" s="1">
        <v>2</v>
      </c>
      <c r="K606" s="2"/>
      <c r="L606" s="2"/>
      <c r="M606" s="2"/>
      <c r="N606" s="2"/>
      <c r="O606" s="2"/>
      <c r="P606" s="2"/>
      <c r="Q606" s="2"/>
    </row>
    <row r="607" spans="1:17">
      <c r="A607" s="1" t="s">
        <v>25</v>
      </c>
      <c r="B607" s="1" t="s">
        <v>20</v>
      </c>
      <c r="C607" s="1" t="s">
        <v>116</v>
      </c>
      <c r="D607" s="2" t="s">
        <v>123</v>
      </c>
      <c r="E607" s="4">
        <v>45873</v>
      </c>
      <c r="F607" s="2">
        <f t="shared" si="19"/>
        <v>196</v>
      </c>
      <c r="G607" s="2">
        <v>2</v>
      </c>
      <c r="H607" s="1" t="s">
        <v>11</v>
      </c>
      <c r="I607" s="1">
        <v>4</v>
      </c>
      <c r="J607" s="1">
        <v>0</v>
      </c>
      <c r="K607" s="2"/>
      <c r="L607" s="2"/>
      <c r="M607" s="2"/>
      <c r="N607" s="2"/>
      <c r="O607" s="2"/>
      <c r="P607" s="2"/>
      <c r="Q607" s="2"/>
    </row>
    <row r="608" spans="1:17">
      <c r="A608" s="1" t="s">
        <v>25</v>
      </c>
      <c r="B608" s="1" t="s">
        <v>20</v>
      </c>
      <c r="C608" s="1" t="s">
        <v>116</v>
      </c>
      <c r="D608" s="2" t="s">
        <v>123</v>
      </c>
      <c r="E608" s="4">
        <v>45873</v>
      </c>
      <c r="F608" s="2">
        <f t="shared" si="19"/>
        <v>196</v>
      </c>
      <c r="G608" s="2">
        <v>3</v>
      </c>
      <c r="H608" s="1" t="s">
        <v>11</v>
      </c>
      <c r="I608" s="1">
        <v>6</v>
      </c>
      <c r="J608" s="1">
        <v>1</v>
      </c>
      <c r="K608" s="2"/>
      <c r="L608" s="2"/>
      <c r="M608" s="2"/>
      <c r="N608" s="2"/>
      <c r="O608" s="2"/>
      <c r="P608" s="2"/>
      <c r="Q608" s="2"/>
    </row>
    <row r="609" spans="1:17">
      <c r="A609" s="1" t="s">
        <v>25</v>
      </c>
      <c r="B609" s="1" t="s">
        <v>20</v>
      </c>
      <c r="C609" s="1" t="s">
        <v>116</v>
      </c>
      <c r="D609" s="2" t="s">
        <v>123</v>
      </c>
      <c r="E609" s="4">
        <v>45875</v>
      </c>
      <c r="F609" s="2">
        <f t="shared" si="19"/>
        <v>197</v>
      </c>
      <c r="G609" s="2">
        <v>1</v>
      </c>
      <c r="H609" s="1" t="s">
        <v>11</v>
      </c>
      <c r="I609" s="1">
        <v>6</v>
      </c>
      <c r="J609" s="1">
        <v>5</v>
      </c>
      <c r="K609" s="2"/>
      <c r="L609" s="2"/>
      <c r="M609" s="2"/>
      <c r="N609" s="2"/>
      <c r="O609" s="2"/>
      <c r="P609" s="2"/>
      <c r="Q609" s="2"/>
    </row>
    <row r="610" spans="1:17">
      <c r="A610" s="1" t="s">
        <v>25</v>
      </c>
      <c r="B610" s="1" t="s">
        <v>20</v>
      </c>
      <c r="C610" s="1" t="s">
        <v>116</v>
      </c>
      <c r="D610" s="2" t="s">
        <v>123</v>
      </c>
      <c r="E610" s="4">
        <v>45875</v>
      </c>
      <c r="F610" s="2">
        <f t="shared" si="19"/>
        <v>197</v>
      </c>
      <c r="G610" s="2">
        <v>2</v>
      </c>
      <c r="H610" s="1" t="s">
        <v>11</v>
      </c>
      <c r="I610" s="1">
        <v>8</v>
      </c>
      <c r="J610" s="1">
        <v>5</v>
      </c>
      <c r="K610" s="2"/>
      <c r="L610" s="2"/>
      <c r="M610" s="2"/>
      <c r="N610" s="2"/>
      <c r="O610" s="2"/>
      <c r="P610" s="2"/>
      <c r="Q610" s="2"/>
    </row>
    <row r="611" spans="1:17">
      <c r="A611" s="1" t="s">
        <v>25</v>
      </c>
      <c r="B611" s="1" t="s">
        <v>20</v>
      </c>
      <c r="C611" s="1" t="s">
        <v>116</v>
      </c>
      <c r="D611" s="2" t="s">
        <v>123</v>
      </c>
      <c r="E611" s="4">
        <v>45875</v>
      </c>
      <c r="F611" s="2">
        <f t="shared" si="19"/>
        <v>197</v>
      </c>
      <c r="G611" s="2">
        <v>3</v>
      </c>
      <c r="H611" s="1" t="s">
        <v>11</v>
      </c>
      <c r="I611" s="1">
        <v>4</v>
      </c>
      <c r="J611" s="1">
        <v>1</v>
      </c>
      <c r="K611" s="2"/>
      <c r="L611" s="2"/>
      <c r="M611" s="2"/>
      <c r="N611" s="2"/>
      <c r="O611" s="2"/>
      <c r="P611" s="2"/>
      <c r="Q611" s="2"/>
    </row>
    <row r="612" spans="1:17">
      <c r="A612" s="1" t="s">
        <v>25</v>
      </c>
      <c r="B612" s="1" t="s">
        <v>20</v>
      </c>
      <c r="C612" s="1" t="s">
        <v>116</v>
      </c>
      <c r="D612" s="2" t="s">
        <v>123</v>
      </c>
      <c r="E612" s="4">
        <v>45875</v>
      </c>
      <c r="F612" s="2">
        <f t="shared" si="19"/>
        <v>198</v>
      </c>
      <c r="G612" s="2">
        <v>1</v>
      </c>
      <c r="H612" s="1" t="s">
        <v>9</v>
      </c>
      <c r="I612" s="1">
        <v>3</v>
      </c>
      <c r="J612" s="1">
        <v>6</v>
      </c>
      <c r="K612" s="2"/>
      <c r="L612" s="2"/>
      <c r="M612" s="2"/>
      <c r="N612" s="2"/>
      <c r="O612" s="2"/>
      <c r="P612" s="2"/>
      <c r="Q612" s="2"/>
    </row>
    <row r="613" spans="1:17">
      <c r="A613" s="1" t="s">
        <v>25</v>
      </c>
      <c r="B613" s="1" t="s">
        <v>20</v>
      </c>
      <c r="C613" s="1" t="s">
        <v>116</v>
      </c>
      <c r="D613" s="2" t="s">
        <v>123</v>
      </c>
      <c r="E613" s="4">
        <v>45875</v>
      </c>
      <c r="F613" s="2">
        <f t="shared" si="19"/>
        <v>198</v>
      </c>
      <c r="G613" s="2">
        <v>2</v>
      </c>
      <c r="H613" s="1" t="s">
        <v>9</v>
      </c>
      <c r="I613" s="1">
        <v>3</v>
      </c>
      <c r="J613" s="1">
        <v>6</v>
      </c>
      <c r="K613" s="2"/>
      <c r="L613" s="2"/>
      <c r="M613" s="2"/>
      <c r="N613" s="2"/>
      <c r="O613" s="2"/>
      <c r="P613" s="2"/>
      <c r="Q613" s="2"/>
    </row>
    <row r="614" spans="1:17">
      <c r="A614" s="1" t="s">
        <v>25</v>
      </c>
      <c r="B614" s="1" t="s">
        <v>20</v>
      </c>
      <c r="C614" s="1" t="s">
        <v>116</v>
      </c>
      <c r="D614" s="2" t="s">
        <v>123</v>
      </c>
      <c r="E614" s="4">
        <v>45875</v>
      </c>
      <c r="F614" s="2">
        <f t="shared" si="19"/>
        <v>198</v>
      </c>
      <c r="G614" s="2">
        <v>3</v>
      </c>
      <c r="H614" s="1" t="s">
        <v>9</v>
      </c>
      <c r="I614" s="1">
        <v>3</v>
      </c>
      <c r="J614" s="1">
        <v>4</v>
      </c>
      <c r="K614" s="2"/>
      <c r="L614" s="2"/>
      <c r="M614" s="2"/>
      <c r="N614" s="2"/>
      <c r="O614" s="2"/>
      <c r="P614" s="2"/>
      <c r="Q614" s="2"/>
    </row>
    <row r="615" spans="1:17">
      <c r="A615" s="1" t="s">
        <v>25</v>
      </c>
      <c r="B615" s="1" t="s">
        <v>20</v>
      </c>
      <c r="C615" s="1" t="s">
        <v>116</v>
      </c>
      <c r="D615" s="2" t="s">
        <v>123</v>
      </c>
      <c r="E615" s="4">
        <v>45875</v>
      </c>
      <c r="F615" s="2">
        <f t="shared" si="19"/>
        <v>199</v>
      </c>
      <c r="G615" s="2">
        <v>1</v>
      </c>
      <c r="H615" s="1" t="s">
        <v>11</v>
      </c>
      <c r="I615" s="1">
        <v>6</v>
      </c>
      <c r="J615" s="1">
        <v>2</v>
      </c>
      <c r="K615" s="2"/>
      <c r="L615" s="2"/>
      <c r="M615" s="2"/>
      <c r="N615" s="2"/>
      <c r="O615" s="2"/>
      <c r="P615" s="2"/>
      <c r="Q615" s="2"/>
    </row>
    <row r="616" spans="1:17">
      <c r="A616" s="1" t="s">
        <v>25</v>
      </c>
      <c r="B616" s="1" t="s">
        <v>20</v>
      </c>
      <c r="C616" s="1" t="s">
        <v>116</v>
      </c>
      <c r="D616" s="2" t="s">
        <v>123</v>
      </c>
      <c r="E616" s="4">
        <v>45875</v>
      </c>
      <c r="F616" s="2">
        <f t="shared" si="19"/>
        <v>199</v>
      </c>
      <c r="G616" s="2">
        <v>2</v>
      </c>
      <c r="H616" s="1" t="s">
        <v>11</v>
      </c>
      <c r="I616" s="1">
        <v>0</v>
      </c>
      <c r="J616" s="1">
        <v>0</v>
      </c>
      <c r="K616" s="2"/>
      <c r="L616" s="2"/>
      <c r="M616" s="2"/>
      <c r="N616" s="2"/>
      <c r="O616" s="2"/>
      <c r="P616" s="2"/>
      <c r="Q616" s="2"/>
    </row>
    <row r="617" spans="1:17">
      <c r="A617" s="1" t="s">
        <v>25</v>
      </c>
      <c r="B617" s="1" t="s">
        <v>20</v>
      </c>
      <c r="C617" s="1" t="s">
        <v>116</v>
      </c>
      <c r="D617" s="2" t="s">
        <v>123</v>
      </c>
      <c r="E617" s="4">
        <v>45875</v>
      </c>
      <c r="F617" s="2">
        <f t="shared" si="19"/>
        <v>199</v>
      </c>
      <c r="G617" s="2">
        <v>3</v>
      </c>
      <c r="H617" s="1" t="s">
        <v>11</v>
      </c>
      <c r="I617" s="1">
        <v>3</v>
      </c>
      <c r="J617" s="1">
        <v>5</v>
      </c>
      <c r="K617" s="2"/>
      <c r="L617" s="2"/>
      <c r="M617" s="2"/>
      <c r="N617" s="2"/>
      <c r="O617" s="2"/>
      <c r="P617" s="2"/>
      <c r="Q617" s="2"/>
    </row>
    <row r="618" spans="1:17">
      <c r="A618" s="1" t="s">
        <v>25</v>
      </c>
      <c r="B618" s="1" t="s">
        <v>20</v>
      </c>
      <c r="C618" s="1" t="s">
        <v>116</v>
      </c>
      <c r="D618" s="2" t="s">
        <v>123</v>
      </c>
      <c r="E618" s="4">
        <v>45876</v>
      </c>
      <c r="F618" s="2">
        <f t="shared" si="19"/>
        <v>200</v>
      </c>
      <c r="G618" s="2">
        <v>1</v>
      </c>
      <c r="H618" s="1" t="s">
        <v>9</v>
      </c>
      <c r="I618" s="1">
        <v>4</v>
      </c>
      <c r="J618" s="1">
        <v>3</v>
      </c>
      <c r="K618" s="2"/>
      <c r="L618" s="2"/>
      <c r="M618" s="2"/>
      <c r="N618" s="2"/>
      <c r="O618" s="2"/>
      <c r="P618" s="2"/>
      <c r="Q618" s="2"/>
    </row>
    <row r="619" spans="1:17">
      <c r="A619" s="1" t="s">
        <v>25</v>
      </c>
      <c r="B619" s="1" t="s">
        <v>20</v>
      </c>
      <c r="C619" s="1" t="s">
        <v>116</v>
      </c>
      <c r="D619" s="2" t="s">
        <v>123</v>
      </c>
      <c r="E619" s="4">
        <v>45876</v>
      </c>
      <c r="F619" s="2">
        <f t="shared" si="19"/>
        <v>200</v>
      </c>
      <c r="G619" s="2">
        <v>2</v>
      </c>
      <c r="H619" s="1" t="s">
        <v>9</v>
      </c>
      <c r="I619" s="1">
        <v>2</v>
      </c>
      <c r="J619" s="1">
        <v>2</v>
      </c>
      <c r="K619" s="2"/>
      <c r="L619" s="2"/>
      <c r="M619" s="2"/>
      <c r="N619" s="2"/>
      <c r="O619" s="2"/>
      <c r="P619" s="2"/>
      <c r="Q619" s="2"/>
    </row>
    <row r="620" spans="1:17">
      <c r="A620" s="1" t="s">
        <v>25</v>
      </c>
      <c r="B620" s="1" t="s">
        <v>20</v>
      </c>
      <c r="C620" s="1" t="s">
        <v>116</v>
      </c>
      <c r="D620" s="2" t="s">
        <v>123</v>
      </c>
      <c r="E620" s="4">
        <v>45876</v>
      </c>
      <c r="F620" s="2">
        <f t="shared" si="19"/>
        <v>200</v>
      </c>
      <c r="G620" s="2">
        <v>3</v>
      </c>
      <c r="H620" s="1" t="s">
        <v>9</v>
      </c>
      <c r="I620" s="1">
        <v>8</v>
      </c>
      <c r="J620" s="1">
        <v>2</v>
      </c>
      <c r="K620" s="2"/>
      <c r="L620" s="2"/>
      <c r="M620" s="2"/>
      <c r="N620" s="2"/>
      <c r="O620" s="2"/>
      <c r="P620" s="2"/>
      <c r="Q620" s="2"/>
    </row>
    <row r="621" spans="1:17">
      <c r="A621" s="1" t="s">
        <v>25</v>
      </c>
      <c r="B621" s="1">
        <v>256</v>
      </c>
      <c r="C621" s="1" t="s">
        <v>116</v>
      </c>
      <c r="D621" s="2" t="s">
        <v>123</v>
      </c>
      <c r="E621" s="4">
        <v>45880</v>
      </c>
      <c r="F621" s="2">
        <f t="shared" si="19"/>
        <v>201</v>
      </c>
      <c r="G621" s="2">
        <v>1</v>
      </c>
      <c r="H621" s="1" t="s">
        <v>9</v>
      </c>
      <c r="I621" s="1">
        <v>3</v>
      </c>
      <c r="J621" s="1">
        <v>2</v>
      </c>
      <c r="K621" s="2"/>
      <c r="L621" s="2"/>
      <c r="M621" s="2"/>
      <c r="N621" s="2"/>
      <c r="O621" s="2"/>
      <c r="P621" s="2"/>
      <c r="Q621" s="2"/>
    </row>
    <row r="622" spans="1:17">
      <c r="A622" s="1" t="s">
        <v>25</v>
      </c>
      <c r="B622" s="1">
        <v>256</v>
      </c>
      <c r="C622" s="1" t="s">
        <v>116</v>
      </c>
      <c r="D622" s="2" t="s">
        <v>123</v>
      </c>
      <c r="E622" s="4">
        <v>45880</v>
      </c>
      <c r="F622" s="2">
        <f t="shared" si="19"/>
        <v>201</v>
      </c>
      <c r="G622" s="2">
        <v>2</v>
      </c>
      <c r="H622" s="1" t="s">
        <v>9</v>
      </c>
      <c r="I622" s="1">
        <v>3</v>
      </c>
      <c r="J622" s="1">
        <v>3</v>
      </c>
      <c r="K622" s="2"/>
      <c r="L622" s="2"/>
      <c r="M622" s="2"/>
      <c r="N622" s="2"/>
      <c r="O622" s="2"/>
      <c r="P622" s="2"/>
      <c r="Q622" s="2"/>
    </row>
    <row r="623" spans="1:17">
      <c r="A623" s="1" t="s">
        <v>25</v>
      </c>
      <c r="B623" s="1">
        <v>256</v>
      </c>
      <c r="C623" s="1" t="s">
        <v>116</v>
      </c>
      <c r="D623" s="2" t="s">
        <v>123</v>
      </c>
      <c r="E623" s="4">
        <v>45880</v>
      </c>
      <c r="F623" s="2">
        <f t="shared" si="19"/>
        <v>201</v>
      </c>
      <c r="G623" s="2">
        <v>3</v>
      </c>
      <c r="H623" s="1" t="s">
        <v>9</v>
      </c>
      <c r="I623" s="1">
        <v>3</v>
      </c>
      <c r="J623" s="1">
        <v>1</v>
      </c>
      <c r="K623" s="2"/>
      <c r="L623" s="2"/>
      <c r="M623" s="2"/>
      <c r="N623" s="2"/>
      <c r="O623" s="2"/>
      <c r="P623" s="2"/>
      <c r="Q623" s="2"/>
    </row>
    <row r="624" spans="1:17">
      <c r="A624" s="1" t="s">
        <v>25</v>
      </c>
      <c r="B624" s="1">
        <v>256</v>
      </c>
      <c r="C624" s="1" t="s">
        <v>116</v>
      </c>
      <c r="D624" s="2" t="s">
        <v>123</v>
      </c>
      <c r="E624" s="4">
        <v>45881</v>
      </c>
      <c r="F624" s="2">
        <f t="shared" si="19"/>
        <v>202</v>
      </c>
      <c r="G624" s="2">
        <v>1</v>
      </c>
      <c r="H624" s="1" t="s">
        <v>13</v>
      </c>
      <c r="I624" s="1">
        <v>3</v>
      </c>
      <c r="J624" s="1">
        <v>5</v>
      </c>
      <c r="K624" s="2"/>
      <c r="L624" s="2">
        <v>1</v>
      </c>
      <c r="M624" s="2"/>
      <c r="N624" s="2"/>
      <c r="O624" s="2"/>
      <c r="P624" s="2"/>
      <c r="Q624" s="2"/>
    </row>
    <row r="625" spans="1:17">
      <c r="A625" s="1" t="s">
        <v>25</v>
      </c>
      <c r="B625" s="1">
        <v>256</v>
      </c>
      <c r="C625" s="1" t="s">
        <v>116</v>
      </c>
      <c r="D625" s="2" t="s">
        <v>123</v>
      </c>
      <c r="E625" s="4">
        <v>45881</v>
      </c>
      <c r="F625" s="2">
        <f t="shared" ref="F625:F652" si="20">F622+1</f>
        <v>202</v>
      </c>
      <c r="G625" s="2">
        <v>2</v>
      </c>
      <c r="H625" s="1" t="s">
        <v>13</v>
      </c>
      <c r="I625" s="1">
        <v>10</v>
      </c>
      <c r="J625" s="1">
        <v>4</v>
      </c>
      <c r="K625" s="2"/>
      <c r="L625" s="2">
        <v>2</v>
      </c>
      <c r="M625" s="2"/>
      <c r="N625" s="2"/>
      <c r="O625" s="2"/>
      <c r="P625" s="2"/>
      <c r="Q625" s="2"/>
    </row>
    <row r="626" spans="1:17">
      <c r="A626" s="1" t="s">
        <v>25</v>
      </c>
      <c r="B626" s="1">
        <v>256</v>
      </c>
      <c r="C626" s="1" t="s">
        <v>116</v>
      </c>
      <c r="D626" s="2" t="s">
        <v>123</v>
      </c>
      <c r="E626" s="4">
        <v>45881</v>
      </c>
      <c r="F626" s="2">
        <f t="shared" si="20"/>
        <v>202</v>
      </c>
      <c r="G626" s="2">
        <v>3</v>
      </c>
      <c r="H626" s="1" t="s">
        <v>13</v>
      </c>
      <c r="I626" s="1">
        <v>6</v>
      </c>
      <c r="J626" s="1">
        <v>3</v>
      </c>
      <c r="K626" s="2"/>
      <c r="L626" s="2">
        <v>1</v>
      </c>
      <c r="M626" s="2"/>
      <c r="N626" s="2"/>
      <c r="O626" s="2"/>
      <c r="P626" s="2"/>
      <c r="Q626" s="2"/>
    </row>
    <row r="627" spans="1:17">
      <c r="A627" s="1" t="s">
        <v>25</v>
      </c>
      <c r="B627" s="1">
        <v>256</v>
      </c>
      <c r="C627" s="1" t="s">
        <v>116</v>
      </c>
      <c r="D627" s="2" t="s">
        <v>123</v>
      </c>
      <c r="E627" s="4">
        <v>45881</v>
      </c>
      <c r="F627" s="2">
        <f t="shared" si="20"/>
        <v>203</v>
      </c>
      <c r="G627" s="2">
        <v>1</v>
      </c>
      <c r="H627" s="1" t="s">
        <v>117</v>
      </c>
      <c r="I627" s="1">
        <v>8</v>
      </c>
      <c r="J627" s="1">
        <v>2</v>
      </c>
      <c r="K627" s="2"/>
      <c r="L627" s="2"/>
      <c r="M627" s="2"/>
      <c r="N627" s="2"/>
      <c r="O627" s="2">
        <v>0</v>
      </c>
      <c r="P627" s="2"/>
      <c r="Q627" s="2"/>
    </row>
    <row r="628" spans="1:17">
      <c r="A628" s="1" t="s">
        <v>25</v>
      </c>
      <c r="B628" s="1">
        <v>256</v>
      </c>
      <c r="C628" s="1" t="s">
        <v>116</v>
      </c>
      <c r="D628" s="2" t="s">
        <v>123</v>
      </c>
      <c r="E628" s="4">
        <v>45881</v>
      </c>
      <c r="F628" s="2">
        <f t="shared" si="20"/>
        <v>203</v>
      </c>
      <c r="G628" s="2">
        <v>2</v>
      </c>
      <c r="H628" s="1" t="s">
        <v>117</v>
      </c>
      <c r="I628" s="1">
        <v>4</v>
      </c>
      <c r="J628" s="1">
        <v>6</v>
      </c>
      <c r="K628" s="2"/>
      <c r="L628" s="2"/>
      <c r="M628" s="2"/>
      <c r="N628" s="2"/>
      <c r="O628" s="2">
        <v>0</v>
      </c>
      <c r="P628" s="2"/>
      <c r="Q628" s="2"/>
    </row>
    <row r="629" spans="1:17">
      <c r="A629" s="1" t="s">
        <v>25</v>
      </c>
      <c r="B629" s="1">
        <v>256</v>
      </c>
      <c r="C629" s="1" t="s">
        <v>116</v>
      </c>
      <c r="D629" s="2" t="s">
        <v>123</v>
      </c>
      <c r="E629" s="4">
        <v>45881</v>
      </c>
      <c r="F629" s="2">
        <f t="shared" si="20"/>
        <v>203</v>
      </c>
      <c r="G629" s="2">
        <v>3</v>
      </c>
      <c r="H629" s="1" t="s">
        <v>117</v>
      </c>
      <c r="I629" s="1">
        <v>6</v>
      </c>
      <c r="J629" s="1">
        <v>5</v>
      </c>
      <c r="K629" s="2"/>
      <c r="L629" s="2"/>
      <c r="M629" s="2"/>
      <c r="N629" s="2"/>
      <c r="O629" s="2">
        <v>1</v>
      </c>
      <c r="P629" s="2"/>
      <c r="Q629" s="2"/>
    </row>
    <row r="630" spans="1:17">
      <c r="A630" s="1" t="s">
        <v>25</v>
      </c>
      <c r="B630" s="1">
        <v>256</v>
      </c>
      <c r="C630" s="1" t="s">
        <v>116</v>
      </c>
      <c r="D630" s="2" t="s">
        <v>123</v>
      </c>
      <c r="E630" s="4">
        <v>45882</v>
      </c>
      <c r="F630" s="2">
        <f t="shared" si="20"/>
        <v>204</v>
      </c>
      <c r="G630" s="2">
        <v>1</v>
      </c>
      <c r="H630" s="1" t="s">
        <v>11</v>
      </c>
      <c r="I630" s="1">
        <v>2</v>
      </c>
      <c r="J630" s="1">
        <v>6</v>
      </c>
      <c r="K630" s="2"/>
      <c r="L630" s="2"/>
      <c r="M630" s="2"/>
      <c r="N630" s="2"/>
      <c r="O630" s="2"/>
      <c r="P630" s="2"/>
      <c r="Q630" s="2"/>
    </row>
    <row r="631" spans="1:17">
      <c r="A631" s="1" t="s">
        <v>25</v>
      </c>
      <c r="B631" s="1">
        <v>256</v>
      </c>
      <c r="C631" s="1" t="s">
        <v>116</v>
      </c>
      <c r="D631" s="2" t="s">
        <v>123</v>
      </c>
      <c r="E631" s="4">
        <v>45882</v>
      </c>
      <c r="F631" s="2">
        <f t="shared" si="20"/>
        <v>204</v>
      </c>
      <c r="G631" s="2">
        <v>2</v>
      </c>
      <c r="H631" s="1" t="s">
        <v>11</v>
      </c>
      <c r="I631" s="1">
        <v>4</v>
      </c>
      <c r="J631" s="1">
        <v>3</v>
      </c>
      <c r="K631" s="2"/>
      <c r="L631" s="2"/>
      <c r="M631" s="2"/>
      <c r="N631" s="2"/>
      <c r="O631" s="2"/>
      <c r="P631" s="2"/>
      <c r="Q631" s="2"/>
    </row>
    <row r="632" spans="1:17">
      <c r="A632" s="1" t="s">
        <v>25</v>
      </c>
      <c r="B632" s="1">
        <v>256</v>
      </c>
      <c r="C632" s="1" t="s">
        <v>116</v>
      </c>
      <c r="D632" s="2" t="s">
        <v>123</v>
      </c>
      <c r="E632" s="4">
        <v>45882</v>
      </c>
      <c r="F632" s="2">
        <f t="shared" si="20"/>
        <v>204</v>
      </c>
      <c r="G632" s="2">
        <v>3</v>
      </c>
      <c r="H632" s="1" t="s">
        <v>11</v>
      </c>
      <c r="I632" s="1">
        <v>5</v>
      </c>
      <c r="J632" s="1">
        <v>2</v>
      </c>
      <c r="K632" s="2"/>
      <c r="L632" s="2"/>
      <c r="M632" s="2"/>
      <c r="N632" s="2"/>
      <c r="O632" s="2"/>
      <c r="P632" s="2"/>
      <c r="Q632" s="2"/>
    </row>
    <row r="633" spans="1:17">
      <c r="A633" s="1" t="s">
        <v>25</v>
      </c>
      <c r="B633" s="1">
        <v>256</v>
      </c>
      <c r="C633" s="1" t="s">
        <v>116</v>
      </c>
      <c r="D633" s="2" t="s">
        <v>123</v>
      </c>
      <c r="E633" s="4">
        <v>45882</v>
      </c>
      <c r="F633" s="2">
        <v>204</v>
      </c>
      <c r="G633" s="2" t="s">
        <v>82</v>
      </c>
      <c r="H633" s="1" t="s">
        <v>11</v>
      </c>
      <c r="I633" s="1">
        <v>7</v>
      </c>
      <c r="J633" s="1">
        <v>3</v>
      </c>
      <c r="K633" s="2"/>
      <c r="L633" s="2"/>
      <c r="M633" s="2"/>
      <c r="N633" s="2"/>
      <c r="O633" s="2"/>
      <c r="P633" s="2"/>
      <c r="Q633" s="2"/>
    </row>
    <row r="634" spans="1:17">
      <c r="A634" s="1" t="s">
        <v>25</v>
      </c>
      <c r="B634" s="1">
        <v>256</v>
      </c>
      <c r="C634" s="1" t="s">
        <v>116</v>
      </c>
      <c r="D634" s="2" t="s">
        <v>123</v>
      </c>
      <c r="E634" s="4">
        <v>45883</v>
      </c>
      <c r="F634" s="2">
        <f t="shared" si="20"/>
        <v>205</v>
      </c>
      <c r="G634" s="2">
        <v>1</v>
      </c>
      <c r="H634" s="1" t="s">
        <v>11</v>
      </c>
      <c r="I634" s="1">
        <v>3</v>
      </c>
      <c r="J634" s="1">
        <v>3</v>
      </c>
      <c r="K634" s="2"/>
      <c r="L634" s="2"/>
      <c r="M634" s="2"/>
      <c r="N634" s="2"/>
      <c r="O634" s="2"/>
      <c r="P634" s="2"/>
      <c r="Q634" s="2"/>
    </row>
    <row r="635" spans="1:17">
      <c r="A635" s="1" t="s">
        <v>25</v>
      </c>
      <c r="B635" s="1">
        <v>256</v>
      </c>
      <c r="C635" s="1" t="s">
        <v>116</v>
      </c>
      <c r="D635" s="2" t="s">
        <v>123</v>
      </c>
      <c r="E635" s="4">
        <v>45883</v>
      </c>
      <c r="F635" s="2">
        <f t="shared" si="20"/>
        <v>205</v>
      </c>
      <c r="G635" s="2">
        <v>2</v>
      </c>
      <c r="H635" s="1" t="s">
        <v>11</v>
      </c>
      <c r="I635" s="1">
        <v>1</v>
      </c>
      <c r="J635" s="1">
        <v>4</v>
      </c>
      <c r="K635" s="2"/>
      <c r="L635" s="2"/>
      <c r="M635" s="2"/>
      <c r="N635" s="2"/>
      <c r="O635" s="2"/>
      <c r="P635" s="2"/>
      <c r="Q635" s="2"/>
    </row>
    <row r="636" spans="1:17">
      <c r="A636" s="1" t="s">
        <v>25</v>
      </c>
      <c r="B636" s="1">
        <v>256</v>
      </c>
      <c r="C636" s="1" t="s">
        <v>116</v>
      </c>
      <c r="D636" s="2" t="s">
        <v>123</v>
      </c>
      <c r="E636" s="4">
        <v>45883</v>
      </c>
      <c r="F636" s="2">
        <f t="shared" si="20"/>
        <v>205</v>
      </c>
      <c r="G636" s="2">
        <v>3</v>
      </c>
      <c r="H636" s="1" t="s">
        <v>11</v>
      </c>
      <c r="I636" s="1">
        <v>4</v>
      </c>
      <c r="J636" s="1">
        <v>2</v>
      </c>
      <c r="K636" s="2"/>
      <c r="L636" s="2"/>
      <c r="M636" s="2"/>
      <c r="N636" s="2"/>
      <c r="O636" s="2"/>
      <c r="P636" s="2"/>
      <c r="Q636" s="2"/>
    </row>
    <row r="637" spans="1:17">
      <c r="A637" s="1" t="s">
        <v>25</v>
      </c>
      <c r="B637" s="1">
        <v>256</v>
      </c>
      <c r="C637" s="1" t="s">
        <v>116</v>
      </c>
      <c r="D637" s="2" t="s">
        <v>123</v>
      </c>
      <c r="E637" s="4">
        <v>45887</v>
      </c>
      <c r="F637" s="2">
        <f t="shared" si="20"/>
        <v>206</v>
      </c>
      <c r="G637" s="2">
        <v>1</v>
      </c>
      <c r="H637" s="1" t="s">
        <v>9</v>
      </c>
      <c r="I637" s="1">
        <v>3</v>
      </c>
      <c r="J637" s="1">
        <v>2</v>
      </c>
      <c r="K637" s="2"/>
      <c r="L637" s="2"/>
      <c r="M637" s="2"/>
      <c r="N637" s="2"/>
      <c r="O637" s="2"/>
      <c r="P637" s="2"/>
      <c r="Q637" s="2"/>
    </row>
    <row r="638" spans="1:17">
      <c r="A638" s="1" t="s">
        <v>25</v>
      </c>
      <c r="B638" s="1">
        <v>256</v>
      </c>
      <c r="C638" s="1" t="s">
        <v>116</v>
      </c>
      <c r="D638" s="2" t="s">
        <v>123</v>
      </c>
      <c r="E638" s="4">
        <v>45887</v>
      </c>
      <c r="F638" s="2">
        <f t="shared" si="20"/>
        <v>206</v>
      </c>
      <c r="G638" s="2">
        <v>2</v>
      </c>
      <c r="H638" s="1" t="s">
        <v>9</v>
      </c>
      <c r="I638" s="1">
        <v>3</v>
      </c>
      <c r="J638" s="1">
        <v>1</v>
      </c>
      <c r="K638" s="2"/>
      <c r="L638" s="2"/>
      <c r="M638" s="2"/>
      <c r="N638" s="2"/>
      <c r="O638" s="2"/>
      <c r="P638" s="2"/>
      <c r="Q638" s="2"/>
    </row>
    <row r="639" spans="1:17">
      <c r="A639" s="1" t="s">
        <v>25</v>
      </c>
      <c r="B639" s="1">
        <v>256</v>
      </c>
      <c r="C639" s="1" t="s">
        <v>116</v>
      </c>
      <c r="D639" s="2" t="s">
        <v>123</v>
      </c>
      <c r="E639" s="4">
        <v>45887</v>
      </c>
      <c r="F639" s="2">
        <f t="shared" si="20"/>
        <v>206</v>
      </c>
      <c r="G639" s="2">
        <v>3</v>
      </c>
      <c r="H639" s="1" t="s">
        <v>9</v>
      </c>
      <c r="I639" s="1">
        <v>2</v>
      </c>
      <c r="J639" s="1">
        <v>0</v>
      </c>
      <c r="K639" s="2"/>
      <c r="L639" s="2"/>
      <c r="M639" s="2"/>
      <c r="N639" s="2"/>
      <c r="O639" s="2"/>
      <c r="P639" s="2"/>
      <c r="Q639" s="2"/>
    </row>
    <row r="640" spans="1:17">
      <c r="A640" s="1" t="s">
        <v>25</v>
      </c>
      <c r="B640" s="1">
        <v>256</v>
      </c>
      <c r="C640" s="1" t="s">
        <v>116</v>
      </c>
      <c r="D640" s="2" t="s">
        <v>123</v>
      </c>
      <c r="E640" s="4">
        <v>45888</v>
      </c>
      <c r="F640" s="2">
        <f t="shared" si="20"/>
        <v>207</v>
      </c>
      <c r="G640" s="2">
        <v>1</v>
      </c>
      <c r="H640" s="1" t="s">
        <v>11</v>
      </c>
      <c r="I640" s="1">
        <v>6</v>
      </c>
      <c r="J640" s="1">
        <v>6</v>
      </c>
      <c r="K640" s="2"/>
      <c r="L640" s="2"/>
      <c r="M640" s="2"/>
      <c r="N640" s="2"/>
      <c r="O640" s="2"/>
      <c r="P640" s="2"/>
      <c r="Q640" s="2"/>
    </row>
    <row r="641" spans="1:17">
      <c r="A641" s="1" t="s">
        <v>25</v>
      </c>
      <c r="B641" s="1">
        <v>256</v>
      </c>
      <c r="C641" s="1" t="s">
        <v>116</v>
      </c>
      <c r="D641" s="2" t="s">
        <v>123</v>
      </c>
      <c r="E641" s="4">
        <v>45888</v>
      </c>
      <c r="F641" s="2">
        <f t="shared" si="20"/>
        <v>207</v>
      </c>
      <c r="G641" s="2">
        <v>2</v>
      </c>
      <c r="H641" s="1" t="s">
        <v>11</v>
      </c>
      <c r="I641" s="1">
        <v>1</v>
      </c>
      <c r="J641" s="1">
        <v>2</v>
      </c>
      <c r="K641" s="2"/>
      <c r="L641" s="2"/>
      <c r="M641" s="2"/>
      <c r="N641" s="2"/>
      <c r="O641" s="2"/>
      <c r="P641" s="2"/>
      <c r="Q641" s="2"/>
    </row>
    <row r="642" spans="1:17">
      <c r="A642" s="1" t="s">
        <v>25</v>
      </c>
      <c r="B642" s="1">
        <v>256</v>
      </c>
      <c r="C642" s="1" t="s">
        <v>116</v>
      </c>
      <c r="D642" s="2" t="s">
        <v>123</v>
      </c>
      <c r="E642" s="4">
        <v>45888</v>
      </c>
      <c r="F642" s="2">
        <f t="shared" si="20"/>
        <v>207</v>
      </c>
      <c r="G642" s="2">
        <v>3</v>
      </c>
      <c r="H642" s="1" t="s">
        <v>11</v>
      </c>
      <c r="I642" s="1">
        <v>5</v>
      </c>
      <c r="J642" s="1">
        <v>1</v>
      </c>
      <c r="K642" s="2"/>
      <c r="L642" s="2"/>
      <c r="M642" s="2"/>
      <c r="N642" s="2"/>
      <c r="O642" s="2"/>
      <c r="P642" s="2"/>
      <c r="Q642" s="2"/>
    </row>
    <row r="643" spans="1:17">
      <c r="A643" s="1" t="s">
        <v>25</v>
      </c>
      <c r="B643" s="1">
        <v>256</v>
      </c>
      <c r="C643" s="1" t="s">
        <v>116</v>
      </c>
      <c r="D643" s="2" t="s">
        <v>123</v>
      </c>
      <c r="E643" s="4">
        <v>45889</v>
      </c>
      <c r="F643" s="2">
        <f t="shared" si="20"/>
        <v>208</v>
      </c>
      <c r="G643" s="2">
        <v>1</v>
      </c>
      <c r="H643" s="1" t="s">
        <v>11</v>
      </c>
      <c r="I643" s="1">
        <v>6</v>
      </c>
      <c r="J643" s="1">
        <v>3</v>
      </c>
      <c r="K643" s="2"/>
      <c r="L643" s="2"/>
      <c r="M643" s="2"/>
      <c r="N643" s="2"/>
      <c r="O643" s="2"/>
      <c r="P643" s="2"/>
      <c r="Q643" s="2"/>
    </row>
    <row r="644" spans="1:17">
      <c r="A644" s="1" t="s">
        <v>25</v>
      </c>
      <c r="B644" s="1">
        <v>256</v>
      </c>
      <c r="C644" s="1" t="s">
        <v>116</v>
      </c>
      <c r="D644" s="2" t="s">
        <v>123</v>
      </c>
      <c r="E644" s="4">
        <v>45889</v>
      </c>
      <c r="F644" s="2">
        <f t="shared" si="20"/>
        <v>208</v>
      </c>
      <c r="G644" s="2">
        <v>2</v>
      </c>
      <c r="H644" s="1" t="s">
        <v>11</v>
      </c>
      <c r="I644" s="1">
        <v>2</v>
      </c>
      <c r="J644" s="1">
        <v>3</v>
      </c>
      <c r="K644" s="2"/>
      <c r="L644" s="2"/>
      <c r="M644" s="2"/>
      <c r="N644" s="2"/>
      <c r="O644" s="2"/>
      <c r="P644" s="2"/>
      <c r="Q644" s="2"/>
    </row>
    <row r="645" spans="1:17">
      <c r="A645" s="1" t="s">
        <v>25</v>
      </c>
      <c r="B645" s="1">
        <v>256</v>
      </c>
      <c r="C645" s="1" t="s">
        <v>116</v>
      </c>
      <c r="D645" s="2" t="s">
        <v>123</v>
      </c>
      <c r="E645" s="4">
        <v>45889</v>
      </c>
      <c r="F645" s="2">
        <f t="shared" si="20"/>
        <v>208</v>
      </c>
      <c r="G645" s="2">
        <v>3</v>
      </c>
      <c r="H645" s="1" t="s">
        <v>11</v>
      </c>
      <c r="I645" s="1">
        <v>1</v>
      </c>
      <c r="J645" s="1">
        <v>3</v>
      </c>
      <c r="K645" s="2"/>
      <c r="L645" s="2"/>
      <c r="M645" s="2"/>
      <c r="N645" s="2"/>
      <c r="O645" s="2"/>
      <c r="P645" s="2"/>
      <c r="Q645" s="2"/>
    </row>
    <row r="646" spans="1:17">
      <c r="A646" s="1" t="s">
        <v>25</v>
      </c>
      <c r="B646" s="1">
        <v>256</v>
      </c>
      <c r="C646" s="1" t="s">
        <v>116</v>
      </c>
      <c r="D646" s="2" t="s">
        <v>123</v>
      </c>
      <c r="E646" s="4">
        <v>45889</v>
      </c>
      <c r="F646" s="2">
        <v>208</v>
      </c>
      <c r="G646" s="2" t="s">
        <v>82</v>
      </c>
      <c r="H646" s="1" t="s">
        <v>11</v>
      </c>
      <c r="I646" s="1">
        <v>1</v>
      </c>
      <c r="J646" s="1">
        <v>3</v>
      </c>
      <c r="K646" s="2"/>
      <c r="L646" s="2"/>
      <c r="M646" s="2"/>
      <c r="N646" s="2"/>
      <c r="O646" s="2"/>
      <c r="P646" s="2"/>
      <c r="Q646" s="2"/>
    </row>
    <row r="647" spans="1:17">
      <c r="A647" s="1" t="s">
        <v>25</v>
      </c>
      <c r="B647" s="1">
        <v>256</v>
      </c>
      <c r="C647" s="1" t="s">
        <v>116</v>
      </c>
      <c r="D647" s="2" t="s">
        <v>123</v>
      </c>
      <c r="E647" s="4">
        <v>45890</v>
      </c>
      <c r="F647" s="2">
        <f t="shared" si="20"/>
        <v>209</v>
      </c>
      <c r="G647" s="2">
        <v>1</v>
      </c>
      <c r="H647" s="1" t="s">
        <v>11</v>
      </c>
      <c r="I647" s="1">
        <v>5</v>
      </c>
      <c r="J647" s="1">
        <v>5</v>
      </c>
      <c r="K647" s="2"/>
      <c r="L647" s="2"/>
      <c r="M647" s="2"/>
      <c r="N647" s="2"/>
      <c r="O647" s="2"/>
      <c r="P647" s="2"/>
      <c r="Q647" s="2"/>
    </row>
    <row r="648" spans="1:17">
      <c r="A648" s="1" t="s">
        <v>25</v>
      </c>
      <c r="B648" s="1">
        <v>256</v>
      </c>
      <c r="C648" s="1" t="s">
        <v>116</v>
      </c>
      <c r="D648" s="2" t="s">
        <v>123</v>
      </c>
      <c r="E648" s="4">
        <v>45890</v>
      </c>
      <c r="F648" s="2">
        <f t="shared" si="20"/>
        <v>209</v>
      </c>
      <c r="G648" s="2">
        <v>2</v>
      </c>
      <c r="H648" s="1" t="s">
        <v>11</v>
      </c>
      <c r="I648" s="1">
        <v>3</v>
      </c>
      <c r="J648" s="1">
        <v>0</v>
      </c>
      <c r="K648" s="2"/>
      <c r="L648" s="2"/>
      <c r="M648" s="2"/>
      <c r="N648" s="2"/>
      <c r="O648" s="2"/>
      <c r="P648" s="2"/>
      <c r="Q648" s="2"/>
    </row>
    <row r="649" spans="1:17">
      <c r="A649" s="1" t="s">
        <v>25</v>
      </c>
      <c r="B649" s="1">
        <v>256</v>
      </c>
      <c r="C649" s="1" t="s">
        <v>116</v>
      </c>
      <c r="D649" s="2" t="s">
        <v>123</v>
      </c>
      <c r="E649" s="4">
        <v>45890</v>
      </c>
      <c r="F649" s="2">
        <f t="shared" si="20"/>
        <v>209</v>
      </c>
      <c r="G649" s="2">
        <v>3</v>
      </c>
      <c r="H649" s="1" t="s">
        <v>11</v>
      </c>
      <c r="I649" s="1">
        <v>2</v>
      </c>
      <c r="J649" s="1">
        <v>4</v>
      </c>
      <c r="K649" s="2"/>
      <c r="L649" s="2"/>
      <c r="M649" s="2"/>
      <c r="N649" s="2"/>
      <c r="O649" s="2"/>
      <c r="P649" s="2"/>
      <c r="Q649" s="2"/>
    </row>
    <row r="650" spans="1:17">
      <c r="A650" s="1" t="s">
        <v>25</v>
      </c>
      <c r="B650" s="1">
        <v>256</v>
      </c>
      <c r="C650" s="1" t="s">
        <v>116</v>
      </c>
      <c r="D650" s="2" t="s">
        <v>123</v>
      </c>
      <c r="E650" s="4">
        <v>45894</v>
      </c>
      <c r="F650" s="2">
        <f t="shared" si="20"/>
        <v>210</v>
      </c>
      <c r="G650" s="2">
        <v>1</v>
      </c>
      <c r="H650" s="1" t="s">
        <v>11</v>
      </c>
      <c r="I650" s="1">
        <v>5</v>
      </c>
      <c r="J650" s="1">
        <v>4</v>
      </c>
      <c r="K650" s="2"/>
      <c r="L650" s="2"/>
      <c r="M650" s="2"/>
      <c r="N650" s="2"/>
      <c r="O650" s="2"/>
      <c r="P650" s="2"/>
      <c r="Q650" s="2"/>
    </row>
    <row r="651" spans="1:17">
      <c r="A651" s="1" t="s">
        <v>25</v>
      </c>
      <c r="B651" s="1">
        <v>256</v>
      </c>
      <c r="C651" s="1" t="s">
        <v>116</v>
      </c>
      <c r="D651" s="2" t="s">
        <v>123</v>
      </c>
      <c r="E651" s="4">
        <v>45894</v>
      </c>
      <c r="F651" s="2">
        <f t="shared" si="20"/>
        <v>210</v>
      </c>
      <c r="G651" s="2">
        <v>2</v>
      </c>
      <c r="H651" s="1" t="s">
        <v>11</v>
      </c>
      <c r="I651" s="1">
        <v>7</v>
      </c>
      <c r="J651" s="1">
        <v>4</v>
      </c>
      <c r="K651" s="2"/>
      <c r="L651" s="2"/>
      <c r="M651" s="2"/>
      <c r="N651" s="2"/>
      <c r="O651" s="2"/>
      <c r="P651" s="2"/>
      <c r="Q651" s="2"/>
    </row>
    <row r="652" spans="1:17">
      <c r="A652" s="1" t="s">
        <v>25</v>
      </c>
      <c r="B652" s="1">
        <v>256</v>
      </c>
      <c r="C652" s="1" t="s">
        <v>116</v>
      </c>
      <c r="D652" s="2" t="s">
        <v>123</v>
      </c>
      <c r="E652" s="4">
        <v>45894</v>
      </c>
      <c r="F652" s="2">
        <f t="shared" si="20"/>
        <v>210</v>
      </c>
      <c r="G652" s="2">
        <v>3</v>
      </c>
      <c r="H652" s="1" t="s">
        <v>11</v>
      </c>
      <c r="I652" s="1">
        <v>3</v>
      </c>
      <c r="J652" s="1">
        <v>3</v>
      </c>
      <c r="K652" s="2"/>
      <c r="L652" s="2"/>
      <c r="M652" s="2"/>
      <c r="N652" s="2"/>
      <c r="O652" s="2"/>
      <c r="P652" s="2"/>
      <c r="Q652" s="2"/>
    </row>
    <row r="653" spans="1:17">
      <c r="A653" s="1" t="s">
        <v>25</v>
      </c>
      <c r="B653" s="1">
        <v>256</v>
      </c>
      <c r="C653" s="1" t="s">
        <v>116</v>
      </c>
      <c r="D653" s="2" t="s">
        <v>123</v>
      </c>
      <c r="E653" s="4">
        <v>45896</v>
      </c>
      <c r="F653" s="2">
        <f t="shared" ref="F653:F717" si="21">F650+1</f>
        <v>211</v>
      </c>
      <c r="G653" s="2">
        <v>1</v>
      </c>
      <c r="H653" s="1" t="s">
        <v>24</v>
      </c>
      <c r="I653" s="1">
        <v>6</v>
      </c>
      <c r="J653" s="1">
        <v>2</v>
      </c>
      <c r="K653" s="2"/>
      <c r="L653" s="2"/>
      <c r="M653" s="2"/>
      <c r="N653" s="2"/>
      <c r="O653" s="2">
        <v>1</v>
      </c>
      <c r="P653" s="2"/>
      <c r="Q653" s="2"/>
    </row>
    <row r="654" spans="1:17">
      <c r="A654" s="1" t="s">
        <v>25</v>
      </c>
      <c r="B654" s="1">
        <v>256</v>
      </c>
      <c r="C654" s="1" t="s">
        <v>116</v>
      </c>
      <c r="D654" s="2" t="s">
        <v>123</v>
      </c>
      <c r="E654" s="4">
        <v>45896</v>
      </c>
      <c r="F654" s="2">
        <f t="shared" si="21"/>
        <v>211</v>
      </c>
      <c r="G654" s="2">
        <v>2</v>
      </c>
      <c r="H654" s="1" t="s">
        <v>24</v>
      </c>
      <c r="I654" s="1">
        <v>6</v>
      </c>
      <c r="J654" s="1">
        <v>5</v>
      </c>
      <c r="K654" s="2"/>
      <c r="L654" s="2"/>
      <c r="M654" s="2"/>
      <c r="N654" s="2"/>
      <c r="O654" s="2">
        <v>5</v>
      </c>
      <c r="P654" s="2"/>
      <c r="Q654" s="2"/>
    </row>
    <row r="655" spans="1:17">
      <c r="A655" s="1" t="s">
        <v>25</v>
      </c>
      <c r="B655" s="1">
        <v>256</v>
      </c>
      <c r="C655" s="1" t="s">
        <v>116</v>
      </c>
      <c r="D655" s="2" t="s">
        <v>123</v>
      </c>
      <c r="E655" s="4">
        <v>45896</v>
      </c>
      <c r="F655" s="2">
        <f t="shared" si="21"/>
        <v>211</v>
      </c>
      <c r="G655" s="2">
        <v>3</v>
      </c>
      <c r="H655" s="1" t="s">
        <v>24</v>
      </c>
      <c r="I655" s="1">
        <v>5</v>
      </c>
      <c r="J655" s="1">
        <v>4</v>
      </c>
      <c r="K655" s="2"/>
      <c r="L655" s="2"/>
      <c r="M655" s="2"/>
      <c r="N655" s="2"/>
      <c r="O655" s="2">
        <v>4</v>
      </c>
      <c r="P655" s="2"/>
      <c r="Q655" s="2"/>
    </row>
    <row r="656" spans="1:17">
      <c r="A656" s="1" t="s">
        <v>25</v>
      </c>
      <c r="B656" s="1">
        <v>256</v>
      </c>
      <c r="C656" s="1" t="s">
        <v>116</v>
      </c>
      <c r="D656" s="2" t="s">
        <v>123</v>
      </c>
      <c r="E656" s="4">
        <v>45897</v>
      </c>
      <c r="F656" s="2">
        <f t="shared" si="21"/>
        <v>212</v>
      </c>
      <c r="G656" s="2">
        <v>1</v>
      </c>
      <c r="H656" s="1" t="s">
        <v>11</v>
      </c>
      <c r="I656" s="1">
        <v>7</v>
      </c>
      <c r="J656" s="1">
        <v>5</v>
      </c>
      <c r="K656" s="2"/>
      <c r="L656" s="2"/>
      <c r="M656" s="2"/>
      <c r="N656" s="2"/>
      <c r="O656" s="2"/>
      <c r="P656" s="2"/>
      <c r="Q656" s="2"/>
    </row>
    <row r="657" spans="1:17">
      <c r="A657" s="1" t="s">
        <v>25</v>
      </c>
      <c r="B657" s="1">
        <v>256</v>
      </c>
      <c r="C657" s="1" t="s">
        <v>116</v>
      </c>
      <c r="D657" s="2" t="s">
        <v>123</v>
      </c>
      <c r="E657" s="4">
        <v>45897</v>
      </c>
      <c r="F657" s="2">
        <f t="shared" si="21"/>
        <v>212</v>
      </c>
      <c r="G657" s="2">
        <v>2</v>
      </c>
      <c r="H657" s="1" t="s">
        <v>11</v>
      </c>
      <c r="I657" s="1">
        <v>6</v>
      </c>
      <c r="J657" s="1">
        <v>2</v>
      </c>
      <c r="K657" s="2"/>
      <c r="L657" s="2"/>
      <c r="M657" s="2"/>
      <c r="N657" s="2"/>
      <c r="O657" s="2"/>
      <c r="P657" s="2"/>
      <c r="Q657" s="2"/>
    </row>
    <row r="658" spans="1:17">
      <c r="A658" s="1" t="s">
        <v>25</v>
      </c>
      <c r="B658" s="1">
        <v>256</v>
      </c>
      <c r="C658" s="1" t="s">
        <v>116</v>
      </c>
      <c r="D658" s="2" t="s">
        <v>123</v>
      </c>
      <c r="E658" s="4">
        <v>45897</v>
      </c>
      <c r="F658" s="2">
        <f t="shared" si="21"/>
        <v>212</v>
      </c>
      <c r="G658" s="2">
        <v>3</v>
      </c>
      <c r="H658" s="1" t="s">
        <v>11</v>
      </c>
      <c r="I658" s="1">
        <v>2</v>
      </c>
      <c r="J658" s="1">
        <v>2</v>
      </c>
      <c r="K658" s="2"/>
      <c r="L658" s="2"/>
      <c r="M658" s="2"/>
      <c r="N658" s="2"/>
      <c r="O658" s="2"/>
      <c r="P658" s="2"/>
      <c r="Q658" s="2"/>
    </row>
    <row r="659" spans="1:17">
      <c r="A659" s="1" t="s">
        <v>25</v>
      </c>
      <c r="B659" s="1">
        <v>256</v>
      </c>
      <c r="C659" s="1" t="s">
        <v>116</v>
      </c>
      <c r="D659" s="2" t="s">
        <v>123</v>
      </c>
      <c r="E659" s="4">
        <v>45898</v>
      </c>
      <c r="F659" s="2">
        <f t="shared" si="21"/>
        <v>213</v>
      </c>
      <c r="G659" s="2">
        <v>1</v>
      </c>
      <c r="H659" s="1" t="s">
        <v>15</v>
      </c>
      <c r="I659" s="1">
        <v>7</v>
      </c>
      <c r="J659" s="1">
        <v>4</v>
      </c>
      <c r="K659" s="2">
        <v>1</v>
      </c>
      <c r="L659" s="2"/>
      <c r="M659" s="2"/>
      <c r="N659" s="2"/>
      <c r="O659" s="2"/>
      <c r="P659" s="2"/>
      <c r="Q659" s="2"/>
    </row>
    <row r="660" spans="1:17">
      <c r="A660" s="1" t="s">
        <v>25</v>
      </c>
      <c r="B660" s="1">
        <v>256</v>
      </c>
      <c r="C660" s="1" t="s">
        <v>116</v>
      </c>
      <c r="D660" s="2" t="s">
        <v>123</v>
      </c>
      <c r="E660" s="4">
        <v>45898</v>
      </c>
      <c r="F660" s="2">
        <f t="shared" si="21"/>
        <v>213</v>
      </c>
      <c r="G660" s="2">
        <v>2</v>
      </c>
      <c r="H660" s="1" t="s">
        <v>15</v>
      </c>
      <c r="I660" s="1">
        <v>0</v>
      </c>
      <c r="J660" s="1">
        <v>3</v>
      </c>
      <c r="K660" s="2">
        <v>3</v>
      </c>
      <c r="L660" s="2"/>
      <c r="M660" s="2"/>
      <c r="N660" s="2"/>
      <c r="O660" s="2"/>
      <c r="P660" s="2"/>
      <c r="Q660" s="2"/>
    </row>
    <row r="661" spans="1:17">
      <c r="A661" s="1" t="s">
        <v>25</v>
      </c>
      <c r="B661" s="1">
        <v>256</v>
      </c>
      <c r="C661" s="1" t="s">
        <v>116</v>
      </c>
      <c r="D661" s="2" t="s">
        <v>123</v>
      </c>
      <c r="E661" s="4">
        <v>45898</v>
      </c>
      <c r="F661" s="2">
        <f t="shared" si="21"/>
        <v>213</v>
      </c>
      <c r="G661" s="2">
        <v>3</v>
      </c>
      <c r="H661" s="1" t="s">
        <v>15</v>
      </c>
      <c r="I661" s="1">
        <v>7</v>
      </c>
      <c r="J661" s="1">
        <v>2</v>
      </c>
      <c r="K661" s="2">
        <v>4</v>
      </c>
      <c r="L661" s="2"/>
      <c r="M661" s="2"/>
      <c r="N661" s="2"/>
      <c r="O661" s="2"/>
      <c r="P661" s="2"/>
      <c r="Q661" s="2"/>
    </row>
    <row r="662" spans="1:17">
      <c r="A662" s="1" t="s">
        <v>25</v>
      </c>
      <c r="B662" s="1">
        <v>256</v>
      </c>
      <c r="C662" s="1" t="s">
        <v>116</v>
      </c>
      <c r="D662" s="2" t="s">
        <v>123</v>
      </c>
      <c r="E662" s="4">
        <v>45902</v>
      </c>
      <c r="F662" s="2">
        <f t="shared" si="21"/>
        <v>214</v>
      </c>
      <c r="G662" s="2">
        <v>1</v>
      </c>
      <c r="H662" s="1" t="s">
        <v>11</v>
      </c>
      <c r="I662" s="1">
        <v>2</v>
      </c>
      <c r="J662" s="1">
        <v>6</v>
      </c>
      <c r="K662" s="2"/>
      <c r="L662" s="2"/>
      <c r="M662" s="2"/>
      <c r="N662" s="2"/>
      <c r="O662" s="2"/>
      <c r="P662" s="2"/>
      <c r="Q662" s="2"/>
    </row>
    <row r="663" spans="1:17">
      <c r="A663" s="1" t="s">
        <v>25</v>
      </c>
      <c r="B663" s="1">
        <v>256</v>
      </c>
      <c r="C663" s="1" t="s">
        <v>116</v>
      </c>
      <c r="D663" s="2" t="s">
        <v>123</v>
      </c>
      <c r="E663" s="4">
        <v>45902</v>
      </c>
      <c r="F663" s="2">
        <f t="shared" si="21"/>
        <v>214</v>
      </c>
      <c r="G663" s="2">
        <v>2</v>
      </c>
      <c r="H663" s="1" t="s">
        <v>11</v>
      </c>
      <c r="I663" s="1">
        <v>3</v>
      </c>
      <c r="J663" s="1">
        <v>2</v>
      </c>
      <c r="K663" s="2"/>
      <c r="L663" s="2"/>
      <c r="M663" s="2"/>
      <c r="N663" s="2"/>
      <c r="O663" s="2"/>
      <c r="P663" s="2"/>
      <c r="Q663" s="2"/>
    </row>
    <row r="664" spans="1:17">
      <c r="A664" s="1" t="s">
        <v>25</v>
      </c>
      <c r="B664" s="1">
        <v>256</v>
      </c>
      <c r="C664" s="1" t="s">
        <v>116</v>
      </c>
      <c r="D664" s="2" t="s">
        <v>123</v>
      </c>
      <c r="E664" s="4">
        <v>45902</v>
      </c>
      <c r="F664" s="2">
        <f t="shared" si="21"/>
        <v>214</v>
      </c>
      <c r="G664" s="2">
        <v>3</v>
      </c>
      <c r="H664" s="1" t="s">
        <v>11</v>
      </c>
      <c r="I664" s="1">
        <v>3</v>
      </c>
      <c r="J664" s="1">
        <v>1</v>
      </c>
      <c r="K664" s="2"/>
      <c r="L664" s="2"/>
      <c r="M664" s="2"/>
      <c r="N664" s="2"/>
      <c r="O664" s="2"/>
      <c r="P664" s="2"/>
      <c r="Q664" s="2"/>
    </row>
    <row r="665" spans="1:17">
      <c r="A665" s="1" t="s">
        <v>25</v>
      </c>
      <c r="B665" s="1">
        <v>256</v>
      </c>
      <c r="C665" s="1" t="s">
        <v>116</v>
      </c>
      <c r="D665" s="2" t="s">
        <v>123</v>
      </c>
      <c r="E665" s="4">
        <v>45903</v>
      </c>
      <c r="F665" s="2">
        <f t="shared" si="21"/>
        <v>215</v>
      </c>
      <c r="G665" s="2">
        <v>1</v>
      </c>
      <c r="H665" s="1" t="s">
        <v>11</v>
      </c>
      <c r="I665" s="1">
        <v>6</v>
      </c>
      <c r="J665" s="1">
        <v>3</v>
      </c>
      <c r="K665" s="2"/>
      <c r="L665" s="2"/>
      <c r="M665" s="2"/>
      <c r="N665" s="2"/>
      <c r="O665" s="2"/>
      <c r="P665" s="2"/>
      <c r="Q665" s="2"/>
    </row>
    <row r="666" spans="1:17">
      <c r="A666" s="1" t="s">
        <v>25</v>
      </c>
      <c r="B666" s="1">
        <v>256</v>
      </c>
      <c r="C666" s="1" t="s">
        <v>116</v>
      </c>
      <c r="D666" s="2" t="s">
        <v>123</v>
      </c>
      <c r="E666" s="4">
        <v>45903</v>
      </c>
      <c r="F666" s="2">
        <f t="shared" si="21"/>
        <v>215</v>
      </c>
      <c r="G666" s="2">
        <v>2</v>
      </c>
      <c r="H666" s="1" t="s">
        <v>11</v>
      </c>
      <c r="I666" s="1">
        <v>1</v>
      </c>
      <c r="J666" s="1">
        <v>4</v>
      </c>
      <c r="K666" s="2"/>
      <c r="L666" s="2"/>
      <c r="M666" s="2"/>
      <c r="N666" s="2"/>
      <c r="O666" s="2"/>
      <c r="P666" s="2"/>
      <c r="Q666" s="2"/>
    </row>
    <row r="667" spans="1:17">
      <c r="A667" s="1" t="s">
        <v>25</v>
      </c>
      <c r="B667" s="1">
        <v>256</v>
      </c>
      <c r="C667" s="1" t="s">
        <v>116</v>
      </c>
      <c r="D667" s="2" t="s">
        <v>123</v>
      </c>
      <c r="E667" s="4">
        <v>45903</v>
      </c>
      <c r="F667" s="2">
        <f t="shared" si="21"/>
        <v>215</v>
      </c>
      <c r="G667" s="2">
        <v>3</v>
      </c>
      <c r="H667" s="1" t="s">
        <v>11</v>
      </c>
      <c r="I667" s="1">
        <v>7</v>
      </c>
      <c r="J667" s="1">
        <v>1</v>
      </c>
      <c r="K667" s="2"/>
      <c r="L667" s="2"/>
      <c r="M667" s="2"/>
      <c r="N667" s="2"/>
      <c r="O667" s="2"/>
      <c r="P667" s="2"/>
      <c r="Q667" s="2"/>
    </row>
    <row r="668" spans="1:17">
      <c r="A668" s="1" t="s">
        <v>25</v>
      </c>
      <c r="B668" s="1">
        <v>256</v>
      </c>
      <c r="C668" s="1" t="s">
        <v>116</v>
      </c>
      <c r="D668" s="2" t="s">
        <v>123</v>
      </c>
      <c r="E668" s="4">
        <v>45904</v>
      </c>
      <c r="F668" s="2">
        <f t="shared" si="21"/>
        <v>216</v>
      </c>
      <c r="G668" s="2">
        <v>1</v>
      </c>
      <c r="H668" s="1" t="s">
        <v>11</v>
      </c>
      <c r="I668" s="1">
        <v>6</v>
      </c>
      <c r="J668" s="1">
        <v>2</v>
      </c>
      <c r="K668" s="2"/>
      <c r="L668" s="2"/>
      <c r="M668" s="2"/>
      <c r="N668" s="2"/>
      <c r="O668" s="2"/>
      <c r="P668" s="2"/>
      <c r="Q668" s="2"/>
    </row>
    <row r="669" spans="1:17">
      <c r="A669" s="1" t="s">
        <v>25</v>
      </c>
      <c r="B669" s="1">
        <v>256</v>
      </c>
      <c r="C669" s="1" t="s">
        <v>116</v>
      </c>
      <c r="D669" s="2" t="s">
        <v>123</v>
      </c>
      <c r="E669" s="4">
        <v>45904</v>
      </c>
      <c r="F669" s="2">
        <f t="shared" si="21"/>
        <v>216</v>
      </c>
      <c r="G669" s="2">
        <v>2</v>
      </c>
      <c r="H669" s="1" t="s">
        <v>11</v>
      </c>
      <c r="I669" s="1">
        <v>7</v>
      </c>
      <c r="J669" s="1">
        <v>5</v>
      </c>
      <c r="K669" s="2"/>
      <c r="L669" s="2"/>
      <c r="M669" s="2"/>
      <c r="N669" s="2"/>
      <c r="O669" s="2"/>
      <c r="P669" s="2"/>
      <c r="Q669" s="2"/>
    </row>
    <row r="670" spans="1:17">
      <c r="A670" s="1" t="s">
        <v>25</v>
      </c>
      <c r="B670" s="1">
        <v>256</v>
      </c>
      <c r="C670" s="1" t="s">
        <v>116</v>
      </c>
      <c r="D670" s="2" t="s">
        <v>123</v>
      </c>
      <c r="E670" s="4">
        <v>45904</v>
      </c>
      <c r="F670" s="2">
        <f t="shared" si="21"/>
        <v>216</v>
      </c>
      <c r="G670" s="2">
        <v>3</v>
      </c>
      <c r="H670" s="1" t="s">
        <v>11</v>
      </c>
      <c r="I670" s="1">
        <v>4</v>
      </c>
      <c r="J670" s="1">
        <v>3</v>
      </c>
      <c r="K670" s="2"/>
      <c r="L670" s="2"/>
      <c r="M670" s="2"/>
      <c r="N670" s="2"/>
      <c r="O670" s="2"/>
      <c r="P670" s="2"/>
      <c r="Q670" s="2"/>
    </row>
    <row r="671" spans="1:17">
      <c r="A671" s="1" t="s">
        <v>25</v>
      </c>
      <c r="B671" s="1">
        <v>256</v>
      </c>
      <c r="C671" s="1" t="s">
        <v>116</v>
      </c>
      <c r="D671" s="2" t="s">
        <v>123</v>
      </c>
      <c r="E671" s="4">
        <v>45910</v>
      </c>
      <c r="F671" s="2">
        <f t="shared" si="21"/>
        <v>217</v>
      </c>
      <c r="G671" s="2">
        <v>1</v>
      </c>
      <c r="H671" s="1" t="s">
        <v>9</v>
      </c>
      <c r="I671" s="1">
        <v>4</v>
      </c>
      <c r="J671" s="1">
        <v>1</v>
      </c>
      <c r="K671" s="2"/>
      <c r="L671" s="2"/>
      <c r="M671" s="2"/>
      <c r="N671" s="2"/>
      <c r="O671" s="2"/>
      <c r="P671" s="2"/>
      <c r="Q671" s="2"/>
    </row>
    <row r="672" spans="1:17">
      <c r="A672" s="1" t="s">
        <v>25</v>
      </c>
      <c r="B672" s="1">
        <v>256</v>
      </c>
      <c r="C672" s="1" t="s">
        <v>116</v>
      </c>
      <c r="D672" s="2" t="s">
        <v>123</v>
      </c>
      <c r="E672" s="4">
        <v>45910</v>
      </c>
      <c r="F672" s="2">
        <f t="shared" si="21"/>
        <v>217</v>
      </c>
      <c r="G672" s="2">
        <v>2</v>
      </c>
      <c r="H672" s="1" t="s">
        <v>9</v>
      </c>
      <c r="I672" s="1">
        <v>4</v>
      </c>
      <c r="J672" s="1">
        <v>4</v>
      </c>
      <c r="K672" s="2"/>
      <c r="L672" s="2"/>
      <c r="M672" s="2"/>
      <c r="N672" s="2"/>
      <c r="O672" s="2"/>
      <c r="P672" s="2"/>
      <c r="Q672" s="2"/>
    </row>
    <row r="673" spans="1:17">
      <c r="A673" s="1" t="s">
        <v>25</v>
      </c>
      <c r="B673" s="1">
        <v>256</v>
      </c>
      <c r="C673" s="1" t="s">
        <v>116</v>
      </c>
      <c r="D673" s="2" t="s">
        <v>123</v>
      </c>
      <c r="E673" s="4">
        <v>45910</v>
      </c>
      <c r="F673" s="2">
        <f t="shared" si="21"/>
        <v>217</v>
      </c>
      <c r="G673" s="2">
        <v>3</v>
      </c>
      <c r="H673" s="1" t="s">
        <v>9</v>
      </c>
      <c r="I673" s="1">
        <v>4</v>
      </c>
      <c r="J673" s="1">
        <v>1</v>
      </c>
      <c r="K673" s="2"/>
      <c r="L673" s="2"/>
      <c r="M673" s="2"/>
      <c r="N673" s="2"/>
      <c r="O673" s="2"/>
      <c r="P673" s="2"/>
      <c r="Q673" s="2"/>
    </row>
    <row r="674" spans="1:17">
      <c r="A674" s="1" t="s">
        <v>25</v>
      </c>
      <c r="B674" s="1">
        <v>256</v>
      </c>
      <c r="C674" s="1" t="s">
        <v>116</v>
      </c>
      <c r="D674" s="2" t="s">
        <v>123</v>
      </c>
      <c r="E674" s="4">
        <v>45911</v>
      </c>
      <c r="F674" s="2">
        <f t="shared" si="21"/>
        <v>218</v>
      </c>
      <c r="G674" s="2">
        <v>1</v>
      </c>
      <c r="H674" s="1" t="s">
        <v>11</v>
      </c>
      <c r="I674" s="1">
        <v>2</v>
      </c>
      <c r="J674" s="1">
        <v>2</v>
      </c>
      <c r="K674" s="2"/>
      <c r="L674" s="2"/>
      <c r="M674" s="2"/>
      <c r="N674" s="2"/>
      <c r="O674" s="2"/>
      <c r="P674" s="2"/>
      <c r="Q674" s="2"/>
    </row>
    <row r="675" spans="1:17">
      <c r="A675" s="1" t="s">
        <v>25</v>
      </c>
      <c r="B675" s="1">
        <v>256</v>
      </c>
      <c r="C675" s="1" t="s">
        <v>116</v>
      </c>
      <c r="D675" s="2" t="s">
        <v>123</v>
      </c>
      <c r="E675" s="4">
        <v>45911</v>
      </c>
      <c r="F675" s="2">
        <f t="shared" si="21"/>
        <v>218</v>
      </c>
      <c r="G675" s="2">
        <v>2</v>
      </c>
      <c r="H675" s="1" t="s">
        <v>11</v>
      </c>
      <c r="I675" s="1">
        <v>6</v>
      </c>
      <c r="J675" s="1">
        <v>1</v>
      </c>
      <c r="K675" s="2"/>
      <c r="L675" s="2"/>
      <c r="M675" s="2"/>
      <c r="N675" s="2"/>
      <c r="O675" s="2"/>
      <c r="P675" s="2"/>
      <c r="Q675" s="2"/>
    </row>
    <row r="676" spans="1:17">
      <c r="A676" s="1" t="s">
        <v>25</v>
      </c>
      <c r="B676" s="1">
        <v>256</v>
      </c>
      <c r="C676" s="1" t="s">
        <v>116</v>
      </c>
      <c r="D676" s="2" t="s">
        <v>123</v>
      </c>
      <c r="E676" s="4">
        <v>45911</v>
      </c>
      <c r="F676" s="2">
        <f t="shared" si="21"/>
        <v>218</v>
      </c>
      <c r="G676" s="2">
        <v>3</v>
      </c>
      <c r="H676" s="1" t="s">
        <v>11</v>
      </c>
      <c r="I676" s="1">
        <v>0</v>
      </c>
      <c r="J676" s="1">
        <v>7</v>
      </c>
      <c r="K676" s="2"/>
      <c r="L676" s="2"/>
      <c r="M676" s="2"/>
      <c r="N676" s="2"/>
      <c r="O676" s="2"/>
      <c r="P676" s="2"/>
      <c r="Q676" s="2"/>
    </row>
    <row r="677" spans="1:17">
      <c r="A677" s="1" t="s">
        <v>25</v>
      </c>
      <c r="B677" s="1">
        <v>256</v>
      </c>
      <c r="C677" s="1" t="s">
        <v>116</v>
      </c>
      <c r="D677" s="2" t="s">
        <v>123</v>
      </c>
      <c r="E677" s="4">
        <v>45915</v>
      </c>
      <c r="F677" s="2">
        <f t="shared" si="21"/>
        <v>219</v>
      </c>
      <c r="G677" s="2">
        <v>1</v>
      </c>
      <c r="H677" s="1" t="s">
        <v>9</v>
      </c>
      <c r="I677" s="1">
        <v>5</v>
      </c>
      <c r="J677" s="1">
        <v>3</v>
      </c>
      <c r="K677" s="2"/>
      <c r="L677" s="2"/>
      <c r="M677" s="2"/>
      <c r="N677" s="2"/>
      <c r="O677" s="2"/>
      <c r="P677" s="2"/>
      <c r="Q677" s="2"/>
    </row>
    <row r="678" spans="1:17">
      <c r="A678" s="1" t="s">
        <v>25</v>
      </c>
      <c r="B678" s="1">
        <v>256</v>
      </c>
      <c r="C678" s="1" t="s">
        <v>116</v>
      </c>
      <c r="D678" s="2" t="s">
        <v>123</v>
      </c>
      <c r="E678" s="4">
        <v>45915</v>
      </c>
      <c r="F678" s="2">
        <f t="shared" si="21"/>
        <v>219</v>
      </c>
      <c r="G678" s="2">
        <v>2</v>
      </c>
      <c r="H678" s="1" t="s">
        <v>9</v>
      </c>
      <c r="I678" s="1">
        <v>6</v>
      </c>
      <c r="J678" s="1">
        <v>3</v>
      </c>
      <c r="K678" s="2"/>
      <c r="L678" s="2"/>
      <c r="M678" s="2"/>
      <c r="N678" s="2"/>
      <c r="O678" s="2"/>
      <c r="P678" s="2"/>
      <c r="Q678" s="2"/>
    </row>
    <row r="679" spans="1:17">
      <c r="A679" s="1" t="s">
        <v>25</v>
      </c>
      <c r="B679" s="1">
        <v>256</v>
      </c>
      <c r="C679" s="1" t="s">
        <v>116</v>
      </c>
      <c r="D679" s="2" t="s">
        <v>123</v>
      </c>
      <c r="E679" s="4">
        <v>45915</v>
      </c>
      <c r="F679" s="2">
        <f t="shared" si="21"/>
        <v>219</v>
      </c>
      <c r="G679" s="2">
        <v>3</v>
      </c>
      <c r="H679" s="1" t="s">
        <v>9</v>
      </c>
      <c r="I679" s="1">
        <v>5</v>
      </c>
      <c r="J679" s="1">
        <v>4</v>
      </c>
      <c r="K679" s="2"/>
      <c r="L679" s="2"/>
      <c r="M679" s="2"/>
      <c r="N679" s="2"/>
      <c r="O679" s="2"/>
      <c r="P679" s="2"/>
      <c r="Q679" s="2"/>
    </row>
    <row r="680" spans="1:17">
      <c r="A680" s="1" t="s">
        <v>25</v>
      </c>
      <c r="B680" s="1">
        <v>256</v>
      </c>
      <c r="C680" s="1" t="s">
        <v>116</v>
      </c>
      <c r="D680" s="2" t="s">
        <v>123</v>
      </c>
      <c r="E680" s="4">
        <v>45916</v>
      </c>
      <c r="F680" s="2">
        <f t="shared" si="21"/>
        <v>220</v>
      </c>
      <c r="G680" s="2">
        <v>1</v>
      </c>
      <c r="H680" s="1" t="s">
        <v>9</v>
      </c>
      <c r="I680" s="1">
        <v>1</v>
      </c>
      <c r="J680" s="1">
        <v>4</v>
      </c>
      <c r="K680" s="2"/>
      <c r="L680" s="2"/>
      <c r="M680" s="2"/>
      <c r="N680" s="2"/>
      <c r="O680" s="2"/>
      <c r="P680" s="2"/>
      <c r="Q680" s="2"/>
    </row>
    <row r="681" spans="1:17">
      <c r="A681" s="1" t="s">
        <v>25</v>
      </c>
      <c r="B681" s="1">
        <v>256</v>
      </c>
      <c r="C681" s="1" t="s">
        <v>116</v>
      </c>
      <c r="D681" s="2" t="s">
        <v>123</v>
      </c>
      <c r="E681" s="4">
        <v>45916</v>
      </c>
      <c r="F681" s="2">
        <f t="shared" si="21"/>
        <v>220</v>
      </c>
      <c r="G681" s="2">
        <v>2</v>
      </c>
      <c r="H681" s="1" t="s">
        <v>9</v>
      </c>
      <c r="I681" s="1">
        <v>6</v>
      </c>
      <c r="J681" s="1">
        <v>3</v>
      </c>
      <c r="K681" s="2"/>
      <c r="L681" s="2"/>
      <c r="M681" s="2"/>
      <c r="N681" s="2"/>
      <c r="O681" s="2"/>
      <c r="P681" s="2"/>
      <c r="Q681" s="2"/>
    </row>
    <row r="682" spans="1:17">
      <c r="A682" s="1" t="s">
        <v>25</v>
      </c>
      <c r="B682" s="1">
        <v>256</v>
      </c>
      <c r="C682" s="1" t="s">
        <v>116</v>
      </c>
      <c r="D682" s="2" t="s">
        <v>123</v>
      </c>
      <c r="E682" s="4">
        <v>45916</v>
      </c>
      <c r="F682" s="2">
        <f t="shared" si="21"/>
        <v>220</v>
      </c>
      <c r="G682" s="2">
        <v>3</v>
      </c>
      <c r="H682" s="1" t="s">
        <v>9</v>
      </c>
      <c r="I682" s="1">
        <v>1</v>
      </c>
      <c r="J682" s="1">
        <v>3</v>
      </c>
      <c r="K682" s="2"/>
      <c r="L682" s="2"/>
      <c r="M682" s="2"/>
      <c r="N682" s="2"/>
      <c r="O682" s="2"/>
      <c r="P682" s="2"/>
      <c r="Q682" s="2"/>
    </row>
    <row r="683" spans="1:17">
      <c r="A683" s="1" t="s">
        <v>25</v>
      </c>
      <c r="B683" s="1">
        <v>256</v>
      </c>
      <c r="C683" s="1" t="s">
        <v>116</v>
      </c>
      <c r="D683" s="2" t="s">
        <v>123</v>
      </c>
      <c r="E683" s="4">
        <v>45917</v>
      </c>
      <c r="F683" s="2">
        <f t="shared" si="21"/>
        <v>221</v>
      </c>
      <c r="G683" s="2">
        <v>1</v>
      </c>
      <c r="H683" s="1" t="s">
        <v>11</v>
      </c>
      <c r="I683" s="1">
        <v>3</v>
      </c>
      <c r="J683" s="1">
        <v>1</v>
      </c>
      <c r="K683" s="2"/>
      <c r="L683" s="2"/>
      <c r="M683" s="2"/>
      <c r="N683" s="2"/>
      <c r="O683" s="2"/>
      <c r="P683" s="2"/>
      <c r="Q683" s="2"/>
    </row>
    <row r="684" spans="1:17">
      <c r="A684" s="1" t="s">
        <v>25</v>
      </c>
      <c r="B684" s="1">
        <v>256</v>
      </c>
      <c r="C684" s="1" t="s">
        <v>116</v>
      </c>
      <c r="D684" s="2" t="s">
        <v>123</v>
      </c>
      <c r="E684" s="4">
        <v>45917</v>
      </c>
      <c r="F684" s="2">
        <f t="shared" si="21"/>
        <v>221</v>
      </c>
      <c r="G684" s="2">
        <v>2</v>
      </c>
      <c r="H684" s="1" t="s">
        <v>11</v>
      </c>
      <c r="I684" s="1">
        <v>2</v>
      </c>
      <c r="J684" s="1">
        <v>4</v>
      </c>
      <c r="K684" s="2"/>
      <c r="L684" s="2"/>
      <c r="M684" s="2"/>
      <c r="N684" s="2"/>
      <c r="O684" s="2"/>
      <c r="P684" s="2"/>
      <c r="Q684" s="2"/>
    </row>
    <row r="685" spans="1:17">
      <c r="A685" s="1" t="s">
        <v>25</v>
      </c>
      <c r="B685" s="1">
        <v>256</v>
      </c>
      <c r="C685" s="1" t="s">
        <v>116</v>
      </c>
      <c r="D685" s="2" t="s">
        <v>123</v>
      </c>
      <c r="E685" s="4">
        <v>45917</v>
      </c>
      <c r="F685" s="2">
        <f t="shared" si="21"/>
        <v>221</v>
      </c>
      <c r="G685" s="2">
        <v>3</v>
      </c>
      <c r="H685" s="1" t="s">
        <v>11</v>
      </c>
      <c r="I685" s="1">
        <v>3</v>
      </c>
      <c r="J685" s="1">
        <v>1</v>
      </c>
      <c r="K685" s="2"/>
      <c r="L685" s="2"/>
      <c r="M685" s="2"/>
      <c r="N685" s="2"/>
      <c r="O685" s="2"/>
      <c r="P685" s="2"/>
      <c r="Q685" s="2"/>
    </row>
    <row r="686" spans="1:17">
      <c r="A686" s="1" t="s">
        <v>25</v>
      </c>
      <c r="B686" s="1">
        <v>256</v>
      </c>
      <c r="C686" s="1" t="s">
        <v>116</v>
      </c>
      <c r="D686" s="2" t="s">
        <v>123</v>
      </c>
      <c r="E686" s="4">
        <v>45918</v>
      </c>
      <c r="F686" s="2">
        <f t="shared" si="21"/>
        <v>222</v>
      </c>
      <c r="G686" s="2">
        <v>1</v>
      </c>
      <c r="H686" s="1" t="s">
        <v>9</v>
      </c>
      <c r="I686" s="1">
        <v>3</v>
      </c>
      <c r="J686" s="1">
        <v>2</v>
      </c>
      <c r="K686" s="2"/>
      <c r="L686" s="2"/>
      <c r="M686" s="2"/>
      <c r="N686" s="2"/>
      <c r="O686" s="2"/>
      <c r="P686" s="2"/>
      <c r="Q686" s="2"/>
    </row>
    <row r="687" spans="1:17">
      <c r="A687" s="1" t="s">
        <v>25</v>
      </c>
      <c r="B687" s="1">
        <v>256</v>
      </c>
      <c r="C687" s="1" t="s">
        <v>116</v>
      </c>
      <c r="D687" s="2" t="s">
        <v>123</v>
      </c>
      <c r="E687" s="4">
        <v>45918</v>
      </c>
      <c r="F687" s="2">
        <f t="shared" si="21"/>
        <v>222</v>
      </c>
      <c r="G687" s="2">
        <v>2</v>
      </c>
      <c r="H687" s="1" t="s">
        <v>9</v>
      </c>
      <c r="I687" s="1">
        <v>7</v>
      </c>
      <c r="J687" s="1">
        <v>7</v>
      </c>
      <c r="K687" s="2"/>
      <c r="L687" s="2"/>
      <c r="M687" s="2"/>
      <c r="N687" s="2"/>
      <c r="O687" s="2"/>
      <c r="P687" s="2"/>
      <c r="Q687" s="2"/>
    </row>
    <row r="688" spans="1:17">
      <c r="A688" s="1" t="s">
        <v>25</v>
      </c>
      <c r="B688" s="1">
        <v>256</v>
      </c>
      <c r="C688" s="1" t="s">
        <v>116</v>
      </c>
      <c r="D688" s="2" t="s">
        <v>123</v>
      </c>
      <c r="E688" s="4">
        <v>45918</v>
      </c>
      <c r="F688" s="2">
        <f t="shared" si="21"/>
        <v>222</v>
      </c>
      <c r="G688" s="2">
        <v>3</v>
      </c>
      <c r="H688" s="1" t="s">
        <v>9</v>
      </c>
      <c r="I688" s="1">
        <v>4</v>
      </c>
      <c r="J688" s="1">
        <v>3</v>
      </c>
      <c r="K688" s="2"/>
      <c r="L688" s="2"/>
      <c r="M688" s="2"/>
      <c r="N688" s="2"/>
      <c r="O688" s="2"/>
      <c r="P688" s="2"/>
      <c r="Q688" s="2"/>
    </row>
    <row r="689" spans="1:17">
      <c r="A689" s="1" t="s">
        <v>25</v>
      </c>
      <c r="B689" s="1">
        <v>256</v>
      </c>
      <c r="C689" s="1" t="s">
        <v>116</v>
      </c>
      <c r="D689" s="2" t="s">
        <v>123</v>
      </c>
      <c r="E689" s="4">
        <v>45919</v>
      </c>
      <c r="F689" s="2">
        <f t="shared" si="21"/>
        <v>223</v>
      </c>
      <c r="G689" s="2">
        <v>1</v>
      </c>
      <c r="H689" s="1" t="s">
        <v>9</v>
      </c>
      <c r="I689" s="1">
        <v>7</v>
      </c>
      <c r="J689" s="1">
        <v>0</v>
      </c>
      <c r="K689" s="2"/>
      <c r="L689" s="2"/>
      <c r="M689" s="2"/>
      <c r="N689" s="2"/>
      <c r="O689" s="2"/>
      <c r="P689" s="2"/>
      <c r="Q689" s="2"/>
    </row>
    <row r="690" spans="1:17">
      <c r="A690" s="1" t="s">
        <v>25</v>
      </c>
      <c r="B690" s="1">
        <v>256</v>
      </c>
      <c r="C690" s="1" t="s">
        <v>116</v>
      </c>
      <c r="D690" s="2" t="s">
        <v>123</v>
      </c>
      <c r="E690" s="4">
        <v>45919</v>
      </c>
      <c r="F690" s="2">
        <f t="shared" si="21"/>
        <v>223</v>
      </c>
      <c r="G690" s="2">
        <v>2</v>
      </c>
      <c r="H690" s="1" t="s">
        <v>9</v>
      </c>
      <c r="I690" s="1">
        <v>3</v>
      </c>
      <c r="J690" s="1">
        <v>7</v>
      </c>
      <c r="K690" s="2"/>
      <c r="L690" s="2"/>
      <c r="M690" s="2"/>
      <c r="N690" s="2"/>
      <c r="O690" s="2"/>
      <c r="P690" s="2"/>
      <c r="Q690" s="2"/>
    </row>
    <row r="691" spans="1:17">
      <c r="A691" s="1" t="s">
        <v>25</v>
      </c>
      <c r="B691" s="1">
        <v>256</v>
      </c>
      <c r="C691" s="1" t="s">
        <v>116</v>
      </c>
      <c r="D691" s="2" t="s">
        <v>123</v>
      </c>
      <c r="E691" s="4">
        <v>45919</v>
      </c>
      <c r="F691" s="2">
        <f t="shared" si="21"/>
        <v>223</v>
      </c>
      <c r="G691" s="2">
        <v>3</v>
      </c>
      <c r="H691" s="1" t="s">
        <v>9</v>
      </c>
      <c r="I691" s="1">
        <v>2</v>
      </c>
      <c r="J691" s="1">
        <v>4</v>
      </c>
      <c r="K691" s="2"/>
      <c r="L691" s="2"/>
      <c r="M691" s="2"/>
      <c r="N691" s="2"/>
      <c r="O691" s="2"/>
      <c r="P691" s="2"/>
      <c r="Q691" s="2"/>
    </row>
    <row r="692" spans="1:17">
      <c r="A692" s="1" t="s">
        <v>25</v>
      </c>
      <c r="B692" s="1">
        <v>256</v>
      </c>
      <c r="C692" s="1" t="s">
        <v>116</v>
      </c>
      <c r="D692" s="2" t="s">
        <v>123</v>
      </c>
      <c r="E692" s="4">
        <v>45923</v>
      </c>
      <c r="F692" s="2">
        <f t="shared" si="21"/>
        <v>224</v>
      </c>
      <c r="G692" s="2">
        <v>1</v>
      </c>
      <c r="H692" s="1" t="s">
        <v>9</v>
      </c>
      <c r="I692" s="1">
        <v>6</v>
      </c>
      <c r="J692" s="1">
        <v>3</v>
      </c>
      <c r="K692" s="2"/>
      <c r="L692" s="2"/>
      <c r="M692" s="2"/>
      <c r="N692" s="2"/>
      <c r="O692" s="2"/>
      <c r="P692" s="2"/>
      <c r="Q692" s="2"/>
    </row>
    <row r="693" spans="1:17">
      <c r="A693" s="1" t="s">
        <v>25</v>
      </c>
      <c r="B693" s="1">
        <v>256</v>
      </c>
      <c r="C693" s="1" t="s">
        <v>116</v>
      </c>
      <c r="D693" s="2" t="s">
        <v>123</v>
      </c>
      <c r="E693" s="4">
        <v>45923</v>
      </c>
      <c r="F693" s="2">
        <f t="shared" si="21"/>
        <v>224</v>
      </c>
      <c r="G693" s="2">
        <v>2</v>
      </c>
      <c r="H693" s="1" t="s">
        <v>9</v>
      </c>
      <c r="I693" s="1">
        <v>2</v>
      </c>
      <c r="J693" s="1">
        <v>1</v>
      </c>
      <c r="K693" s="2"/>
      <c r="L693" s="2"/>
      <c r="M693" s="2"/>
      <c r="N693" s="2"/>
      <c r="O693" s="2"/>
      <c r="P693" s="2"/>
      <c r="Q693" s="2"/>
    </row>
    <row r="694" spans="1:17">
      <c r="A694" s="1" t="s">
        <v>25</v>
      </c>
      <c r="B694" s="1">
        <v>256</v>
      </c>
      <c r="C694" s="1" t="s">
        <v>116</v>
      </c>
      <c r="D694" s="2" t="s">
        <v>123</v>
      </c>
      <c r="E694" s="4">
        <v>45923</v>
      </c>
      <c r="F694" s="2">
        <f t="shared" si="21"/>
        <v>224</v>
      </c>
      <c r="G694" s="2">
        <v>3</v>
      </c>
      <c r="H694" s="1" t="s">
        <v>9</v>
      </c>
      <c r="I694" s="1">
        <v>6</v>
      </c>
      <c r="J694" s="1">
        <v>4</v>
      </c>
      <c r="K694" s="2"/>
      <c r="L694" s="2"/>
      <c r="M694" s="2"/>
      <c r="N694" s="2"/>
      <c r="O694" s="2"/>
      <c r="P694" s="2"/>
      <c r="Q694" s="2"/>
    </row>
    <row r="695" spans="1:17">
      <c r="A695" s="1" t="s">
        <v>25</v>
      </c>
      <c r="B695" s="1">
        <v>256</v>
      </c>
      <c r="C695" s="1" t="s">
        <v>116</v>
      </c>
      <c r="D695" s="2" t="s">
        <v>123</v>
      </c>
      <c r="E695" s="4">
        <v>45924</v>
      </c>
      <c r="F695" s="2">
        <f t="shared" si="21"/>
        <v>225</v>
      </c>
      <c r="G695" s="2">
        <v>1</v>
      </c>
      <c r="H695" s="1" t="s">
        <v>9</v>
      </c>
      <c r="I695" s="1">
        <v>1</v>
      </c>
      <c r="J695" s="1">
        <v>1</v>
      </c>
      <c r="K695" s="2"/>
      <c r="L695" s="2"/>
      <c r="M695" s="2"/>
      <c r="N695" s="2"/>
      <c r="O695" s="2"/>
      <c r="P695" s="2"/>
      <c r="Q695" s="2"/>
    </row>
    <row r="696" spans="1:17">
      <c r="A696" s="1" t="s">
        <v>25</v>
      </c>
      <c r="B696" s="1">
        <v>256</v>
      </c>
      <c r="C696" s="1" t="s">
        <v>116</v>
      </c>
      <c r="D696" s="2" t="s">
        <v>123</v>
      </c>
      <c r="E696" s="4">
        <v>45924</v>
      </c>
      <c r="F696" s="2">
        <f t="shared" si="21"/>
        <v>225</v>
      </c>
      <c r="G696" s="2">
        <v>2</v>
      </c>
      <c r="H696" s="1" t="s">
        <v>9</v>
      </c>
      <c r="I696" s="1">
        <v>1</v>
      </c>
      <c r="J696" s="1">
        <v>2</v>
      </c>
      <c r="K696" s="2"/>
      <c r="L696" s="2"/>
      <c r="M696" s="2"/>
      <c r="N696" s="2"/>
      <c r="O696" s="2"/>
      <c r="P696" s="2"/>
      <c r="Q696" s="2"/>
    </row>
    <row r="697" spans="1:17">
      <c r="A697" s="1" t="s">
        <v>25</v>
      </c>
      <c r="B697" s="1">
        <v>256</v>
      </c>
      <c r="C697" s="1" t="s">
        <v>116</v>
      </c>
      <c r="D697" s="2" t="s">
        <v>123</v>
      </c>
      <c r="E697" s="4">
        <v>45924</v>
      </c>
      <c r="F697" s="2">
        <f t="shared" si="21"/>
        <v>225</v>
      </c>
      <c r="G697" s="2">
        <v>3</v>
      </c>
      <c r="H697" s="1" t="s">
        <v>9</v>
      </c>
      <c r="I697" s="1">
        <v>4</v>
      </c>
      <c r="J697" s="1">
        <v>3</v>
      </c>
      <c r="K697" s="2"/>
      <c r="L697" s="2"/>
      <c r="M697" s="2"/>
      <c r="N697" s="2"/>
      <c r="O697" s="2"/>
      <c r="P697" s="2"/>
      <c r="Q697" s="2"/>
    </row>
    <row r="698" spans="1:17">
      <c r="A698" s="1" t="s">
        <v>25</v>
      </c>
      <c r="B698" s="1">
        <v>256</v>
      </c>
      <c r="C698" s="1" t="s">
        <v>116</v>
      </c>
      <c r="D698" s="2" t="s">
        <v>123</v>
      </c>
      <c r="E698" s="4">
        <v>45924</v>
      </c>
      <c r="F698" s="2">
        <v>225</v>
      </c>
      <c r="G698" s="2" t="s">
        <v>82</v>
      </c>
      <c r="H698" s="1" t="s">
        <v>9</v>
      </c>
      <c r="I698" s="1">
        <v>1</v>
      </c>
      <c r="J698" s="1">
        <v>4</v>
      </c>
      <c r="K698" s="2"/>
      <c r="L698" s="2"/>
      <c r="M698" s="2"/>
      <c r="N698" s="2"/>
      <c r="O698" s="2"/>
      <c r="P698" s="2"/>
      <c r="Q698" s="2"/>
    </row>
    <row r="699" spans="1:17">
      <c r="A699" s="1" t="s">
        <v>25</v>
      </c>
      <c r="B699" s="1">
        <v>256</v>
      </c>
      <c r="C699" s="1" t="s">
        <v>116</v>
      </c>
      <c r="D699" s="2" t="s">
        <v>123</v>
      </c>
      <c r="E699" s="4">
        <v>45926</v>
      </c>
      <c r="F699" s="2">
        <f t="shared" si="21"/>
        <v>226</v>
      </c>
      <c r="G699" s="2">
        <v>1</v>
      </c>
      <c r="H699" s="1" t="s">
        <v>94</v>
      </c>
      <c r="I699" s="1">
        <v>2</v>
      </c>
      <c r="J699" s="1">
        <v>4</v>
      </c>
      <c r="K699" s="2"/>
      <c r="L699" s="2"/>
      <c r="M699" s="2"/>
      <c r="N699" s="2"/>
      <c r="O699" s="2"/>
      <c r="P699" s="2">
        <v>1</v>
      </c>
      <c r="Q699" s="2"/>
    </row>
    <row r="700" spans="1:17">
      <c r="A700" s="1" t="s">
        <v>25</v>
      </c>
      <c r="B700" s="1">
        <v>256</v>
      </c>
      <c r="C700" s="1" t="s">
        <v>116</v>
      </c>
      <c r="D700" s="2" t="s">
        <v>123</v>
      </c>
      <c r="E700" s="4">
        <v>45926</v>
      </c>
      <c r="F700" s="2">
        <f t="shared" si="21"/>
        <v>226</v>
      </c>
      <c r="G700" s="2">
        <v>2</v>
      </c>
      <c r="H700" s="1" t="s">
        <v>94</v>
      </c>
      <c r="I700" s="1">
        <v>0</v>
      </c>
      <c r="J700" s="1">
        <v>6</v>
      </c>
      <c r="K700" s="2"/>
      <c r="L700" s="2"/>
      <c r="M700" s="2"/>
      <c r="N700" s="2"/>
      <c r="O700" s="2"/>
      <c r="P700" s="2">
        <v>1</v>
      </c>
      <c r="Q700" s="2"/>
    </row>
    <row r="701" spans="1:17">
      <c r="A701" s="1" t="s">
        <v>25</v>
      </c>
      <c r="B701" s="1">
        <v>256</v>
      </c>
      <c r="C701" s="1" t="s">
        <v>116</v>
      </c>
      <c r="D701" s="2" t="s">
        <v>123</v>
      </c>
      <c r="E701" s="4">
        <v>45926</v>
      </c>
      <c r="F701" s="2">
        <f t="shared" si="21"/>
        <v>226</v>
      </c>
      <c r="G701" s="2">
        <v>3</v>
      </c>
      <c r="H701" s="1" t="s">
        <v>94</v>
      </c>
      <c r="I701" s="1">
        <v>3</v>
      </c>
      <c r="J701" s="1">
        <v>2</v>
      </c>
      <c r="K701" s="2"/>
      <c r="L701" s="2"/>
      <c r="M701" s="2"/>
      <c r="N701" s="2"/>
      <c r="O701" s="2"/>
      <c r="P701" s="2">
        <v>1</v>
      </c>
      <c r="Q701" s="2"/>
    </row>
    <row r="702" spans="1:17">
      <c r="A702" s="1" t="s">
        <v>25</v>
      </c>
      <c r="B702" s="1">
        <v>256</v>
      </c>
      <c r="C702" s="1" t="s">
        <v>116</v>
      </c>
      <c r="D702" s="2" t="s">
        <v>123</v>
      </c>
      <c r="E702" s="4">
        <v>45929</v>
      </c>
      <c r="F702" s="2">
        <f t="shared" si="21"/>
        <v>227</v>
      </c>
      <c r="G702" s="2">
        <v>1</v>
      </c>
      <c r="H702" s="1" t="s">
        <v>11</v>
      </c>
      <c r="I702" s="1">
        <v>6</v>
      </c>
      <c r="J702" s="1">
        <v>3</v>
      </c>
      <c r="K702" s="2"/>
      <c r="L702" s="2"/>
      <c r="M702" s="2"/>
      <c r="N702" s="2"/>
      <c r="O702" s="2"/>
      <c r="P702" s="2"/>
      <c r="Q702" s="2"/>
    </row>
    <row r="703" spans="1:17">
      <c r="A703" s="1" t="s">
        <v>25</v>
      </c>
      <c r="B703" s="1">
        <v>256</v>
      </c>
      <c r="C703" s="1" t="s">
        <v>116</v>
      </c>
      <c r="D703" s="2" t="s">
        <v>123</v>
      </c>
      <c r="E703" s="4">
        <v>45929</v>
      </c>
      <c r="F703" s="2">
        <f t="shared" si="21"/>
        <v>227</v>
      </c>
      <c r="G703" s="2">
        <v>2</v>
      </c>
      <c r="H703" s="1" t="s">
        <v>11</v>
      </c>
      <c r="I703" s="1">
        <v>5</v>
      </c>
      <c r="J703" s="1">
        <v>3</v>
      </c>
      <c r="K703" s="2"/>
      <c r="L703" s="2"/>
      <c r="M703" s="2"/>
      <c r="N703" s="2"/>
      <c r="O703" s="2"/>
      <c r="P703" s="2"/>
      <c r="Q703" s="2"/>
    </row>
    <row r="704" spans="1:17">
      <c r="A704" s="1" t="s">
        <v>25</v>
      </c>
      <c r="B704" s="1">
        <v>256</v>
      </c>
      <c r="C704" s="1" t="s">
        <v>116</v>
      </c>
      <c r="D704" s="2" t="s">
        <v>123</v>
      </c>
      <c r="E704" s="4">
        <v>45929</v>
      </c>
      <c r="F704" s="2">
        <f t="shared" si="21"/>
        <v>227</v>
      </c>
      <c r="G704" s="2">
        <v>3</v>
      </c>
      <c r="H704" s="1" t="s">
        <v>11</v>
      </c>
      <c r="I704" s="1">
        <v>0</v>
      </c>
      <c r="J704" s="1">
        <v>6</v>
      </c>
      <c r="K704" s="2"/>
      <c r="L704" s="2"/>
      <c r="M704" s="2"/>
      <c r="N704" s="2"/>
      <c r="O704" s="2"/>
      <c r="P704" s="2"/>
      <c r="Q704" s="2"/>
    </row>
    <row r="705" spans="1:17">
      <c r="A705" s="1" t="s">
        <v>25</v>
      </c>
      <c r="B705" s="1">
        <v>256</v>
      </c>
      <c r="C705" s="1" t="s">
        <v>116</v>
      </c>
      <c r="D705" s="2" t="s">
        <v>123</v>
      </c>
      <c r="E705" s="4">
        <v>45930</v>
      </c>
      <c r="F705" s="2">
        <f t="shared" si="21"/>
        <v>228</v>
      </c>
      <c r="G705" s="2">
        <v>1</v>
      </c>
      <c r="H705" s="1" t="s">
        <v>11</v>
      </c>
      <c r="I705" s="1">
        <v>3</v>
      </c>
      <c r="J705" s="1">
        <v>3</v>
      </c>
      <c r="K705" s="2"/>
      <c r="L705" s="2"/>
      <c r="M705" s="2"/>
      <c r="N705" s="2"/>
      <c r="O705" s="2"/>
      <c r="P705" s="2"/>
      <c r="Q705" s="2"/>
    </row>
    <row r="706" spans="1:17">
      <c r="A706" s="1" t="s">
        <v>25</v>
      </c>
      <c r="B706" s="1">
        <v>256</v>
      </c>
      <c r="C706" s="1" t="s">
        <v>116</v>
      </c>
      <c r="D706" s="2" t="s">
        <v>123</v>
      </c>
      <c r="E706" s="4">
        <v>45930</v>
      </c>
      <c r="F706" s="2">
        <f t="shared" si="21"/>
        <v>228</v>
      </c>
      <c r="G706" s="2">
        <v>2</v>
      </c>
      <c r="H706" s="1" t="s">
        <v>11</v>
      </c>
      <c r="I706" s="1">
        <v>8</v>
      </c>
      <c r="J706" s="1">
        <v>6</v>
      </c>
      <c r="K706" s="2"/>
      <c r="L706" s="2"/>
      <c r="M706" s="2"/>
      <c r="N706" s="2"/>
      <c r="O706" s="2"/>
      <c r="P706" s="2"/>
      <c r="Q706" s="2"/>
    </row>
    <row r="707" spans="1:17">
      <c r="A707" s="1" t="s">
        <v>25</v>
      </c>
      <c r="B707" s="1">
        <v>256</v>
      </c>
      <c r="C707" s="1" t="s">
        <v>116</v>
      </c>
      <c r="D707" s="2" t="s">
        <v>123</v>
      </c>
      <c r="E707" s="4">
        <v>45930</v>
      </c>
      <c r="F707" s="2">
        <f t="shared" si="21"/>
        <v>228</v>
      </c>
      <c r="G707" s="2">
        <v>3</v>
      </c>
      <c r="H707" s="1" t="s">
        <v>11</v>
      </c>
      <c r="I707" s="1">
        <v>4</v>
      </c>
      <c r="J707" s="1">
        <v>2</v>
      </c>
      <c r="K707" s="2"/>
      <c r="L707" s="2"/>
      <c r="M707" s="2"/>
      <c r="N707" s="2"/>
      <c r="O707" s="2"/>
      <c r="P707" s="2"/>
      <c r="Q707" s="2"/>
    </row>
    <row r="708" spans="1:17">
      <c r="A708" s="1" t="s">
        <v>25</v>
      </c>
      <c r="B708" s="1">
        <v>256</v>
      </c>
      <c r="C708" s="1" t="s">
        <v>116</v>
      </c>
      <c r="D708" s="2" t="s">
        <v>123</v>
      </c>
      <c r="E708" s="4">
        <v>45931</v>
      </c>
      <c r="F708" s="2">
        <f t="shared" si="21"/>
        <v>229</v>
      </c>
      <c r="G708" s="2">
        <v>1</v>
      </c>
      <c r="H708" s="1" t="s">
        <v>11</v>
      </c>
      <c r="I708" s="1">
        <v>6</v>
      </c>
      <c r="J708" s="1">
        <v>6</v>
      </c>
      <c r="K708" s="2"/>
      <c r="L708" s="2"/>
      <c r="M708" s="2"/>
      <c r="N708" s="2"/>
      <c r="O708" s="2"/>
      <c r="P708" s="2"/>
      <c r="Q708" s="2"/>
    </row>
    <row r="709" spans="1:17">
      <c r="A709" s="1" t="s">
        <v>25</v>
      </c>
      <c r="B709" s="1">
        <v>256</v>
      </c>
      <c r="C709" s="1" t="s">
        <v>116</v>
      </c>
      <c r="D709" s="2" t="s">
        <v>123</v>
      </c>
      <c r="E709" s="4">
        <v>45931</v>
      </c>
      <c r="F709" s="2">
        <f t="shared" si="21"/>
        <v>229</v>
      </c>
      <c r="G709" s="2">
        <v>2</v>
      </c>
      <c r="H709" s="1" t="s">
        <v>11</v>
      </c>
      <c r="I709" s="1">
        <v>3</v>
      </c>
      <c r="J709" s="1">
        <v>2</v>
      </c>
      <c r="K709" s="2"/>
      <c r="L709" s="2"/>
      <c r="M709" s="2"/>
      <c r="N709" s="2"/>
      <c r="O709" s="2"/>
      <c r="P709" s="2"/>
      <c r="Q709" s="2"/>
    </row>
    <row r="710" spans="1:17">
      <c r="A710" s="1" t="s">
        <v>25</v>
      </c>
      <c r="B710" s="1">
        <v>256</v>
      </c>
      <c r="C710" s="1" t="s">
        <v>116</v>
      </c>
      <c r="D710" s="2" t="s">
        <v>123</v>
      </c>
      <c r="E710" s="4">
        <v>45931</v>
      </c>
      <c r="F710" s="2">
        <f t="shared" si="21"/>
        <v>229</v>
      </c>
      <c r="G710" s="2">
        <v>3</v>
      </c>
      <c r="H710" s="1" t="s">
        <v>11</v>
      </c>
      <c r="I710" s="1">
        <v>6</v>
      </c>
      <c r="J710" s="1">
        <v>2</v>
      </c>
      <c r="K710" s="2"/>
      <c r="L710" s="2"/>
      <c r="M710" s="2"/>
      <c r="N710" s="2"/>
      <c r="O710" s="2"/>
      <c r="P710" s="2"/>
      <c r="Q710" s="2"/>
    </row>
    <row r="711" spans="1:17">
      <c r="A711" s="1" t="s">
        <v>25</v>
      </c>
      <c r="B711" s="1">
        <v>256</v>
      </c>
      <c r="C711" s="1" t="s">
        <v>116</v>
      </c>
      <c r="D711" s="2" t="s">
        <v>123</v>
      </c>
      <c r="E711" s="4">
        <v>45938</v>
      </c>
      <c r="F711" s="2">
        <f t="shared" si="21"/>
        <v>230</v>
      </c>
      <c r="G711" s="2">
        <v>1</v>
      </c>
      <c r="H711" s="1" t="s">
        <v>11</v>
      </c>
      <c r="I711" s="1">
        <v>3</v>
      </c>
      <c r="J711" s="1">
        <v>1</v>
      </c>
      <c r="K711" s="2"/>
      <c r="L711" s="2"/>
      <c r="M711" s="2"/>
      <c r="N711" s="2"/>
      <c r="O711" s="2"/>
      <c r="P711" s="2"/>
      <c r="Q711" s="2"/>
    </row>
    <row r="712" spans="1:17">
      <c r="A712" s="1" t="s">
        <v>25</v>
      </c>
      <c r="B712" s="1">
        <v>256</v>
      </c>
      <c r="C712" s="1" t="s">
        <v>116</v>
      </c>
      <c r="D712" s="2" t="s">
        <v>123</v>
      </c>
      <c r="E712" s="4">
        <v>45938</v>
      </c>
      <c r="F712" s="2">
        <f t="shared" si="21"/>
        <v>230</v>
      </c>
      <c r="G712" s="2">
        <v>2</v>
      </c>
      <c r="H712" s="1" t="s">
        <v>11</v>
      </c>
      <c r="I712" s="1">
        <v>2</v>
      </c>
      <c r="J712" s="1">
        <v>3</v>
      </c>
      <c r="K712" s="2"/>
      <c r="L712" s="2"/>
      <c r="M712" s="2"/>
      <c r="N712" s="2"/>
      <c r="O712" s="2"/>
      <c r="P712" s="2"/>
      <c r="Q712" s="2"/>
    </row>
    <row r="713" spans="1:17">
      <c r="A713" s="1" t="s">
        <v>25</v>
      </c>
      <c r="B713" s="1">
        <v>256</v>
      </c>
      <c r="C713" s="1" t="s">
        <v>116</v>
      </c>
      <c r="D713" s="2" t="s">
        <v>123</v>
      </c>
      <c r="E713" s="4">
        <v>45938</v>
      </c>
      <c r="F713" s="2">
        <f t="shared" si="21"/>
        <v>230</v>
      </c>
      <c r="G713" s="2">
        <v>3</v>
      </c>
      <c r="H713" s="1" t="s">
        <v>11</v>
      </c>
      <c r="I713" s="1">
        <v>4</v>
      </c>
      <c r="J713" s="1">
        <v>6</v>
      </c>
      <c r="K713" s="2"/>
      <c r="L713" s="2"/>
      <c r="M713" s="2"/>
      <c r="N713" s="2"/>
      <c r="O713" s="2"/>
      <c r="P713" s="2"/>
      <c r="Q713" s="2"/>
    </row>
    <row r="714" spans="1:17">
      <c r="A714" s="1" t="s">
        <v>25</v>
      </c>
      <c r="B714" s="1">
        <v>256</v>
      </c>
      <c r="C714" s="1" t="s">
        <v>116</v>
      </c>
      <c r="D714" s="2" t="s">
        <v>123</v>
      </c>
      <c r="E714" s="4">
        <v>45940</v>
      </c>
      <c r="F714" s="2">
        <f t="shared" si="21"/>
        <v>231</v>
      </c>
      <c r="G714" s="2">
        <v>1</v>
      </c>
      <c r="H714" s="1" t="s">
        <v>11</v>
      </c>
      <c r="I714" s="1">
        <v>4</v>
      </c>
      <c r="J714" s="1">
        <v>1</v>
      </c>
      <c r="K714" s="2"/>
      <c r="L714" s="2"/>
      <c r="M714" s="2"/>
      <c r="N714" s="2"/>
      <c r="O714" s="2"/>
      <c r="P714" s="2"/>
      <c r="Q714" s="2"/>
    </row>
    <row r="715" spans="1:17">
      <c r="A715" s="1" t="s">
        <v>25</v>
      </c>
      <c r="B715" s="1">
        <v>256</v>
      </c>
      <c r="C715" s="1" t="s">
        <v>116</v>
      </c>
      <c r="D715" s="2" t="s">
        <v>123</v>
      </c>
      <c r="E715" s="4">
        <v>45940</v>
      </c>
      <c r="F715" s="2">
        <f t="shared" si="21"/>
        <v>231</v>
      </c>
      <c r="G715" s="2">
        <v>2</v>
      </c>
      <c r="H715" s="1" t="s">
        <v>11</v>
      </c>
      <c r="I715" s="1">
        <v>5</v>
      </c>
      <c r="J715" s="1">
        <v>1</v>
      </c>
      <c r="K715" s="2"/>
      <c r="L715" s="2"/>
      <c r="M715" s="2"/>
      <c r="N715" s="2"/>
      <c r="O715" s="2"/>
      <c r="P715" s="2"/>
      <c r="Q715" s="2"/>
    </row>
    <row r="716" spans="1:17">
      <c r="A716" s="1" t="s">
        <v>25</v>
      </c>
      <c r="B716" s="1">
        <v>256</v>
      </c>
      <c r="C716" s="1" t="s">
        <v>116</v>
      </c>
      <c r="D716" s="2" t="s">
        <v>123</v>
      </c>
      <c r="E716" s="4">
        <v>45940</v>
      </c>
      <c r="F716" s="2">
        <f t="shared" si="21"/>
        <v>231</v>
      </c>
      <c r="G716" s="2">
        <v>3</v>
      </c>
      <c r="H716" s="1" t="s">
        <v>11</v>
      </c>
      <c r="I716" s="1">
        <v>7</v>
      </c>
      <c r="J716" s="1">
        <v>5</v>
      </c>
      <c r="K716" s="2"/>
      <c r="L716" s="2"/>
      <c r="M716" s="2"/>
      <c r="N716" s="2"/>
      <c r="O716" s="2"/>
      <c r="P716" s="2"/>
      <c r="Q716" s="2"/>
    </row>
    <row r="717" spans="1:17">
      <c r="A717" s="1" t="s">
        <v>25</v>
      </c>
      <c r="B717" s="1">
        <v>256</v>
      </c>
      <c r="C717" s="1" t="s">
        <v>116</v>
      </c>
      <c r="D717" s="2" t="s">
        <v>123</v>
      </c>
      <c r="E717" s="4">
        <v>45943</v>
      </c>
      <c r="F717" s="2">
        <f t="shared" si="21"/>
        <v>232</v>
      </c>
      <c r="G717" s="2">
        <v>1</v>
      </c>
      <c r="H717" s="1" t="s">
        <v>9</v>
      </c>
      <c r="I717" s="1">
        <v>7</v>
      </c>
      <c r="J717" s="1">
        <v>2</v>
      </c>
      <c r="K717" s="2"/>
      <c r="L717" s="2"/>
      <c r="M717" s="2"/>
      <c r="N717" s="2"/>
      <c r="O717" s="2"/>
      <c r="P717" s="2"/>
      <c r="Q717" s="2"/>
    </row>
    <row r="718" spans="1:17">
      <c r="A718" s="1" t="s">
        <v>25</v>
      </c>
      <c r="B718" s="1">
        <v>256</v>
      </c>
      <c r="C718" s="1" t="s">
        <v>116</v>
      </c>
      <c r="D718" s="2" t="s">
        <v>123</v>
      </c>
      <c r="E718" s="4">
        <v>45943</v>
      </c>
      <c r="F718" s="2">
        <f t="shared" ref="F718:F731" si="22">F715+1</f>
        <v>232</v>
      </c>
      <c r="G718" s="2">
        <v>2</v>
      </c>
      <c r="H718" s="1" t="s">
        <v>9</v>
      </c>
      <c r="I718" s="1">
        <v>4</v>
      </c>
      <c r="J718" s="1">
        <v>2</v>
      </c>
      <c r="K718" s="2"/>
      <c r="L718" s="2"/>
      <c r="M718" s="2"/>
      <c r="N718" s="2"/>
      <c r="O718" s="2"/>
      <c r="P718" s="2"/>
      <c r="Q718" s="2"/>
    </row>
    <row r="719" spans="1:17">
      <c r="A719" s="1" t="s">
        <v>25</v>
      </c>
      <c r="B719" s="1">
        <v>256</v>
      </c>
      <c r="C719" s="1" t="s">
        <v>116</v>
      </c>
      <c r="D719" s="2" t="s">
        <v>123</v>
      </c>
      <c r="E719" s="4">
        <v>45943</v>
      </c>
      <c r="F719" s="2">
        <f t="shared" si="22"/>
        <v>232</v>
      </c>
      <c r="G719" s="2">
        <v>3</v>
      </c>
      <c r="H719" s="1" t="s">
        <v>9</v>
      </c>
      <c r="I719" s="1">
        <v>0</v>
      </c>
      <c r="J719" s="1">
        <v>2</v>
      </c>
      <c r="K719" s="2"/>
      <c r="L719" s="2"/>
      <c r="M719" s="2"/>
      <c r="N719" s="2"/>
      <c r="O719" s="2"/>
      <c r="P719" s="2"/>
      <c r="Q719" s="2"/>
    </row>
    <row r="720" spans="1:17">
      <c r="A720" s="1" t="s">
        <v>25</v>
      </c>
      <c r="B720" s="1">
        <v>256</v>
      </c>
      <c r="C720" s="1" t="s">
        <v>116</v>
      </c>
      <c r="D720" s="2" t="s">
        <v>123</v>
      </c>
      <c r="E720" s="4">
        <v>45952</v>
      </c>
      <c r="F720" s="2">
        <f t="shared" si="22"/>
        <v>233</v>
      </c>
      <c r="G720" s="2">
        <v>1</v>
      </c>
      <c r="H720" s="1" t="s">
        <v>15</v>
      </c>
      <c r="I720" s="1">
        <v>3</v>
      </c>
      <c r="J720" s="1">
        <v>4</v>
      </c>
      <c r="K720" s="2">
        <v>1</v>
      </c>
      <c r="L720" s="2"/>
      <c r="M720" s="2"/>
      <c r="N720" s="2"/>
      <c r="O720" s="2"/>
      <c r="P720" s="2"/>
      <c r="Q720" s="2"/>
    </row>
    <row r="721" spans="1:17">
      <c r="A721" s="1" t="s">
        <v>25</v>
      </c>
      <c r="B721" s="1">
        <v>256</v>
      </c>
      <c r="C721" s="1" t="s">
        <v>116</v>
      </c>
      <c r="D721" s="2" t="s">
        <v>123</v>
      </c>
      <c r="E721" s="4">
        <v>45952</v>
      </c>
      <c r="F721" s="2">
        <f t="shared" si="22"/>
        <v>233</v>
      </c>
      <c r="G721" s="2">
        <v>2</v>
      </c>
      <c r="H721" s="1" t="s">
        <v>15</v>
      </c>
      <c r="I721" s="1">
        <v>2</v>
      </c>
      <c r="J721" s="1">
        <v>0</v>
      </c>
      <c r="K721" s="2">
        <v>2</v>
      </c>
      <c r="L721" s="2"/>
      <c r="M721" s="2"/>
      <c r="N721" s="2"/>
      <c r="O721" s="2"/>
      <c r="P721" s="2"/>
      <c r="Q721" s="2"/>
    </row>
    <row r="722" spans="1:17">
      <c r="A722" s="1" t="s">
        <v>25</v>
      </c>
      <c r="B722" s="1">
        <v>256</v>
      </c>
      <c r="C722" s="1" t="s">
        <v>116</v>
      </c>
      <c r="D722" s="2" t="s">
        <v>123</v>
      </c>
      <c r="E722" s="4">
        <v>45952</v>
      </c>
      <c r="F722" s="2">
        <f t="shared" si="22"/>
        <v>233</v>
      </c>
      <c r="G722" s="2">
        <v>3</v>
      </c>
      <c r="H722" s="1" t="s">
        <v>15</v>
      </c>
      <c r="I722" s="1">
        <v>2</v>
      </c>
      <c r="J722" s="1">
        <v>5</v>
      </c>
      <c r="K722" s="2">
        <v>5</v>
      </c>
      <c r="L722" s="2"/>
      <c r="M722" s="2"/>
      <c r="N722" s="2"/>
      <c r="O722" s="2"/>
      <c r="P722" s="2"/>
      <c r="Q722" s="2"/>
    </row>
    <row r="723" spans="1:17">
      <c r="A723" s="1" t="s">
        <v>25</v>
      </c>
      <c r="B723" s="1">
        <v>256</v>
      </c>
      <c r="C723" s="1" t="s">
        <v>116</v>
      </c>
      <c r="D723" s="2" t="s">
        <v>123</v>
      </c>
      <c r="E723" s="4">
        <v>45953</v>
      </c>
      <c r="F723" s="2">
        <f t="shared" si="22"/>
        <v>234</v>
      </c>
      <c r="G723" s="2">
        <v>1</v>
      </c>
      <c r="H723" s="1" t="s">
        <v>9</v>
      </c>
      <c r="I723" s="1">
        <v>2</v>
      </c>
      <c r="J723" s="1">
        <v>3</v>
      </c>
      <c r="K723" s="2"/>
      <c r="L723" s="2"/>
      <c r="M723" s="2"/>
      <c r="N723" s="2"/>
      <c r="O723" s="2"/>
      <c r="P723" s="2"/>
      <c r="Q723" s="2"/>
    </row>
    <row r="724" spans="1:17">
      <c r="A724" s="1" t="s">
        <v>25</v>
      </c>
      <c r="B724" s="1">
        <v>256</v>
      </c>
      <c r="C724" s="1" t="s">
        <v>116</v>
      </c>
      <c r="D724" s="2" t="s">
        <v>123</v>
      </c>
      <c r="E724" s="4">
        <v>45953</v>
      </c>
      <c r="F724" s="2">
        <f t="shared" si="22"/>
        <v>234</v>
      </c>
      <c r="G724" s="2">
        <v>2</v>
      </c>
      <c r="H724" s="1" t="s">
        <v>9</v>
      </c>
      <c r="I724" s="1">
        <v>5</v>
      </c>
      <c r="J724" s="1">
        <v>4</v>
      </c>
      <c r="K724" s="2"/>
      <c r="L724" s="2"/>
      <c r="M724" s="2"/>
      <c r="N724" s="2"/>
      <c r="O724" s="2"/>
      <c r="P724" s="2"/>
      <c r="Q724" s="2"/>
    </row>
    <row r="725" spans="1:17">
      <c r="A725" s="1" t="s">
        <v>25</v>
      </c>
      <c r="B725" s="1">
        <v>256</v>
      </c>
      <c r="C725" s="1" t="s">
        <v>116</v>
      </c>
      <c r="D725" s="2" t="s">
        <v>123</v>
      </c>
      <c r="E725" s="4">
        <v>45953</v>
      </c>
      <c r="F725" s="2">
        <f t="shared" si="22"/>
        <v>234</v>
      </c>
      <c r="G725" s="2">
        <v>3</v>
      </c>
      <c r="H725" s="1" t="s">
        <v>9</v>
      </c>
      <c r="I725" s="1">
        <v>3</v>
      </c>
      <c r="J725" s="1">
        <v>6</v>
      </c>
      <c r="K725" s="2"/>
      <c r="L725" s="2"/>
      <c r="M725" s="2"/>
      <c r="N725" s="2"/>
      <c r="O725" s="2"/>
      <c r="P725" s="2"/>
      <c r="Q725" s="2"/>
    </row>
    <row r="726" spans="1:17">
      <c r="A726" s="1" t="s">
        <v>25</v>
      </c>
      <c r="B726" s="1">
        <v>256</v>
      </c>
      <c r="C726" s="1" t="s">
        <v>116</v>
      </c>
      <c r="D726" s="2" t="s">
        <v>123</v>
      </c>
      <c r="E726" s="4">
        <v>45954</v>
      </c>
      <c r="F726" s="2">
        <f t="shared" si="22"/>
        <v>235</v>
      </c>
      <c r="G726" s="2">
        <v>1</v>
      </c>
      <c r="H726" s="1" t="s">
        <v>8</v>
      </c>
      <c r="I726" s="1">
        <v>4</v>
      </c>
      <c r="J726" s="1">
        <v>1</v>
      </c>
      <c r="K726" s="2">
        <v>0</v>
      </c>
      <c r="L726" s="2"/>
      <c r="M726" s="2"/>
      <c r="N726" s="2"/>
      <c r="O726" s="2"/>
      <c r="P726" s="2"/>
      <c r="Q726" s="2"/>
    </row>
    <row r="727" spans="1:17">
      <c r="A727" s="1" t="s">
        <v>25</v>
      </c>
      <c r="B727" s="1">
        <v>256</v>
      </c>
      <c r="C727" s="1" t="s">
        <v>116</v>
      </c>
      <c r="D727" s="2" t="s">
        <v>123</v>
      </c>
      <c r="E727" s="4">
        <v>45954</v>
      </c>
      <c r="F727" s="2">
        <f t="shared" si="22"/>
        <v>235</v>
      </c>
      <c r="G727" s="2">
        <v>2</v>
      </c>
      <c r="H727" s="1" t="s">
        <v>8</v>
      </c>
      <c r="I727" s="1">
        <v>2</v>
      </c>
      <c r="J727" s="1">
        <v>3</v>
      </c>
      <c r="K727" s="2">
        <v>4</v>
      </c>
      <c r="L727" s="2"/>
      <c r="M727" s="2"/>
      <c r="N727" s="2"/>
      <c r="O727" s="2"/>
      <c r="P727" s="2"/>
      <c r="Q727" s="2"/>
    </row>
    <row r="728" spans="1:17">
      <c r="A728" s="1" t="s">
        <v>25</v>
      </c>
      <c r="B728" s="1">
        <v>256</v>
      </c>
      <c r="C728" s="1" t="s">
        <v>116</v>
      </c>
      <c r="D728" s="2" t="s">
        <v>123</v>
      </c>
      <c r="E728" s="4">
        <v>45954</v>
      </c>
      <c r="F728" s="2">
        <f t="shared" si="22"/>
        <v>235</v>
      </c>
      <c r="G728" s="2">
        <v>3</v>
      </c>
      <c r="H728" s="1" t="s">
        <v>8</v>
      </c>
      <c r="I728" s="1">
        <v>5</v>
      </c>
      <c r="J728" s="1">
        <v>5</v>
      </c>
      <c r="K728" s="2">
        <v>1</v>
      </c>
      <c r="L728" s="2"/>
      <c r="M728" s="2"/>
      <c r="N728" s="2"/>
      <c r="O728" s="2"/>
      <c r="P728" s="2"/>
      <c r="Q728" s="2"/>
    </row>
    <row r="729" spans="1:17">
      <c r="A729" s="1" t="s">
        <v>25</v>
      </c>
      <c r="B729" s="1">
        <v>256</v>
      </c>
      <c r="C729" s="1" t="s">
        <v>116</v>
      </c>
      <c r="D729" s="2" t="s">
        <v>123</v>
      </c>
      <c r="E729" s="4">
        <v>45958</v>
      </c>
      <c r="F729" s="2">
        <f t="shared" si="22"/>
        <v>236</v>
      </c>
      <c r="G729" s="2">
        <v>1</v>
      </c>
      <c r="H729" s="1" t="s">
        <v>9</v>
      </c>
      <c r="I729" s="1">
        <v>1</v>
      </c>
      <c r="J729" s="1">
        <v>2</v>
      </c>
      <c r="K729" s="2"/>
      <c r="L729" s="2"/>
      <c r="M729" s="2"/>
      <c r="N729" s="2"/>
      <c r="O729" s="2"/>
      <c r="P729" s="2"/>
      <c r="Q729" s="2"/>
    </row>
    <row r="730" spans="1:17">
      <c r="A730" s="1" t="s">
        <v>25</v>
      </c>
      <c r="B730" s="1">
        <v>256</v>
      </c>
      <c r="C730" s="1" t="s">
        <v>116</v>
      </c>
      <c r="D730" s="2" t="s">
        <v>123</v>
      </c>
      <c r="E730" s="4">
        <v>45958</v>
      </c>
      <c r="F730" s="2">
        <f t="shared" si="22"/>
        <v>236</v>
      </c>
      <c r="G730" s="2">
        <v>2</v>
      </c>
      <c r="H730" s="1" t="s">
        <v>9</v>
      </c>
      <c r="I730" s="1">
        <v>3</v>
      </c>
      <c r="J730" s="1">
        <v>2</v>
      </c>
      <c r="K730" s="2"/>
      <c r="L730" s="2"/>
      <c r="M730" s="2"/>
      <c r="N730" s="2"/>
      <c r="O730" s="2"/>
      <c r="P730" s="2"/>
      <c r="Q730" s="2"/>
    </row>
    <row r="731" spans="1:17">
      <c r="A731" s="1" t="s">
        <v>25</v>
      </c>
      <c r="B731" s="1">
        <v>256</v>
      </c>
      <c r="C731" s="1" t="s">
        <v>116</v>
      </c>
      <c r="D731" s="2" t="s">
        <v>123</v>
      </c>
      <c r="E731" s="4">
        <v>45958</v>
      </c>
      <c r="F731" s="2">
        <f t="shared" si="22"/>
        <v>236</v>
      </c>
      <c r="G731" s="2">
        <v>3</v>
      </c>
      <c r="H731" s="1" t="s">
        <v>9</v>
      </c>
      <c r="I731" s="1">
        <v>5</v>
      </c>
      <c r="J731" s="1">
        <v>5</v>
      </c>
      <c r="K731" s="2"/>
      <c r="L731" s="2"/>
      <c r="M731" s="2"/>
      <c r="N731" s="2"/>
      <c r="O731" s="2"/>
      <c r="P731" s="2"/>
      <c r="Q731" s="2"/>
    </row>
    <row r="732" spans="1:17">
      <c r="A732" s="1" t="s">
        <v>25</v>
      </c>
      <c r="B732" s="1">
        <v>256</v>
      </c>
      <c r="C732" s="1" t="s">
        <v>116</v>
      </c>
      <c r="D732" s="2" t="s">
        <v>123</v>
      </c>
      <c r="E732" s="4">
        <v>45958</v>
      </c>
      <c r="F732" s="2">
        <v>236</v>
      </c>
      <c r="G732" s="2" t="s">
        <v>82</v>
      </c>
      <c r="H732" s="1" t="s">
        <v>9</v>
      </c>
      <c r="I732" s="1">
        <v>3</v>
      </c>
      <c r="J732" s="1">
        <v>3</v>
      </c>
      <c r="K732" s="2"/>
      <c r="L732" s="2"/>
      <c r="M732" s="2"/>
      <c r="N732" s="2"/>
      <c r="O732" s="2"/>
      <c r="P732" s="2"/>
      <c r="Q732" s="2"/>
    </row>
    <row r="733" spans="1:17">
      <c r="A733" s="1" t="s">
        <v>25</v>
      </c>
      <c r="B733" s="1">
        <v>256</v>
      </c>
      <c r="C733" s="1" t="s">
        <v>116</v>
      </c>
      <c r="D733" s="2" t="s">
        <v>123</v>
      </c>
      <c r="E733" s="4">
        <v>45958</v>
      </c>
      <c r="F733" s="2">
        <v>236</v>
      </c>
      <c r="G733" s="2" t="s">
        <v>83</v>
      </c>
      <c r="H733" s="1" t="s">
        <v>9</v>
      </c>
      <c r="I733" s="1">
        <v>3</v>
      </c>
      <c r="J733" s="1">
        <v>2</v>
      </c>
      <c r="K733" s="2"/>
      <c r="L733" s="2"/>
      <c r="M733" s="2"/>
      <c r="N733" s="2"/>
      <c r="O733" s="2"/>
      <c r="P733" s="2"/>
      <c r="Q733" s="2"/>
    </row>
    <row r="734" spans="1:17">
      <c r="A734" s="1" t="s">
        <v>25</v>
      </c>
      <c r="B734" s="1">
        <v>256</v>
      </c>
      <c r="C734" s="1" t="s">
        <v>116</v>
      </c>
      <c r="D734" s="2" t="s">
        <v>123</v>
      </c>
      <c r="E734" s="4">
        <v>45959</v>
      </c>
      <c r="F734" s="2">
        <f t="shared" ref="F734:F757" si="23">F731+1</f>
        <v>237</v>
      </c>
      <c r="G734" s="2">
        <v>1</v>
      </c>
      <c r="H734" s="1" t="s">
        <v>11</v>
      </c>
      <c r="I734" s="1">
        <v>1</v>
      </c>
      <c r="J734" s="1">
        <v>3</v>
      </c>
      <c r="K734" s="2"/>
      <c r="L734" s="2"/>
      <c r="M734" s="2"/>
      <c r="N734" s="2"/>
      <c r="O734" s="2"/>
      <c r="P734" s="2"/>
      <c r="Q734" s="2"/>
    </row>
    <row r="735" spans="1:17">
      <c r="A735" s="1" t="s">
        <v>25</v>
      </c>
      <c r="B735" s="1">
        <v>256</v>
      </c>
      <c r="C735" s="1" t="s">
        <v>116</v>
      </c>
      <c r="D735" s="2" t="s">
        <v>123</v>
      </c>
      <c r="E735" s="4">
        <v>45959</v>
      </c>
      <c r="F735" s="2">
        <f t="shared" si="23"/>
        <v>237</v>
      </c>
      <c r="G735" s="2">
        <v>2</v>
      </c>
      <c r="H735" s="1" t="s">
        <v>11</v>
      </c>
      <c r="I735" s="1">
        <v>6</v>
      </c>
      <c r="J735" s="1">
        <v>7</v>
      </c>
      <c r="K735" s="2"/>
      <c r="L735" s="2"/>
      <c r="M735" s="2"/>
      <c r="N735" s="2"/>
      <c r="O735" s="2"/>
      <c r="P735" s="2"/>
      <c r="Q735" s="2"/>
    </row>
    <row r="736" spans="1:17">
      <c r="A736" s="1" t="s">
        <v>25</v>
      </c>
      <c r="B736" s="1">
        <v>256</v>
      </c>
      <c r="C736" s="1" t="s">
        <v>116</v>
      </c>
      <c r="D736" s="2" t="s">
        <v>123</v>
      </c>
      <c r="E736" s="4">
        <v>45959</v>
      </c>
      <c r="F736" s="2">
        <f t="shared" si="23"/>
        <v>237</v>
      </c>
      <c r="G736" s="2">
        <v>3</v>
      </c>
      <c r="H736" s="1" t="s">
        <v>11</v>
      </c>
      <c r="I736" s="1">
        <v>3</v>
      </c>
      <c r="J736" s="1">
        <v>8</v>
      </c>
      <c r="K736" s="2"/>
      <c r="L736" s="2"/>
      <c r="M736" s="2"/>
      <c r="N736" s="2"/>
      <c r="O736" s="2"/>
      <c r="P736" s="2"/>
      <c r="Q736" s="2"/>
    </row>
    <row r="737" spans="1:17">
      <c r="A737" s="1" t="s">
        <v>25</v>
      </c>
      <c r="B737" s="1">
        <v>256</v>
      </c>
      <c r="C737" s="1" t="s">
        <v>116</v>
      </c>
      <c r="D737" s="2" t="s">
        <v>123</v>
      </c>
      <c r="E737" s="4">
        <v>45961</v>
      </c>
      <c r="F737" s="2">
        <f t="shared" si="23"/>
        <v>238</v>
      </c>
      <c r="G737" s="2">
        <v>1</v>
      </c>
      <c r="H737" s="1" t="s">
        <v>9</v>
      </c>
      <c r="I737" s="1">
        <v>7</v>
      </c>
      <c r="J737" s="1">
        <v>4</v>
      </c>
      <c r="K737" s="2"/>
      <c r="L737" s="2"/>
      <c r="M737" s="2"/>
      <c r="N737" s="2"/>
      <c r="O737" s="2"/>
      <c r="P737" s="2"/>
      <c r="Q737" s="2"/>
    </row>
    <row r="738" spans="1:17">
      <c r="A738" s="1" t="s">
        <v>25</v>
      </c>
      <c r="B738" s="1">
        <v>256</v>
      </c>
      <c r="C738" s="1" t="s">
        <v>116</v>
      </c>
      <c r="D738" s="2" t="s">
        <v>123</v>
      </c>
      <c r="E738" s="4">
        <v>45961</v>
      </c>
      <c r="F738" s="2">
        <f t="shared" si="23"/>
        <v>238</v>
      </c>
      <c r="G738" s="2">
        <v>2</v>
      </c>
      <c r="H738" s="1" t="s">
        <v>9</v>
      </c>
      <c r="I738" s="1">
        <v>5</v>
      </c>
      <c r="J738" s="1">
        <v>5</v>
      </c>
      <c r="K738" s="2"/>
      <c r="L738" s="2"/>
      <c r="M738" s="2"/>
      <c r="N738" s="2"/>
      <c r="O738" s="2"/>
      <c r="P738" s="2"/>
      <c r="Q738" s="2"/>
    </row>
    <row r="739" spans="1:17">
      <c r="A739" s="1" t="s">
        <v>25</v>
      </c>
      <c r="B739" s="1">
        <v>256</v>
      </c>
      <c r="C739" s="1" t="s">
        <v>116</v>
      </c>
      <c r="D739" s="2" t="s">
        <v>123</v>
      </c>
      <c r="E739" s="4">
        <v>45961</v>
      </c>
      <c r="F739" s="2">
        <f t="shared" si="23"/>
        <v>238</v>
      </c>
      <c r="G739" s="2">
        <v>3</v>
      </c>
      <c r="H739" s="1" t="s">
        <v>9</v>
      </c>
      <c r="I739" s="1">
        <v>7</v>
      </c>
      <c r="J739" s="1">
        <v>3</v>
      </c>
      <c r="K739" s="2"/>
      <c r="L739" s="2"/>
      <c r="M739" s="2"/>
      <c r="N739" s="2"/>
      <c r="O739" s="2"/>
      <c r="P739" s="2"/>
      <c r="Q739" s="2"/>
    </row>
    <row r="740" spans="1:17">
      <c r="A740" s="1" t="s">
        <v>25</v>
      </c>
      <c r="B740" s="1">
        <v>256</v>
      </c>
      <c r="C740" s="1" t="s">
        <v>116</v>
      </c>
      <c r="D740" s="2" t="s">
        <v>123</v>
      </c>
      <c r="E740" s="4">
        <v>45972</v>
      </c>
      <c r="F740" s="2">
        <f t="shared" si="23"/>
        <v>239</v>
      </c>
      <c r="G740" s="2">
        <v>1</v>
      </c>
      <c r="H740" s="1" t="s">
        <v>15</v>
      </c>
      <c r="I740" s="1">
        <v>4</v>
      </c>
      <c r="J740" s="1">
        <v>2</v>
      </c>
      <c r="K740" s="2">
        <v>5</v>
      </c>
      <c r="L740" s="2"/>
      <c r="M740" s="2"/>
      <c r="N740" s="2"/>
      <c r="O740" s="2"/>
      <c r="P740" s="2"/>
      <c r="Q740" s="2"/>
    </row>
    <row r="741" spans="1:17">
      <c r="A741" s="1" t="s">
        <v>25</v>
      </c>
      <c r="B741" s="1">
        <v>256</v>
      </c>
      <c r="C741" s="1" t="s">
        <v>116</v>
      </c>
      <c r="D741" s="2" t="s">
        <v>123</v>
      </c>
      <c r="E741" s="4">
        <v>45972</v>
      </c>
      <c r="F741" s="2">
        <f t="shared" si="23"/>
        <v>239</v>
      </c>
      <c r="G741" s="2">
        <v>2</v>
      </c>
      <c r="H741" s="1" t="s">
        <v>15</v>
      </c>
      <c r="I741" s="1">
        <v>3</v>
      </c>
      <c r="J741" s="1">
        <v>2</v>
      </c>
      <c r="K741" s="2">
        <v>5</v>
      </c>
      <c r="L741" s="2"/>
      <c r="M741" s="2"/>
      <c r="N741" s="2"/>
      <c r="O741" s="2"/>
      <c r="P741" s="2"/>
      <c r="Q741" s="2"/>
    </row>
    <row r="742" spans="1:17">
      <c r="A742" s="1" t="s">
        <v>25</v>
      </c>
      <c r="B742" s="1">
        <v>256</v>
      </c>
      <c r="C742" s="1" t="s">
        <v>116</v>
      </c>
      <c r="D742" s="2" t="s">
        <v>123</v>
      </c>
      <c r="E742" s="4">
        <v>45972</v>
      </c>
      <c r="F742" s="2">
        <f t="shared" si="23"/>
        <v>239</v>
      </c>
      <c r="G742" s="2">
        <v>3</v>
      </c>
      <c r="H742" s="1" t="s">
        <v>15</v>
      </c>
      <c r="I742" s="1">
        <v>2</v>
      </c>
      <c r="J742" s="1">
        <v>4</v>
      </c>
      <c r="K742" s="2">
        <v>3</v>
      </c>
      <c r="L742" s="2"/>
      <c r="M742" s="2"/>
      <c r="N742" s="2"/>
      <c r="O742" s="2"/>
      <c r="P742" s="2"/>
      <c r="Q742" s="2"/>
    </row>
    <row r="743" spans="1:17">
      <c r="A743" s="1" t="s">
        <v>25</v>
      </c>
      <c r="B743" s="1">
        <v>256</v>
      </c>
      <c r="C743" s="1" t="s">
        <v>116</v>
      </c>
      <c r="D743" s="2" t="s">
        <v>123</v>
      </c>
      <c r="E743" s="4">
        <v>45973</v>
      </c>
      <c r="F743" s="2">
        <f t="shared" si="23"/>
        <v>240</v>
      </c>
      <c r="G743" s="2">
        <v>1</v>
      </c>
      <c r="H743" s="1" t="s">
        <v>57</v>
      </c>
      <c r="I743" s="1">
        <v>4</v>
      </c>
      <c r="J743" s="1">
        <v>3</v>
      </c>
      <c r="K743" s="2">
        <v>2</v>
      </c>
      <c r="L743" s="2"/>
      <c r="M743" s="2"/>
      <c r="N743" s="2"/>
      <c r="O743" s="2"/>
      <c r="P743" s="2"/>
      <c r="Q743" s="2"/>
    </row>
    <row r="744" spans="1:17">
      <c r="A744" s="1" t="s">
        <v>25</v>
      </c>
      <c r="B744" s="1">
        <v>256</v>
      </c>
      <c r="C744" s="1" t="s">
        <v>116</v>
      </c>
      <c r="D744" s="2" t="s">
        <v>123</v>
      </c>
      <c r="E744" s="4">
        <v>45973</v>
      </c>
      <c r="F744" s="2">
        <f t="shared" si="23"/>
        <v>240</v>
      </c>
      <c r="G744" s="2">
        <v>2</v>
      </c>
      <c r="H744" s="1" t="s">
        <v>57</v>
      </c>
      <c r="I744" s="1">
        <v>3</v>
      </c>
      <c r="J744" s="1">
        <v>0</v>
      </c>
      <c r="K744" s="2">
        <v>4</v>
      </c>
      <c r="L744" s="2"/>
      <c r="M744" s="2"/>
      <c r="N744" s="2"/>
      <c r="O744" s="2"/>
      <c r="P744" s="2"/>
      <c r="Q744" s="2"/>
    </row>
    <row r="745" spans="1:17">
      <c r="A745" s="1" t="s">
        <v>25</v>
      </c>
      <c r="B745" s="1">
        <v>256</v>
      </c>
      <c r="C745" s="1" t="s">
        <v>116</v>
      </c>
      <c r="D745" s="2" t="s">
        <v>123</v>
      </c>
      <c r="E745" s="4">
        <v>45973</v>
      </c>
      <c r="F745" s="2">
        <f t="shared" si="23"/>
        <v>240</v>
      </c>
      <c r="G745" s="2">
        <v>3</v>
      </c>
      <c r="H745" s="1" t="s">
        <v>57</v>
      </c>
      <c r="I745" s="1">
        <v>7</v>
      </c>
      <c r="J745" s="1">
        <v>4</v>
      </c>
      <c r="K745" s="2">
        <v>0</v>
      </c>
      <c r="L745" s="2"/>
      <c r="M745" s="2"/>
      <c r="N745" s="2"/>
      <c r="O745" s="2"/>
      <c r="P745" s="2"/>
      <c r="Q745" s="2"/>
    </row>
    <row r="746" spans="1:17">
      <c r="A746" s="1" t="s">
        <v>25</v>
      </c>
      <c r="B746" s="1">
        <v>256</v>
      </c>
      <c r="C746" s="1" t="s">
        <v>116</v>
      </c>
      <c r="D746" s="2" t="s">
        <v>123</v>
      </c>
      <c r="E746" s="4">
        <v>45979</v>
      </c>
      <c r="F746" s="2">
        <f t="shared" si="23"/>
        <v>241</v>
      </c>
      <c r="G746" s="2">
        <v>1</v>
      </c>
      <c r="H746" s="1" t="s">
        <v>118</v>
      </c>
      <c r="I746" s="1">
        <v>9</v>
      </c>
      <c r="J746" s="1">
        <v>1</v>
      </c>
      <c r="K746" s="2"/>
      <c r="L746" s="2"/>
      <c r="M746" s="2"/>
      <c r="N746" s="2"/>
      <c r="O746" s="2">
        <v>4</v>
      </c>
      <c r="P746" s="2"/>
      <c r="Q746" s="2">
        <v>3</v>
      </c>
    </row>
    <row r="747" spans="1:17">
      <c r="A747" s="1" t="s">
        <v>25</v>
      </c>
      <c r="B747" s="1">
        <v>256</v>
      </c>
      <c r="C747" s="1" t="s">
        <v>116</v>
      </c>
      <c r="D747" s="2" t="s">
        <v>123</v>
      </c>
      <c r="E747" s="4">
        <v>45979</v>
      </c>
      <c r="F747" s="2">
        <f t="shared" si="23"/>
        <v>241</v>
      </c>
      <c r="G747" s="2">
        <v>2</v>
      </c>
      <c r="H747" s="1" t="s">
        <v>118</v>
      </c>
      <c r="I747" s="1">
        <v>5</v>
      </c>
      <c r="J747" s="1">
        <v>5</v>
      </c>
      <c r="K747" s="2"/>
      <c r="L747" s="2"/>
      <c r="M747" s="2"/>
      <c r="N747" s="2"/>
      <c r="O747" s="2">
        <v>0</v>
      </c>
      <c r="P747" s="2"/>
      <c r="Q747" s="2">
        <v>2</v>
      </c>
    </row>
    <row r="748" spans="1:17">
      <c r="A748" s="1" t="s">
        <v>25</v>
      </c>
      <c r="B748" s="1">
        <v>256</v>
      </c>
      <c r="C748" s="1" t="s">
        <v>116</v>
      </c>
      <c r="D748" s="2" t="s">
        <v>123</v>
      </c>
      <c r="E748" s="4">
        <v>45979</v>
      </c>
      <c r="F748" s="2">
        <f t="shared" si="23"/>
        <v>241</v>
      </c>
      <c r="G748" s="2">
        <v>3</v>
      </c>
      <c r="H748" s="1" t="s">
        <v>118</v>
      </c>
      <c r="I748" s="1">
        <v>5</v>
      </c>
      <c r="J748" s="1">
        <v>0</v>
      </c>
      <c r="K748" s="2"/>
      <c r="L748" s="2"/>
      <c r="M748" s="2"/>
      <c r="N748" s="2"/>
      <c r="O748" s="2">
        <v>0</v>
      </c>
      <c r="P748" s="2"/>
      <c r="Q748" s="2">
        <v>0</v>
      </c>
    </row>
    <row r="749" spans="1:17">
      <c r="A749" s="1" t="s">
        <v>25</v>
      </c>
      <c r="B749" s="1">
        <v>256</v>
      </c>
      <c r="C749" s="1" t="s">
        <v>116</v>
      </c>
      <c r="D749" s="2" t="s">
        <v>123</v>
      </c>
      <c r="E749" s="4">
        <v>45981</v>
      </c>
      <c r="F749" s="2">
        <f t="shared" si="23"/>
        <v>242</v>
      </c>
      <c r="G749" s="2">
        <v>1</v>
      </c>
      <c r="H749" s="1" t="s">
        <v>11</v>
      </c>
      <c r="I749" s="1">
        <v>8</v>
      </c>
      <c r="J749" s="1">
        <v>4</v>
      </c>
      <c r="K749" s="2"/>
      <c r="L749" s="2"/>
      <c r="M749" s="2"/>
      <c r="N749" s="2"/>
      <c r="O749" s="2"/>
      <c r="P749" s="2"/>
      <c r="Q749" s="2"/>
    </row>
    <row r="750" spans="1:17">
      <c r="A750" s="1" t="s">
        <v>25</v>
      </c>
      <c r="B750" s="1">
        <v>256</v>
      </c>
      <c r="C750" s="1" t="s">
        <v>116</v>
      </c>
      <c r="D750" s="2" t="s">
        <v>123</v>
      </c>
      <c r="E750" s="4">
        <v>45981</v>
      </c>
      <c r="F750" s="2">
        <f t="shared" si="23"/>
        <v>242</v>
      </c>
      <c r="G750" s="2">
        <v>2</v>
      </c>
      <c r="H750" s="1" t="s">
        <v>11</v>
      </c>
      <c r="I750" s="1">
        <v>5</v>
      </c>
      <c r="J750" s="1">
        <v>0</v>
      </c>
      <c r="K750" s="2"/>
      <c r="L750" s="2"/>
      <c r="M750" s="2"/>
      <c r="N750" s="2"/>
      <c r="O750" s="2"/>
      <c r="P750" s="2"/>
      <c r="Q750" s="2"/>
    </row>
    <row r="751" spans="1:17">
      <c r="A751" s="1" t="s">
        <v>25</v>
      </c>
      <c r="B751" s="1">
        <v>256</v>
      </c>
      <c r="C751" s="1" t="s">
        <v>116</v>
      </c>
      <c r="D751" s="2" t="s">
        <v>123</v>
      </c>
      <c r="E751" s="4">
        <v>45981</v>
      </c>
      <c r="F751" s="2">
        <f t="shared" si="23"/>
        <v>242</v>
      </c>
      <c r="G751" s="2">
        <v>3</v>
      </c>
      <c r="H751" s="1" t="s">
        <v>11</v>
      </c>
      <c r="I751" s="1">
        <v>1</v>
      </c>
      <c r="J751" s="1">
        <v>6</v>
      </c>
      <c r="K751" s="2"/>
      <c r="L751" s="2"/>
      <c r="M751" s="2"/>
      <c r="N751" s="2"/>
      <c r="O751" s="2"/>
      <c r="P751" s="2"/>
      <c r="Q751" s="2"/>
    </row>
    <row r="752" spans="1:17">
      <c r="A752" s="1" t="s">
        <v>25</v>
      </c>
      <c r="B752" s="1">
        <v>256</v>
      </c>
      <c r="C752" s="1" t="s">
        <v>116</v>
      </c>
      <c r="D752" s="2" t="s">
        <v>123</v>
      </c>
      <c r="E752" s="4">
        <v>45982</v>
      </c>
      <c r="F752" s="2">
        <f t="shared" si="23"/>
        <v>243</v>
      </c>
      <c r="G752" s="2">
        <v>1</v>
      </c>
      <c r="H752" s="1" t="s">
        <v>11</v>
      </c>
      <c r="I752" s="1">
        <v>3</v>
      </c>
      <c r="J752" s="1">
        <v>3</v>
      </c>
      <c r="K752" s="2"/>
      <c r="L752" s="2"/>
      <c r="M752" s="2"/>
      <c r="N752" s="2"/>
      <c r="O752" s="2"/>
      <c r="P752" s="2"/>
      <c r="Q752" s="2"/>
    </row>
    <row r="753" spans="1:17">
      <c r="A753" s="1" t="s">
        <v>25</v>
      </c>
      <c r="B753" s="1">
        <v>256</v>
      </c>
      <c r="C753" s="1" t="s">
        <v>116</v>
      </c>
      <c r="D753" s="2" t="s">
        <v>123</v>
      </c>
      <c r="E753" s="4">
        <v>45982</v>
      </c>
      <c r="F753" s="2">
        <f t="shared" si="23"/>
        <v>243</v>
      </c>
      <c r="G753" s="2">
        <v>2</v>
      </c>
      <c r="H753" s="1" t="s">
        <v>11</v>
      </c>
      <c r="I753" s="1">
        <v>2</v>
      </c>
      <c r="J753" s="1">
        <v>3</v>
      </c>
      <c r="K753" s="2"/>
      <c r="L753" s="2"/>
      <c r="M753" s="2"/>
      <c r="N753" s="2"/>
      <c r="O753" s="2"/>
      <c r="P753" s="2"/>
      <c r="Q753" s="2"/>
    </row>
    <row r="754" spans="1:17">
      <c r="A754" s="1" t="s">
        <v>25</v>
      </c>
      <c r="B754" s="1">
        <v>256</v>
      </c>
      <c r="C754" s="1" t="s">
        <v>116</v>
      </c>
      <c r="D754" s="2" t="s">
        <v>123</v>
      </c>
      <c r="E754" s="4">
        <v>45982</v>
      </c>
      <c r="F754" s="2">
        <f t="shared" si="23"/>
        <v>243</v>
      </c>
      <c r="G754" s="2">
        <v>3</v>
      </c>
      <c r="H754" s="1" t="s">
        <v>11</v>
      </c>
      <c r="I754" s="1">
        <v>4</v>
      </c>
      <c r="J754" s="1">
        <v>7</v>
      </c>
      <c r="K754" s="2"/>
      <c r="L754" s="2"/>
      <c r="M754" s="2"/>
      <c r="N754" s="2"/>
      <c r="O754" s="2"/>
      <c r="P754" s="2"/>
      <c r="Q754" s="2"/>
    </row>
    <row r="755" spans="1:17">
      <c r="A755" s="1" t="s">
        <v>25</v>
      </c>
      <c r="B755" s="1">
        <v>256</v>
      </c>
      <c r="C755" s="1" t="s">
        <v>116</v>
      </c>
      <c r="D755" s="2" t="s">
        <v>123</v>
      </c>
      <c r="E755" s="4">
        <v>45992</v>
      </c>
      <c r="F755" s="2">
        <f t="shared" si="23"/>
        <v>244</v>
      </c>
      <c r="G755" s="2">
        <v>1</v>
      </c>
      <c r="H755" s="1" t="s">
        <v>11</v>
      </c>
      <c r="I755" s="1">
        <v>5</v>
      </c>
      <c r="J755" s="1">
        <v>1</v>
      </c>
      <c r="K755" s="2"/>
      <c r="L755" s="2"/>
      <c r="M755" s="2"/>
      <c r="N755" s="2"/>
      <c r="O755" s="2"/>
      <c r="P755" s="2"/>
      <c r="Q755" s="2"/>
    </row>
    <row r="756" spans="1:17">
      <c r="A756" s="1" t="s">
        <v>25</v>
      </c>
      <c r="B756" s="1">
        <v>256</v>
      </c>
      <c r="C756" s="1" t="s">
        <v>116</v>
      </c>
      <c r="D756" s="2" t="s">
        <v>123</v>
      </c>
      <c r="E756" s="4">
        <v>45992</v>
      </c>
      <c r="F756" s="2">
        <f t="shared" si="23"/>
        <v>244</v>
      </c>
      <c r="G756" s="2">
        <v>2</v>
      </c>
      <c r="H756" s="1" t="s">
        <v>11</v>
      </c>
      <c r="I756" s="1">
        <v>1</v>
      </c>
      <c r="J756" s="1">
        <v>6</v>
      </c>
      <c r="K756" s="2"/>
      <c r="L756" s="2"/>
      <c r="M756" s="2"/>
      <c r="N756" s="2"/>
      <c r="O756" s="2"/>
      <c r="P756" s="2"/>
      <c r="Q756" s="2"/>
    </row>
    <row r="757" spans="1:17">
      <c r="A757" s="1" t="s">
        <v>25</v>
      </c>
      <c r="B757" s="1">
        <v>256</v>
      </c>
      <c r="C757" s="1" t="s">
        <v>116</v>
      </c>
      <c r="D757" s="2" t="s">
        <v>123</v>
      </c>
      <c r="E757" s="4">
        <v>45992</v>
      </c>
      <c r="F757" s="2">
        <f t="shared" si="23"/>
        <v>244</v>
      </c>
      <c r="G757" s="2">
        <v>3</v>
      </c>
      <c r="H757" s="1" t="s">
        <v>11</v>
      </c>
      <c r="I757" s="1">
        <v>3</v>
      </c>
      <c r="J757" s="1">
        <v>2</v>
      </c>
      <c r="K757" s="2"/>
      <c r="L757" s="2"/>
      <c r="M757" s="2"/>
      <c r="N757" s="2"/>
      <c r="O757" s="2"/>
      <c r="P757" s="2"/>
      <c r="Q757" s="2"/>
    </row>
    <row r="758" spans="1:17">
      <c r="A758" s="1" t="s">
        <v>25</v>
      </c>
      <c r="B758" s="1">
        <v>256</v>
      </c>
      <c r="C758" s="1" t="s">
        <v>116</v>
      </c>
      <c r="D758" s="2" t="s">
        <v>123</v>
      </c>
      <c r="E758" s="4">
        <v>45992</v>
      </c>
      <c r="F758" s="2">
        <v>244</v>
      </c>
      <c r="G758" s="2" t="s">
        <v>82</v>
      </c>
      <c r="H758" s="1" t="s">
        <v>11</v>
      </c>
      <c r="I758" s="1">
        <v>3</v>
      </c>
      <c r="J758" s="1">
        <v>3</v>
      </c>
      <c r="K758" s="2"/>
      <c r="L758" s="2"/>
      <c r="M758" s="2"/>
      <c r="N758" s="2"/>
      <c r="O758" s="2"/>
      <c r="P758" s="2"/>
      <c r="Q758" s="2"/>
    </row>
    <row r="759" spans="1:17">
      <c r="A759" s="1" t="s">
        <v>25</v>
      </c>
      <c r="B759" s="1">
        <v>256</v>
      </c>
      <c r="C759" s="1" t="s">
        <v>116</v>
      </c>
      <c r="D759" s="2" t="s">
        <v>123</v>
      </c>
      <c r="E759" s="4">
        <v>45992</v>
      </c>
      <c r="F759" s="2">
        <v>244</v>
      </c>
      <c r="G759" s="2" t="s">
        <v>83</v>
      </c>
      <c r="H759" s="1" t="s">
        <v>11</v>
      </c>
      <c r="I759" s="1">
        <v>3</v>
      </c>
      <c r="J759" s="1">
        <v>6</v>
      </c>
      <c r="K759" s="2"/>
      <c r="L759" s="2"/>
      <c r="M759" s="2"/>
      <c r="N759" s="2"/>
      <c r="O759" s="2"/>
      <c r="P759" s="2"/>
      <c r="Q759" s="2"/>
    </row>
    <row r="760" spans="1:17">
      <c r="A760" s="1" t="s">
        <v>25</v>
      </c>
      <c r="B760" s="1">
        <v>256</v>
      </c>
      <c r="C760" s="1" t="s">
        <v>116</v>
      </c>
      <c r="D760" s="2" t="s">
        <v>123</v>
      </c>
      <c r="E760" s="4">
        <v>45993</v>
      </c>
      <c r="F760" s="2">
        <f t="shared" ref="F760:F777" si="24">F757+1</f>
        <v>245</v>
      </c>
      <c r="G760" s="2">
        <v>1</v>
      </c>
      <c r="H760" s="1" t="s">
        <v>9</v>
      </c>
      <c r="I760" s="1">
        <v>3</v>
      </c>
      <c r="J760" s="1">
        <v>0</v>
      </c>
      <c r="K760" s="2"/>
      <c r="L760" s="2"/>
      <c r="M760" s="2"/>
      <c r="N760" s="2"/>
      <c r="O760" s="2"/>
      <c r="P760" s="2"/>
      <c r="Q760" s="2"/>
    </row>
    <row r="761" spans="1:17">
      <c r="A761" s="1" t="s">
        <v>25</v>
      </c>
      <c r="B761" s="1">
        <v>256</v>
      </c>
      <c r="C761" s="1" t="s">
        <v>116</v>
      </c>
      <c r="D761" s="2" t="s">
        <v>123</v>
      </c>
      <c r="E761" s="4">
        <v>45993</v>
      </c>
      <c r="F761" s="2">
        <f t="shared" si="24"/>
        <v>245</v>
      </c>
      <c r="G761" s="2">
        <v>2</v>
      </c>
      <c r="H761" s="1" t="s">
        <v>9</v>
      </c>
      <c r="I761" s="1">
        <v>6</v>
      </c>
      <c r="J761" s="1">
        <v>6</v>
      </c>
      <c r="K761" s="2"/>
      <c r="L761" s="2"/>
      <c r="M761" s="2"/>
      <c r="N761" s="2"/>
      <c r="O761" s="2"/>
      <c r="P761" s="2"/>
      <c r="Q761" s="2"/>
    </row>
    <row r="762" spans="1:17">
      <c r="A762" s="1" t="s">
        <v>25</v>
      </c>
      <c r="B762" s="1">
        <v>256</v>
      </c>
      <c r="C762" s="1" t="s">
        <v>116</v>
      </c>
      <c r="D762" s="2" t="s">
        <v>123</v>
      </c>
      <c r="E762" s="4">
        <v>45993</v>
      </c>
      <c r="F762" s="2">
        <f t="shared" si="24"/>
        <v>245</v>
      </c>
      <c r="G762" s="2">
        <v>3</v>
      </c>
      <c r="H762" s="1" t="s">
        <v>9</v>
      </c>
      <c r="I762" s="1">
        <v>5</v>
      </c>
      <c r="J762" s="1">
        <v>6</v>
      </c>
      <c r="K762" s="2"/>
      <c r="L762" s="2"/>
      <c r="M762" s="2"/>
      <c r="N762" s="2"/>
      <c r="O762" s="2"/>
      <c r="P762" s="2"/>
      <c r="Q762" s="2"/>
    </row>
    <row r="763" spans="1:17">
      <c r="A763" s="1" t="s">
        <v>25</v>
      </c>
      <c r="B763" s="1">
        <v>256</v>
      </c>
      <c r="C763" s="1" t="s">
        <v>116</v>
      </c>
      <c r="D763" s="2" t="s">
        <v>123</v>
      </c>
      <c r="E763" s="4">
        <v>45994</v>
      </c>
      <c r="F763" s="2">
        <f t="shared" si="24"/>
        <v>246</v>
      </c>
      <c r="G763" s="2">
        <v>1</v>
      </c>
      <c r="H763" s="1" t="s">
        <v>9</v>
      </c>
      <c r="I763" s="1">
        <v>4</v>
      </c>
      <c r="J763" s="1">
        <v>4</v>
      </c>
      <c r="K763" s="2"/>
      <c r="L763" s="2"/>
      <c r="M763" s="2"/>
      <c r="N763" s="2"/>
      <c r="O763" s="2"/>
      <c r="P763" s="2"/>
      <c r="Q763" s="2"/>
    </row>
    <row r="764" spans="1:17">
      <c r="A764" s="1" t="s">
        <v>25</v>
      </c>
      <c r="B764" s="1">
        <v>256</v>
      </c>
      <c r="C764" s="1" t="s">
        <v>116</v>
      </c>
      <c r="D764" s="2" t="s">
        <v>123</v>
      </c>
      <c r="E764" s="4">
        <v>45994</v>
      </c>
      <c r="F764" s="2">
        <f t="shared" si="24"/>
        <v>246</v>
      </c>
      <c r="G764" s="2">
        <v>2</v>
      </c>
      <c r="H764" s="1" t="s">
        <v>9</v>
      </c>
      <c r="I764" s="1">
        <v>4</v>
      </c>
      <c r="J764" s="1">
        <v>3</v>
      </c>
      <c r="K764" s="2"/>
      <c r="L764" s="2"/>
      <c r="M764" s="2"/>
      <c r="N764" s="2"/>
      <c r="O764" s="2"/>
      <c r="P764" s="2"/>
      <c r="Q764" s="2"/>
    </row>
    <row r="765" spans="1:17">
      <c r="A765" s="1" t="s">
        <v>25</v>
      </c>
      <c r="B765" s="1">
        <v>256</v>
      </c>
      <c r="C765" s="1" t="s">
        <v>116</v>
      </c>
      <c r="D765" s="2" t="s">
        <v>123</v>
      </c>
      <c r="E765" s="4">
        <v>45994</v>
      </c>
      <c r="F765" s="2">
        <f t="shared" si="24"/>
        <v>246</v>
      </c>
      <c r="G765" s="2">
        <v>3</v>
      </c>
      <c r="H765" s="1" t="s">
        <v>9</v>
      </c>
      <c r="I765" s="1">
        <v>5</v>
      </c>
      <c r="J765" s="1">
        <v>4</v>
      </c>
      <c r="K765" s="2"/>
      <c r="L765" s="2"/>
      <c r="M765" s="2"/>
      <c r="N765" s="2"/>
      <c r="O765" s="2"/>
      <c r="P765" s="2"/>
      <c r="Q765" s="2"/>
    </row>
    <row r="766" spans="1:17">
      <c r="A766" s="1" t="s">
        <v>25</v>
      </c>
      <c r="B766" s="1">
        <v>256</v>
      </c>
      <c r="C766" s="1" t="s">
        <v>116</v>
      </c>
      <c r="D766" s="2" t="s">
        <v>123</v>
      </c>
      <c r="E766" s="4">
        <v>45995</v>
      </c>
      <c r="F766" s="2">
        <f t="shared" si="24"/>
        <v>247</v>
      </c>
      <c r="G766" s="2">
        <v>1</v>
      </c>
      <c r="H766" s="1" t="s">
        <v>11</v>
      </c>
      <c r="I766" s="1">
        <v>2</v>
      </c>
      <c r="J766" s="1">
        <v>1</v>
      </c>
      <c r="K766" s="2"/>
      <c r="L766" s="2"/>
      <c r="M766" s="2"/>
      <c r="N766" s="2"/>
      <c r="O766" s="2"/>
      <c r="P766" s="2"/>
      <c r="Q766" s="2"/>
    </row>
    <row r="767" spans="1:17">
      <c r="A767" s="1" t="s">
        <v>25</v>
      </c>
      <c r="B767" s="1">
        <v>256</v>
      </c>
      <c r="C767" s="1" t="s">
        <v>116</v>
      </c>
      <c r="D767" s="2" t="s">
        <v>123</v>
      </c>
      <c r="E767" s="4">
        <v>45995</v>
      </c>
      <c r="F767" s="2">
        <f t="shared" si="24"/>
        <v>247</v>
      </c>
      <c r="G767" s="2">
        <v>2</v>
      </c>
      <c r="H767" s="1" t="s">
        <v>11</v>
      </c>
      <c r="I767" s="1">
        <v>3</v>
      </c>
      <c r="J767" s="1">
        <v>3</v>
      </c>
      <c r="K767" s="2"/>
      <c r="L767" s="2"/>
      <c r="M767" s="2"/>
      <c r="N767" s="2"/>
      <c r="O767" s="2"/>
      <c r="P767" s="2"/>
      <c r="Q767" s="2"/>
    </row>
    <row r="768" spans="1:17">
      <c r="A768" s="1" t="s">
        <v>25</v>
      </c>
      <c r="B768" s="1">
        <v>256</v>
      </c>
      <c r="C768" s="1" t="s">
        <v>116</v>
      </c>
      <c r="D768" s="2" t="s">
        <v>123</v>
      </c>
      <c r="E768" s="4">
        <v>45995</v>
      </c>
      <c r="F768" s="2">
        <f t="shared" si="24"/>
        <v>247</v>
      </c>
      <c r="G768" s="2">
        <v>3</v>
      </c>
      <c r="H768" s="1" t="s">
        <v>11</v>
      </c>
      <c r="I768" s="1">
        <v>2</v>
      </c>
      <c r="J768" s="1">
        <v>2</v>
      </c>
      <c r="K768" s="2"/>
      <c r="L768" s="2"/>
      <c r="M768" s="2"/>
      <c r="N768" s="2"/>
      <c r="O768" s="2"/>
      <c r="P768" s="2"/>
      <c r="Q768" s="2"/>
    </row>
    <row r="769" spans="1:17">
      <c r="A769" s="1" t="s">
        <v>25</v>
      </c>
      <c r="B769" s="1">
        <v>256</v>
      </c>
      <c r="C769" s="1" t="s">
        <v>116</v>
      </c>
      <c r="D769" s="2" t="s">
        <v>123</v>
      </c>
      <c r="E769" s="4">
        <v>45996</v>
      </c>
      <c r="F769" s="2">
        <f t="shared" si="24"/>
        <v>248</v>
      </c>
      <c r="G769" s="2">
        <v>1</v>
      </c>
      <c r="H769" s="1" t="s">
        <v>11</v>
      </c>
      <c r="I769" s="1">
        <v>6</v>
      </c>
      <c r="J769" s="1">
        <v>2</v>
      </c>
      <c r="K769" s="2"/>
      <c r="L769" s="2"/>
      <c r="M769" s="2"/>
      <c r="N769" s="2"/>
      <c r="O769" s="2"/>
      <c r="P769" s="2"/>
      <c r="Q769" s="2"/>
    </row>
    <row r="770" spans="1:17">
      <c r="A770" s="1" t="s">
        <v>25</v>
      </c>
      <c r="B770" s="1">
        <v>256</v>
      </c>
      <c r="C770" s="1" t="s">
        <v>116</v>
      </c>
      <c r="D770" s="2" t="s">
        <v>123</v>
      </c>
      <c r="E770" s="4">
        <v>45996</v>
      </c>
      <c r="F770" s="2">
        <f t="shared" si="24"/>
        <v>248</v>
      </c>
      <c r="G770" s="2">
        <v>2</v>
      </c>
      <c r="H770" s="1" t="s">
        <v>11</v>
      </c>
      <c r="I770" s="1">
        <v>4</v>
      </c>
      <c r="J770" s="1">
        <v>2</v>
      </c>
      <c r="K770" s="2"/>
      <c r="L770" s="2"/>
      <c r="M770" s="2"/>
      <c r="N770" s="2"/>
      <c r="O770" s="2"/>
      <c r="P770" s="2"/>
      <c r="Q770" s="2"/>
    </row>
    <row r="771" spans="1:17">
      <c r="A771" s="1" t="s">
        <v>25</v>
      </c>
      <c r="B771" s="1">
        <v>256</v>
      </c>
      <c r="C771" s="1" t="s">
        <v>116</v>
      </c>
      <c r="D771" s="2" t="s">
        <v>123</v>
      </c>
      <c r="E771" s="4">
        <v>45996</v>
      </c>
      <c r="F771" s="2">
        <f t="shared" si="24"/>
        <v>248</v>
      </c>
      <c r="G771" s="2">
        <v>3</v>
      </c>
      <c r="H771" s="1" t="s">
        <v>11</v>
      </c>
      <c r="I771" s="1">
        <v>5</v>
      </c>
      <c r="J771" s="1">
        <v>2</v>
      </c>
      <c r="K771" s="2"/>
      <c r="L771" s="2"/>
      <c r="M771" s="2"/>
      <c r="N771" s="2"/>
      <c r="O771" s="2"/>
      <c r="P771" s="2"/>
      <c r="Q771" s="2"/>
    </row>
    <row r="772" spans="1:17">
      <c r="A772" s="1" t="s">
        <v>25</v>
      </c>
      <c r="B772" s="1">
        <v>256</v>
      </c>
      <c r="C772" s="1" t="s">
        <v>116</v>
      </c>
      <c r="D772" s="2" t="s">
        <v>123</v>
      </c>
      <c r="E772" s="4">
        <v>45999</v>
      </c>
      <c r="F772" s="2">
        <f t="shared" si="24"/>
        <v>249</v>
      </c>
      <c r="G772" s="2">
        <v>1</v>
      </c>
      <c r="H772" s="1" t="s">
        <v>8</v>
      </c>
      <c r="I772" s="1">
        <v>1</v>
      </c>
      <c r="J772" s="1">
        <v>8</v>
      </c>
      <c r="K772" s="2">
        <v>1</v>
      </c>
      <c r="L772" s="2"/>
      <c r="M772" s="2"/>
      <c r="N772" s="2"/>
      <c r="O772" s="2"/>
      <c r="P772" s="2"/>
      <c r="Q772" s="2"/>
    </row>
    <row r="773" spans="1:17">
      <c r="A773" s="1" t="s">
        <v>25</v>
      </c>
      <c r="B773" s="1">
        <v>256</v>
      </c>
      <c r="C773" s="1" t="s">
        <v>116</v>
      </c>
      <c r="D773" s="2" t="s">
        <v>123</v>
      </c>
      <c r="E773" s="4">
        <v>45999</v>
      </c>
      <c r="F773" s="2">
        <f t="shared" si="24"/>
        <v>249</v>
      </c>
      <c r="G773" s="2">
        <v>2</v>
      </c>
      <c r="H773" s="1" t="s">
        <v>8</v>
      </c>
      <c r="I773" s="1">
        <v>5</v>
      </c>
      <c r="J773" s="1">
        <v>5</v>
      </c>
      <c r="K773" s="2">
        <v>1</v>
      </c>
      <c r="L773" s="2"/>
      <c r="M773" s="2"/>
      <c r="N773" s="2"/>
      <c r="O773" s="2"/>
      <c r="P773" s="2"/>
      <c r="Q773" s="2"/>
    </row>
    <row r="774" spans="1:17">
      <c r="A774" s="1" t="s">
        <v>25</v>
      </c>
      <c r="B774" s="1">
        <v>256</v>
      </c>
      <c r="C774" s="1" t="s">
        <v>116</v>
      </c>
      <c r="D774" s="2" t="s">
        <v>123</v>
      </c>
      <c r="E774" s="4">
        <v>45999</v>
      </c>
      <c r="F774" s="2">
        <f t="shared" si="24"/>
        <v>249</v>
      </c>
      <c r="G774" s="2">
        <v>3</v>
      </c>
      <c r="H774" s="1" t="s">
        <v>8</v>
      </c>
      <c r="I774" s="1">
        <v>6</v>
      </c>
      <c r="J774" s="1">
        <v>2</v>
      </c>
      <c r="K774" s="2">
        <v>0</v>
      </c>
      <c r="L774" s="2"/>
      <c r="M774" s="2"/>
      <c r="N774" s="2"/>
      <c r="O774" s="2"/>
      <c r="P774" s="2"/>
      <c r="Q774" s="2"/>
    </row>
    <row r="775" spans="1:17">
      <c r="A775" s="1" t="s">
        <v>25</v>
      </c>
      <c r="B775" s="1">
        <v>256</v>
      </c>
      <c r="C775" s="1" t="s">
        <v>116</v>
      </c>
      <c r="D775" s="2" t="s">
        <v>123</v>
      </c>
      <c r="E775" s="4">
        <v>45999</v>
      </c>
      <c r="F775" s="2">
        <v>250</v>
      </c>
      <c r="G775" s="2">
        <v>1</v>
      </c>
      <c r="H775" s="1" t="s">
        <v>10</v>
      </c>
      <c r="I775" s="1">
        <v>6</v>
      </c>
      <c r="J775" s="1">
        <v>4</v>
      </c>
      <c r="K775" s="2">
        <v>0</v>
      </c>
      <c r="L775" s="2"/>
      <c r="M775" s="2"/>
      <c r="N775" s="2"/>
      <c r="O775" s="2"/>
      <c r="P775" s="2"/>
      <c r="Q775" s="2"/>
    </row>
    <row r="776" spans="1:17">
      <c r="A776" s="1" t="s">
        <v>25</v>
      </c>
      <c r="B776" s="1">
        <v>256</v>
      </c>
      <c r="C776" s="1" t="s">
        <v>116</v>
      </c>
      <c r="D776" s="2" t="s">
        <v>123</v>
      </c>
      <c r="E776" s="4">
        <v>45999</v>
      </c>
      <c r="F776" s="2">
        <f t="shared" si="24"/>
        <v>250</v>
      </c>
      <c r="G776" s="2">
        <v>2</v>
      </c>
      <c r="H776" s="1" t="s">
        <v>10</v>
      </c>
      <c r="I776" s="1">
        <v>0</v>
      </c>
      <c r="J776" s="1">
        <v>4</v>
      </c>
      <c r="K776" s="2">
        <v>4</v>
      </c>
      <c r="L776" s="2"/>
      <c r="M776" s="2"/>
      <c r="N776" s="2"/>
      <c r="O776" s="2"/>
      <c r="P776" s="2"/>
      <c r="Q776" s="2"/>
    </row>
    <row r="777" spans="1:17">
      <c r="A777" s="1" t="s">
        <v>25</v>
      </c>
      <c r="B777" s="1">
        <v>256</v>
      </c>
      <c r="C777" s="1" t="s">
        <v>116</v>
      </c>
      <c r="D777" s="2" t="s">
        <v>123</v>
      </c>
      <c r="E777" s="4">
        <v>45999</v>
      </c>
      <c r="F777" s="2">
        <f t="shared" si="24"/>
        <v>250</v>
      </c>
      <c r="G777" s="2">
        <v>3</v>
      </c>
      <c r="H777" s="1" t="s">
        <v>10</v>
      </c>
      <c r="I777" s="1">
        <v>4</v>
      </c>
      <c r="J777" s="1">
        <v>2</v>
      </c>
      <c r="K777" s="2">
        <v>3</v>
      </c>
      <c r="L777" s="2"/>
      <c r="M777" s="2"/>
      <c r="N777" s="2"/>
      <c r="O777" s="2"/>
      <c r="P777" s="2"/>
      <c r="Q777" s="2"/>
    </row>
    <row r="778" spans="1:17">
      <c r="A778" s="1" t="s">
        <v>25</v>
      </c>
      <c r="B778" s="1">
        <v>256</v>
      </c>
      <c r="C778" s="1" t="s">
        <v>116</v>
      </c>
      <c r="D778" s="2" t="s">
        <v>123</v>
      </c>
      <c r="E778" s="4">
        <v>45999</v>
      </c>
      <c r="F778" s="2">
        <v>250</v>
      </c>
      <c r="G778" s="2" t="s">
        <v>82</v>
      </c>
      <c r="H778" s="1" t="s">
        <v>10</v>
      </c>
      <c r="I778" s="1">
        <v>3</v>
      </c>
      <c r="J778" s="1">
        <v>6</v>
      </c>
      <c r="K778" s="2"/>
      <c r="L778" s="2"/>
      <c r="M778" s="2"/>
      <c r="N778" s="2"/>
      <c r="O778" s="2"/>
      <c r="P778" s="2"/>
      <c r="Q778" s="2"/>
    </row>
    <row r="779" spans="1:17">
      <c r="A779" s="1" t="s">
        <v>25</v>
      </c>
      <c r="B779" s="1">
        <v>256</v>
      </c>
      <c r="C779" s="1" t="s">
        <v>116</v>
      </c>
      <c r="D779" s="2" t="s">
        <v>123</v>
      </c>
      <c r="E779" s="4">
        <v>46000</v>
      </c>
      <c r="F779" s="2">
        <f t="shared" ref="F779:F844" si="25">F776+1</f>
        <v>251</v>
      </c>
      <c r="G779" s="2">
        <v>1</v>
      </c>
      <c r="H779" s="1" t="s">
        <v>11</v>
      </c>
      <c r="I779" s="1">
        <v>4</v>
      </c>
      <c r="J779" s="1">
        <v>3</v>
      </c>
      <c r="K779" s="2"/>
      <c r="L779" s="2"/>
      <c r="M779" s="2"/>
      <c r="N779" s="2"/>
      <c r="O779" s="2"/>
      <c r="P779" s="2"/>
      <c r="Q779" s="2"/>
    </row>
    <row r="780" spans="1:17">
      <c r="A780" s="1" t="s">
        <v>25</v>
      </c>
      <c r="B780" s="1">
        <v>256</v>
      </c>
      <c r="C780" s="1" t="s">
        <v>116</v>
      </c>
      <c r="D780" s="2" t="s">
        <v>123</v>
      </c>
      <c r="E780" s="4">
        <v>46000</v>
      </c>
      <c r="F780" s="2">
        <f t="shared" si="25"/>
        <v>251</v>
      </c>
      <c r="G780" s="2">
        <v>2</v>
      </c>
      <c r="H780" s="1" t="s">
        <v>11</v>
      </c>
      <c r="I780" s="1">
        <v>6</v>
      </c>
      <c r="J780" s="1">
        <v>4</v>
      </c>
      <c r="K780" s="2"/>
      <c r="L780" s="2"/>
      <c r="M780" s="2"/>
      <c r="N780" s="2"/>
      <c r="O780" s="2"/>
      <c r="P780" s="2"/>
      <c r="Q780" s="2"/>
    </row>
    <row r="781" spans="1:17">
      <c r="A781" s="1" t="s">
        <v>25</v>
      </c>
      <c r="B781" s="1">
        <v>256</v>
      </c>
      <c r="C781" s="1" t="s">
        <v>116</v>
      </c>
      <c r="D781" s="2" t="s">
        <v>123</v>
      </c>
      <c r="E781" s="4">
        <v>46000</v>
      </c>
      <c r="F781" s="2">
        <f t="shared" si="25"/>
        <v>251</v>
      </c>
      <c r="G781" s="2">
        <v>3</v>
      </c>
      <c r="H781" s="1" t="s">
        <v>11</v>
      </c>
      <c r="I781" s="1">
        <v>3</v>
      </c>
      <c r="J781" s="1">
        <v>4</v>
      </c>
      <c r="K781" s="2"/>
      <c r="L781" s="2"/>
      <c r="M781" s="2"/>
      <c r="N781" s="2"/>
      <c r="O781" s="2"/>
      <c r="P781" s="2"/>
      <c r="Q781" s="2"/>
    </row>
    <row r="782" spans="1:17">
      <c r="A782" s="1" t="s">
        <v>25</v>
      </c>
      <c r="B782" s="1">
        <v>256</v>
      </c>
      <c r="C782" s="1" t="s">
        <v>116</v>
      </c>
      <c r="D782" s="2" t="s">
        <v>123</v>
      </c>
      <c r="E782" s="4">
        <v>46006</v>
      </c>
      <c r="F782" s="2">
        <f t="shared" si="25"/>
        <v>252</v>
      </c>
      <c r="G782" s="2">
        <v>1</v>
      </c>
      <c r="H782" s="1" t="s">
        <v>121</v>
      </c>
      <c r="I782" s="1">
        <v>4</v>
      </c>
      <c r="K782" s="2">
        <v>0</v>
      </c>
      <c r="L782" s="2"/>
      <c r="M782" s="2"/>
      <c r="N782" s="2"/>
      <c r="O782" s="2"/>
      <c r="P782" s="2"/>
      <c r="Q782" s="2"/>
    </row>
    <row r="783" spans="1:17">
      <c r="A783" s="1" t="s">
        <v>25</v>
      </c>
      <c r="B783" s="1">
        <v>256</v>
      </c>
      <c r="C783" s="1" t="s">
        <v>116</v>
      </c>
      <c r="D783" s="2" t="s">
        <v>123</v>
      </c>
      <c r="E783" s="4">
        <v>46006</v>
      </c>
      <c r="F783" s="2">
        <f t="shared" si="25"/>
        <v>252</v>
      </c>
      <c r="G783" s="2">
        <v>2</v>
      </c>
      <c r="H783" s="1" t="s">
        <v>121</v>
      </c>
      <c r="I783" s="1">
        <v>4</v>
      </c>
      <c r="K783" s="2">
        <v>2</v>
      </c>
      <c r="L783" s="2"/>
      <c r="M783" s="2"/>
      <c r="N783" s="2"/>
      <c r="O783" s="2"/>
      <c r="P783" s="2"/>
      <c r="Q783" s="2"/>
    </row>
    <row r="784" spans="1:17">
      <c r="A784" s="1" t="s">
        <v>25</v>
      </c>
      <c r="B784" s="1">
        <v>256</v>
      </c>
      <c r="C784" s="1" t="s">
        <v>116</v>
      </c>
      <c r="D784" s="2" t="s">
        <v>123</v>
      </c>
      <c r="E784" s="4">
        <v>46006</v>
      </c>
      <c r="F784" s="2">
        <f t="shared" si="25"/>
        <v>252</v>
      </c>
      <c r="G784" s="2">
        <v>3</v>
      </c>
      <c r="H784" s="1" t="s">
        <v>121</v>
      </c>
      <c r="I784" s="1">
        <v>3</v>
      </c>
      <c r="K784" s="2">
        <v>3</v>
      </c>
      <c r="L784" s="2"/>
      <c r="M784" s="2"/>
      <c r="N784" s="2"/>
      <c r="O784" s="2"/>
      <c r="P784" s="2"/>
      <c r="Q784" s="2"/>
    </row>
    <row r="785" spans="1:17">
      <c r="A785" s="1" t="s">
        <v>25</v>
      </c>
      <c r="B785" s="1">
        <v>256</v>
      </c>
      <c r="C785" s="1" t="s">
        <v>116</v>
      </c>
      <c r="D785" s="2" t="s">
        <v>123</v>
      </c>
      <c r="E785" s="4">
        <v>46034</v>
      </c>
      <c r="F785" s="2">
        <f t="shared" si="25"/>
        <v>253</v>
      </c>
      <c r="G785" s="2">
        <v>1</v>
      </c>
      <c r="H785" s="1" t="s">
        <v>9</v>
      </c>
      <c r="I785" s="1">
        <v>9</v>
      </c>
      <c r="J785" s="1">
        <v>6</v>
      </c>
      <c r="K785" s="2"/>
      <c r="L785" s="2"/>
      <c r="M785" s="2"/>
      <c r="N785" s="2"/>
      <c r="O785" s="2"/>
      <c r="P785" s="2"/>
      <c r="Q785" s="2"/>
    </row>
    <row r="786" spans="1:17">
      <c r="A786" s="1" t="s">
        <v>25</v>
      </c>
      <c r="B786" s="1">
        <v>256</v>
      </c>
      <c r="C786" s="1" t="s">
        <v>116</v>
      </c>
      <c r="D786" s="2" t="s">
        <v>123</v>
      </c>
      <c r="E786" s="4">
        <v>46034</v>
      </c>
      <c r="F786" s="2">
        <f t="shared" si="25"/>
        <v>253</v>
      </c>
      <c r="G786" s="2">
        <v>2</v>
      </c>
      <c r="H786" s="1" t="s">
        <v>9</v>
      </c>
      <c r="I786" s="1">
        <v>6</v>
      </c>
      <c r="J786" s="1">
        <v>2</v>
      </c>
      <c r="K786" s="2"/>
      <c r="L786" s="2"/>
      <c r="M786" s="2"/>
      <c r="N786" s="2"/>
      <c r="O786" s="2"/>
      <c r="P786" s="2"/>
      <c r="Q786" s="2"/>
    </row>
    <row r="787" spans="1:17">
      <c r="A787" s="1" t="s">
        <v>25</v>
      </c>
      <c r="B787" s="1">
        <v>256</v>
      </c>
      <c r="C787" s="1" t="s">
        <v>116</v>
      </c>
      <c r="D787" s="2" t="s">
        <v>123</v>
      </c>
      <c r="E787" s="4">
        <v>46034</v>
      </c>
      <c r="F787" s="2">
        <f t="shared" si="25"/>
        <v>253</v>
      </c>
      <c r="G787" s="2">
        <v>3</v>
      </c>
      <c r="H787" s="1" t="s">
        <v>9</v>
      </c>
      <c r="I787" s="1">
        <v>4</v>
      </c>
      <c r="J787" s="1">
        <v>4</v>
      </c>
      <c r="K787" s="2"/>
      <c r="L787" s="2"/>
      <c r="M787" s="2"/>
      <c r="N787" s="2"/>
      <c r="O787" s="2"/>
      <c r="P787" s="2"/>
      <c r="Q787" s="2"/>
    </row>
    <row r="788" spans="1:17">
      <c r="A788" s="1" t="s">
        <v>25</v>
      </c>
      <c r="B788" s="1">
        <v>256</v>
      </c>
      <c r="C788" s="1" t="s">
        <v>116</v>
      </c>
      <c r="D788" s="2" t="s">
        <v>123</v>
      </c>
      <c r="E788" s="4">
        <v>46035</v>
      </c>
      <c r="F788" s="2">
        <f t="shared" si="25"/>
        <v>254</v>
      </c>
      <c r="G788" s="2">
        <v>1</v>
      </c>
      <c r="H788" s="1" t="s">
        <v>11</v>
      </c>
      <c r="I788" s="1">
        <v>3</v>
      </c>
      <c r="J788" s="1">
        <v>1</v>
      </c>
      <c r="K788" s="2"/>
      <c r="L788" s="2"/>
      <c r="M788" s="2"/>
      <c r="N788" s="2"/>
      <c r="O788" s="2"/>
      <c r="P788" s="2"/>
      <c r="Q788" s="2"/>
    </row>
    <row r="789" spans="1:17">
      <c r="A789" s="1" t="s">
        <v>25</v>
      </c>
      <c r="B789" s="1">
        <v>256</v>
      </c>
      <c r="C789" s="1" t="s">
        <v>116</v>
      </c>
      <c r="D789" s="2" t="s">
        <v>123</v>
      </c>
      <c r="E789" s="4">
        <v>46035</v>
      </c>
      <c r="F789" s="2">
        <f t="shared" si="25"/>
        <v>254</v>
      </c>
      <c r="G789" s="2">
        <v>2</v>
      </c>
      <c r="H789" s="1" t="s">
        <v>11</v>
      </c>
      <c r="I789" s="1">
        <v>4</v>
      </c>
      <c r="J789" s="1">
        <v>1</v>
      </c>
      <c r="K789" s="2"/>
      <c r="L789" s="2"/>
      <c r="M789" s="2"/>
      <c r="N789" s="2"/>
      <c r="O789" s="2"/>
      <c r="P789" s="2"/>
      <c r="Q789" s="2"/>
    </row>
    <row r="790" spans="1:17">
      <c r="A790" s="1" t="s">
        <v>25</v>
      </c>
      <c r="B790" s="1">
        <v>256</v>
      </c>
      <c r="C790" s="1" t="s">
        <v>116</v>
      </c>
      <c r="D790" s="2" t="s">
        <v>123</v>
      </c>
      <c r="E790" s="4">
        <v>46035</v>
      </c>
      <c r="F790" s="2">
        <f t="shared" si="25"/>
        <v>254</v>
      </c>
      <c r="G790" s="2">
        <v>3</v>
      </c>
      <c r="H790" s="1" t="s">
        <v>11</v>
      </c>
      <c r="I790" s="1">
        <v>0</v>
      </c>
      <c r="J790" s="1">
        <v>6</v>
      </c>
      <c r="K790" s="2"/>
      <c r="L790" s="2"/>
      <c r="M790" s="2"/>
      <c r="N790" s="2"/>
      <c r="O790" s="2"/>
      <c r="P790" s="2"/>
      <c r="Q790" s="2"/>
    </row>
    <row r="791" spans="1:17">
      <c r="A791" s="1" t="s">
        <v>25</v>
      </c>
      <c r="B791" s="1">
        <v>256</v>
      </c>
      <c r="C791" s="1" t="s">
        <v>116</v>
      </c>
      <c r="D791" s="2" t="s">
        <v>123</v>
      </c>
      <c r="E791" s="4">
        <v>46036</v>
      </c>
      <c r="F791" s="2">
        <f t="shared" si="25"/>
        <v>255</v>
      </c>
      <c r="G791" s="2">
        <v>1</v>
      </c>
      <c r="H791" s="1" t="s">
        <v>11</v>
      </c>
      <c r="I791" s="1">
        <v>8</v>
      </c>
      <c r="J791" s="1">
        <v>2</v>
      </c>
      <c r="K791" s="2"/>
      <c r="L791" s="2"/>
      <c r="M791" s="2"/>
      <c r="N791" s="2"/>
      <c r="O791" s="2"/>
      <c r="P791" s="2"/>
      <c r="Q791" s="2"/>
    </row>
    <row r="792" spans="1:17">
      <c r="A792" s="1" t="s">
        <v>25</v>
      </c>
      <c r="B792" s="1">
        <v>256</v>
      </c>
      <c r="C792" s="1" t="s">
        <v>116</v>
      </c>
      <c r="D792" s="2" t="s">
        <v>123</v>
      </c>
      <c r="E792" s="4">
        <v>46036</v>
      </c>
      <c r="F792" s="2">
        <f t="shared" si="25"/>
        <v>255</v>
      </c>
      <c r="G792" s="2">
        <v>2</v>
      </c>
      <c r="H792" s="1" t="s">
        <v>11</v>
      </c>
      <c r="I792" s="1">
        <v>3</v>
      </c>
      <c r="J792" s="1">
        <v>3</v>
      </c>
      <c r="K792" s="2"/>
      <c r="L792" s="2"/>
      <c r="M792" s="2"/>
      <c r="N792" s="2"/>
      <c r="O792" s="2"/>
      <c r="P792" s="2"/>
      <c r="Q792" s="2"/>
    </row>
    <row r="793" spans="1:17">
      <c r="A793" s="1" t="s">
        <v>25</v>
      </c>
      <c r="B793" s="1">
        <v>256</v>
      </c>
      <c r="C793" s="1" t="s">
        <v>116</v>
      </c>
      <c r="D793" s="2" t="s">
        <v>123</v>
      </c>
      <c r="E793" s="4">
        <v>46036</v>
      </c>
      <c r="F793" s="2">
        <f t="shared" si="25"/>
        <v>255</v>
      </c>
      <c r="G793" s="2">
        <v>3</v>
      </c>
      <c r="H793" s="1" t="s">
        <v>11</v>
      </c>
      <c r="I793" s="1">
        <v>7</v>
      </c>
      <c r="J793" s="1">
        <v>4</v>
      </c>
      <c r="K793" s="2"/>
      <c r="L793" s="2"/>
      <c r="M793" s="2"/>
      <c r="N793" s="2"/>
      <c r="O793" s="2"/>
      <c r="P793" s="2"/>
      <c r="Q793" s="2"/>
    </row>
    <row r="794" spans="1:17">
      <c r="A794" s="1" t="s">
        <v>25</v>
      </c>
      <c r="B794" s="1">
        <v>256</v>
      </c>
      <c r="C794" s="1" t="s">
        <v>116</v>
      </c>
      <c r="D794" s="2" t="s">
        <v>123</v>
      </c>
      <c r="E794" s="4">
        <v>46044</v>
      </c>
      <c r="F794" s="2">
        <f t="shared" si="25"/>
        <v>256</v>
      </c>
      <c r="G794" s="2">
        <v>1</v>
      </c>
      <c r="H794" s="1" t="s">
        <v>9</v>
      </c>
      <c r="I794" s="1">
        <v>3</v>
      </c>
      <c r="J794" s="1">
        <v>4</v>
      </c>
      <c r="K794" s="2"/>
      <c r="L794" s="2"/>
      <c r="M794" s="2"/>
      <c r="N794" s="2"/>
      <c r="O794" s="2"/>
      <c r="P794" s="2"/>
      <c r="Q794" s="2"/>
    </row>
    <row r="795" spans="1:17">
      <c r="A795" s="1" t="s">
        <v>25</v>
      </c>
      <c r="B795" s="1">
        <v>256</v>
      </c>
      <c r="C795" s="1" t="s">
        <v>116</v>
      </c>
      <c r="D795" s="2" t="s">
        <v>123</v>
      </c>
      <c r="E795" s="4">
        <v>46044</v>
      </c>
      <c r="F795" s="2">
        <f t="shared" si="25"/>
        <v>256</v>
      </c>
      <c r="G795" s="2">
        <v>2</v>
      </c>
      <c r="H795" s="1" t="s">
        <v>9</v>
      </c>
      <c r="I795" s="1">
        <v>6</v>
      </c>
      <c r="J795" s="1">
        <v>6</v>
      </c>
      <c r="K795" s="2"/>
      <c r="L795" s="2"/>
      <c r="M795" s="2"/>
      <c r="N795" s="2"/>
      <c r="O795" s="2"/>
      <c r="P795" s="2"/>
      <c r="Q795" s="2"/>
    </row>
    <row r="796" spans="1:17">
      <c r="A796" s="1" t="s">
        <v>25</v>
      </c>
      <c r="B796" s="1">
        <v>256</v>
      </c>
      <c r="C796" s="1" t="s">
        <v>116</v>
      </c>
      <c r="D796" s="2" t="s">
        <v>123</v>
      </c>
      <c r="E796" s="4">
        <v>46044</v>
      </c>
      <c r="F796" s="2">
        <f t="shared" si="25"/>
        <v>256</v>
      </c>
      <c r="G796" s="2">
        <v>3</v>
      </c>
      <c r="H796" s="1" t="s">
        <v>9</v>
      </c>
      <c r="I796" s="1">
        <v>3</v>
      </c>
      <c r="J796" s="1">
        <v>2</v>
      </c>
      <c r="K796" s="2"/>
      <c r="L796" s="2"/>
      <c r="M796" s="2"/>
      <c r="N796" s="2"/>
      <c r="O796" s="2"/>
      <c r="P796" s="2"/>
      <c r="Q796" s="2"/>
    </row>
    <row r="797" spans="1:17">
      <c r="A797" s="1" t="s">
        <v>25</v>
      </c>
      <c r="B797" s="1">
        <v>256</v>
      </c>
      <c r="C797" s="1" t="s">
        <v>116</v>
      </c>
      <c r="D797" s="2" t="s">
        <v>123</v>
      </c>
      <c r="E797" s="4">
        <v>46044</v>
      </c>
      <c r="F797" s="2">
        <v>256</v>
      </c>
      <c r="G797" s="2" t="s">
        <v>82</v>
      </c>
      <c r="H797" s="1" t="s">
        <v>9</v>
      </c>
      <c r="I797" s="1">
        <v>0</v>
      </c>
      <c r="J797" s="1">
        <v>7</v>
      </c>
      <c r="K797" s="2"/>
      <c r="L797" s="2"/>
      <c r="M797" s="2"/>
      <c r="N797" s="2"/>
      <c r="O797" s="2"/>
      <c r="P797" s="2"/>
      <c r="Q797" s="2"/>
    </row>
    <row r="798" spans="1:17">
      <c r="A798" s="1" t="s">
        <v>25</v>
      </c>
      <c r="B798" s="1">
        <v>256</v>
      </c>
      <c r="C798" s="1" t="s">
        <v>116</v>
      </c>
      <c r="D798" s="2" t="s">
        <v>123</v>
      </c>
      <c r="E798" s="4">
        <v>46051</v>
      </c>
      <c r="F798" s="2">
        <f t="shared" si="25"/>
        <v>257</v>
      </c>
      <c r="G798" s="2">
        <v>1</v>
      </c>
      <c r="H798" s="1" t="s">
        <v>9</v>
      </c>
      <c r="I798" s="1">
        <v>5</v>
      </c>
      <c r="J798" s="1">
        <v>2</v>
      </c>
      <c r="K798" s="2"/>
      <c r="L798" s="2"/>
      <c r="M798" s="2"/>
      <c r="N798" s="2"/>
      <c r="O798" s="2"/>
      <c r="P798" s="2"/>
      <c r="Q798" s="2"/>
    </row>
    <row r="799" spans="1:17">
      <c r="A799" s="1" t="s">
        <v>25</v>
      </c>
      <c r="B799" s="1">
        <v>256</v>
      </c>
      <c r="C799" s="1" t="s">
        <v>116</v>
      </c>
      <c r="D799" s="2" t="s">
        <v>123</v>
      </c>
      <c r="E799" s="4">
        <v>46051</v>
      </c>
      <c r="F799" s="2">
        <f t="shared" si="25"/>
        <v>257</v>
      </c>
      <c r="G799" s="2">
        <v>2</v>
      </c>
      <c r="H799" s="1" t="s">
        <v>9</v>
      </c>
      <c r="I799" s="1">
        <v>1</v>
      </c>
      <c r="J799" s="1">
        <v>4</v>
      </c>
      <c r="K799" s="2"/>
      <c r="L799" s="2"/>
      <c r="M799" s="2"/>
      <c r="N799" s="2"/>
      <c r="O799" s="2"/>
      <c r="P799" s="2"/>
      <c r="Q799" s="2"/>
    </row>
    <row r="800" spans="1:17">
      <c r="A800" s="1" t="s">
        <v>25</v>
      </c>
      <c r="B800" s="1">
        <v>256</v>
      </c>
      <c r="C800" s="1" t="s">
        <v>116</v>
      </c>
      <c r="D800" s="2" t="s">
        <v>123</v>
      </c>
      <c r="E800" s="4">
        <v>46051</v>
      </c>
      <c r="F800" s="2">
        <f t="shared" si="25"/>
        <v>257</v>
      </c>
      <c r="G800" s="2">
        <v>3</v>
      </c>
      <c r="H800" s="1" t="s">
        <v>9</v>
      </c>
      <c r="I800" s="1">
        <v>5</v>
      </c>
      <c r="J800" s="1">
        <v>2</v>
      </c>
      <c r="K800" s="2"/>
      <c r="L800" s="2"/>
      <c r="M800" s="2"/>
      <c r="N800" s="2"/>
      <c r="O800" s="2"/>
      <c r="P800" s="2"/>
      <c r="Q800" s="2"/>
    </row>
    <row r="801" spans="1:17">
      <c r="A801" s="1" t="s">
        <v>25</v>
      </c>
      <c r="B801" s="1">
        <v>256</v>
      </c>
      <c r="C801" s="1" t="s">
        <v>116</v>
      </c>
      <c r="D801" s="2" t="s">
        <v>123</v>
      </c>
      <c r="E801" s="4">
        <v>46055</v>
      </c>
      <c r="F801" s="2">
        <f t="shared" si="25"/>
        <v>258</v>
      </c>
      <c r="G801" s="2">
        <v>1</v>
      </c>
      <c r="H801" s="1" t="s">
        <v>11</v>
      </c>
      <c r="I801" s="1">
        <v>2</v>
      </c>
      <c r="J801" s="1">
        <v>1</v>
      </c>
      <c r="K801" s="2"/>
      <c r="L801" s="2"/>
      <c r="M801" s="2"/>
      <c r="N801" s="2"/>
      <c r="O801" s="2"/>
      <c r="P801" s="2"/>
      <c r="Q801" s="2"/>
    </row>
    <row r="802" spans="1:17">
      <c r="A802" s="1" t="s">
        <v>25</v>
      </c>
      <c r="B802" s="1">
        <v>256</v>
      </c>
      <c r="C802" s="1" t="s">
        <v>116</v>
      </c>
      <c r="D802" s="2" t="s">
        <v>123</v>
      </c>
      <c r="E802" s="4">
        <v>46055</v>
      </c>
      <c r="F802" s="2">
        <f t="shared" si="25"/>
        <v>258</v>
      </c>
      <c r="G802" s="2">
        <v>2</v>
      </c>
      <c r="H802" s="1" t="s">
        <v>11</v>
      </c>
      <c r="I802" s="1">
        <v>6</v>
      </c>
      <c r="J802" s="1">
        <v>3</v>
      </c>
      <c r="K802" s="2"/>
      <c r="L802" s="2"/>
      <c r="M802" s="2"/>
      <c r="N802" s="2"/>
      <c r="O802" s="2"/>
      <c r="P802" s="2"/>
      <c r="Q802" s="2"/>
    </row>
    <row r="803" spans="1:17">
      <c r="A803" s="1" t="s">
        <v>25</v>
      </c>
      <c r="B803" s="1">
        <v>256</v>
      </c>
      <c r="C803" s="1" t="s">
        <v>116</v>
      </c>
      <c r="D803" s="2" t="s">
        <v>123</v>
      </c>
      <c r="E803" s="4">
        <v>46055</v>
      </c>
      <c r="F803" s="2">
        <f t="shared" si="25"/>
        <v>258</v>
      </c>
      <c r="G803" s="2">
        <v>3</v>
      </c>
      <c r="H803" s="1" t="s">
        <v>11</v>
      </c>
      <c r="I803" s="1">
        <v>3</v>
      </c>
      <c r="J803" s="1">
        <v>2</v>
      </c>
      <c r="K803" s="2"/>
      <c r="L803" s="2"/>
      <c r="M803" s="2"/>
      <c r="N803" s="2"/>
      <c r="O803" s="2"/>
      <c r="P803" s="2"/>
      <c r="Q803" s="2"/>
    </row>
    <row r="804" spans="1:17">
      <c r="A804" s="1" t="s">
        <v>25</v>
      </c>
      <c r="B804" s="1">
        <v>256</v>
      </c>
      <c r="C804" s="1" t="s">
        <v>116</v>
      </c>
      <c r="D804" s="2" t="s">
        <v>123</v>
      </c>
      <c r="E804" s="4">
        <v>46056</v>
      </c>
      <c r="F804" s="2">
        <f t="shared" si="25"/>
        <v>259</v>
      </c>
      <c r="G804" s="2">
        <v>1</v>
      </c>
      <c r="H804" s="1" t="s">
        <v>11</v>
      </c>
      <c r="I804" s="1">
        <v>4</v>
      </c>
      <c r="J804" s="1">
        <v>6</v>
      </c>
      <c r="K804" s="2"/>
      <c r="L804" s="2"/>
      <c r="M804" s="2"/>
      <c r="N804" s="2"/>
      <c r="O804" s="2"/>
      <c r="P804" s="2"/>
      <c r="Q804" s="2"/>
    </row>
    <row r="805" spans="1:17">
      <c r="A805" s="1" t="s">
        <v>25</v>
      </c>
      <c r="B805" s="1">
        <v>256</v>
      </c>
      <c r="C805" s="1" t="s">
        <v>116</v>
      </c>
      <c r="D805" s="2" t="s">
        <v>123</v>
      </c>
      <c r="E805" s="4">
        <v>46056</v>
      </c>
      <c r="F805" s="2">
        <f t="shared" si="25"/>
        <v>259</v>
      </c>
      <c r="G805" s="2">
        <v>2</v>
      </c>
      <c r="H805" s="1" t="s">
        <v>11</v>
      </c>
      <c r="I805" s="1">
        <v>1</v>
      </c>
      <c r="J805" s="1">
        <v>0</v>
      </c>
      <c r="K805" s="2"/>
      <c r="L805" s="2"/>
      <c r="M805" s="2"/>
      <c r="N805" s="2"/>
      <c r="O805" s="2"/>
      <c r="P805" s="2"/>
      <c r="Q805" s="2"/>
    </row>
    <row r="806" spans="1:17">
      <c r="A806" s="1" t="s">
        <v>25</v>
      </c>
      <c r="B806" s="1">
        <v>256</v>
      </c>
      <c r="C806" s="1" t="s">
        <v>116</v>
      </c>
      <c r="D806" s="2" t="s">
        <v>123</v>
      </c>
      <c r="E806" s="4">
        <v>46056</v>
      </c>
      <c r="F806" s="2">
        <f t="shared" si="25"/>
        <v>259</v>
      </c>
      <c r="G806" s="2">
        <v>3</v>
      </c>
      <c r="H806" s="1" t="s">
        <v>11</v>
      </c>
      <c r="I806" s="1">
        <v>8</v>
      </c>
      <c r="J806" s="1">
        <v>5</v>
      </c>
      <c r="K806" s="2"/>
      <c r="L806" s="2"/>
      <c r="M806" s="2"/>
      <c r="N806" s="2"/>
      <c r="O806" s="2"/>
      <c r="P806" s="2"/>
      <c r="Q806" s="2"/>
    </row>
    <row r="807" spans="1:17">
      <c r="A807" s="1" t="s">
        <v>25</v>
      </c>
      <c r="B807" s="1">
        <v>256</v>
      </c>
      <c r="C807" s="1" t="s">
        <v>116</v>
      </c>
      <c r="D807" s="2" t="s">
        <v>123</v>
      </c>
      <c r="E807" s="4">
        <v>46058</v>
      </c>
      <c r="F807" s="2">
        <f t="shared" si="25"/>
        <v>260</v>
      </c>
      <c r="G807" s="2">
        <v>1</v>
      </c>
      <c r="H807" s="1" t="s">
        <v>9</v>
      </c>
      <c r="I807" s="1">
        <v>5</v>
      </c>
      <c r="J807" s="1">
        <v>4</v>
      </c>
      <c r="K807" s="2"/>
      <c r="L807" s="2"/>
      <c r="M807" s="2"/>
      <c r="N807" s="2"/>
      <c r="O807" s="2"/>
      <c r="P807" s="2"/>
      <c r="Q807" s="2"/>
    </row>
    <row r="808" spans="1:17">
      <c r="A808" s="1" t="s">
        <v>25</v>
      </c>
      <c r="B808" s="1">
        <v>256</v>
      </c>
      <c r="C808" s="1" t="s">
        <v>116</v>
      </c>
      <c r="D808" s="2" t="s">
        <v>123</v>
      </c>
      <c r="E808" s="4">
        <v>46058</v>
      </c>
      <c r="F808" s="2">
        <f t="shared" si="25"/>
        <v>260</v>
      </c>
      <c r="G808" s="2">
        <v>2</v>
      </c>
      <c r="H808" s="1" t="s">
        <v>9</v>
      </c>
      <c r="I808" s="1">
        <v>3</v>
      </c>
      <c r="J808" s="1">
        <v>3</v>
      </c>
      <c r="K808" s="2"/>
      <c r="L808" s="2"/>
      <c r="M808" s="2"/>
      <c r="N808" s="2"/>
      <c r="O808" s="2"/>
      <c r="P808" s="2"/>
      <c r="Q808" s="2"/>
    </row>
    <row r="809" spans="1:17">
      <c r="A809" s="1" t="s">
        <v>25</v>
      </c>
      <c r="B809" s="1">
        <v>256</v>
      </c>
      <c r="C809" s="1" t="s">
        <v>116</v>
      </c>
      <c r="D809" s="2" t="s">
        <v>123</v>
      </c>
      <c r="E809" s="4">
        <v>46058</v>
      </c>
      <c r="F809" s="2">
        <f t="shared" si="25"/>
        <v>260</v>
      </c>
      <c r="G809" s="2">
        <v>3</v>
      </c>
      <c r="H809" s="1" t="s">
        <v>9</v>
      </c>
      <c r="I809" s="1">
        <v>5</v>
      </c>
      <c r="J809" s="1">
        <v>6</v>
      </c>
      <c r="K809" s="2"/>
      <c r="L809" s="2"/>
      <c r="M809" s="2"/>
      <c r="N809" s="2"/>
      <c r="O809" s="2"/>
      <c r="P809" s="2"/>
      <c r="Q809" s="2"/>
    </row>
    <row r="810" spans="1:17">
      <c r="A810" s="1" t="s">
        <v>25</v>
      </c>
      <c r="B810" s="1">
        <v>256</v>
      </c>
      <c r="C810" s="1" t="s">
        <v>116</v>
      </c>
      <c r="D810" s="2" t="s">
        <v>123</v>
      </c>
      <c r="E810" s="4">
        <v>46058</v>
      </c>
      <c r="F810" s="2">
        <v>260</v>
      </c>
      <c r="G810" s="2" t="s">
        <v>82</v>
      </c>
      <c r="H810" s="1" t="s">
        <v>9</v>
      </c>
      <c r="I810" s="1">
        <v>7</v>
      </c>
      <c r="J810" s="1">
        <v>2</v>
      </c>
      <c r="K810" s="2"/>
      <c r="L810" s="2"/>
      <c r="M810" s="2"/>
      <c r="N810" s="2"/>
      <c r="O810" s="2"/>
      <c r="P810" s="2"/>
      <c r="Q810" s="2"/>
    </row>
    <row r="811" spans="1:17">
      <c r="A811" s="1" t="s">
        <v>25</v>
      </c>
      <c r="B811" s="1">
        <v>256</v>
      </c>
      <c r="C811" s="1" t="s">
        <v>116</v>
      </c>
      <c r="D811" s="2" t="s">
        <v>123</v>
      </c>
      <c r="E811" s="4">
        <v>46059</v>
      </c>
      <c r="F811" s="2">
        <f t="shared" si="25"/>
        <v>261</v>
      </c>
      <c r="G811" s="2">
        <v>1</v>
      </c>
      <c r="H811" s="1" t="s">
        <v>9</v>
      </c>
      <c r="I811" s="1">
        <v>8</v>
      </c>
      <c r="J811" s="1">
        <v>2</v>
      </c>
      <c r="K811" s="2"/>
      <c r="L811" s="2"/>
      <c r="M811" s="2"/>
      <c r="N811" s="2"/>
      <c r="O811" s="2"/>
      <c r="P811" s="2"/>
      <c r="Q811" s="2"/>
    </row>
    <row r="812" spans="1:17">
      <c r="A812" s="1" t="s">
        <v>25</v>
      </c>
      <c r="B812" s="1">
        <v>256</v>
      </c>
      <c r="C812" s="1" t="s">
        <v>116</v>
      </c>
      <c r="D812" s="2" t="s">
        <v>123</v>
      </c>
      <c r="E812" s="4">
        <v>46059</v>
      </c>
      <c r="F812" s="2">
        <f t="shared" si="25"/>
        <v>261</v>
      </c>
      <c r="G812" s="2">
        <v>2</v>
      </c>
      <c r="H812" s="1" t="s">
        <v>9</v>
      </c>
      <c r="I812" s="1">
        <v>2</v>
      </c>
      <c r="J812" s="1">
        <v>0</v>
      </c>
      <c r="K812" s="2"/>
      <c r="L812" s="2"/>
      <c r="M812" s="2"/>
      <c r="N812" s="2"/>
      <c r="O812" s="2"/>
      <c r="P812" s="2"/>
      <c r="Q812" s="2"/>
    </row>
    <row r="813" spans="1:17">
      <c r="A813" s="1" t="s">
        <v>25</v>
      </c>
      <c r="B813" s="1">
        <v>256</v>
      </c>
      <c r="C813" s="1" t="s">
        <v>116</v>
      </c>
      <c r="D813" s="2" t="s">
        <v>123</v>
      </c>
      <c r="E813" s="4">
        <v>46059</v>
      </c>
      <c r="F813" s="2">
        <f t="shared" si="25"/>
        <v>261</v>
      </c>
      <c r="G813" s="2">
        <v>3</v>
      </c>
      <c r="H813" s="1" t="s">
        <v>9</v>
      </c>
      <c r="I813" s="1">
        <v>8</v>
      </c>
      <c r="J813" s="1">
        <v>3</v>
      </c>
      <c r="K813" s="2"/>
      <c r="L813" s="2"/>
      <c r="M813" s="2"/>
      <c r="N813" s="2"/>
      <c r="O813" s="2"/>
      <c r="P813" s="2"/>
      <c r="Q813" s="2"/>
    </row>
    <row r="814" spans="1:17">
      <c r="A814" s="1" t="s">
        <v>25</v>
      </c>
      <c r="B814" s="1">
        <v>256</v>
      </c>
      <c r="C814" s="1" t="s">
        <v>116</v>
      </c>
      <c r="D814" s="2" t="s">
        <v>123</v>
      </c>
      <c r="E814" s="4">
        <v>46063</v>
      </c>
      <c r="F814" s="2">
        <f t="shared" si="25"/>
        <v>262</v>
      </c>
      <c r="G814" s="2">
        <v>1</v>
      </c>
      <c r="H814" s="1" t="s">
        <v>9</v>
      </c>
      <c r="I814" s="1">
        <v>7</v>
      </c>
      <c r="J814" s="1">
        <v>1</v>
      </c>
      <c r="K814" s="2"/>
      <c r="L814" s="2"/>
      <c r="M814" s="2"/>
      <c r="N814" s="2"/>
      <c r="O814" s="2"/>
      <c r="P814" s="2"/>
      <c r="Q814" s="2"/>
    </row>
    <row r="815" spans="1:17">
      <c r="A815" s="1" t="s">
        <v>25</v>
      </c>
      <c r="B815" s="1">
        <v>256</v>
      </c>
      <c r="C815" s="1" t="s">
        <v>116</v>
      </c>
      <c r="D815" s="2" t="s">
        <v>123</v>
      </c>
      <c r="E815" s="4">
        <v>46063</v>
      </c>
      <c r="F815" s="2">
        <f t="shared" si="25"/>
        <v>262</v>
      </c>
      <c r="G815" s="2">
        <v>2</v>
      </c>
      <c r="H815" s="1" t="s">
        <v>9</v>
      </c>
      <c r="I815" s="1">
        <v>8</v>
      </c>
      <c r="J815" s="1">
        <v>3</v>
      </c>
      <c r="K815" s="2"/>
      <c r="L815" s="2"/>
      <c r="M815" s="2"/>
      <c r="N815" s="2"/>
      <c r="O815" s="2"/>
      <c r="P815" s="2"/>
      <c r="Q815" s="2"/>
    </row>
    <row r="816" spans="1:17">
      <c r="A816" s="1" t="s">
        <v>25</v>
      </c>
      <c r="B816" s="1">
        <v>256</v>
      </c>
      <c r="C816" s="1" t="s">
        <v>116</v>
      </c>
      <c r="D816" s="2" t="s">
        <v>123</v>
      </c>
      <c r="E816" s="4">
        <v>46063</v>
      </c>
      <c r="F816" s="2">
        <f t="shared" si="25"/>
        <v>262</v>
      </c>
      <c r="G816" s="2">
        <v>3</v>
      </c>
      <c r="H816" s="1" t="s">
        <v>9</v>
      </c>
      <c r="I816" s="1">
        <v>6</v>
      </c>
      <c r="J816" s="1">
        <v>2</v>
      </c>
      <c r="K816" s="2"/>
      <c r="L816" s="2"/>
      <c r="M816" s="2"/>
      <c r="N816" s="2"/>
      <c r="O816" s="2"/>
      <c r="P816" s="2"/>
      <c r="Q816" s="2"/>
    </row>
    <row r="817" spans="1:17">
      <c r="A817" s="1" t="s">
        <v>25</v>
      </c>
      <c r="B817" s="1">
        <v>256</v>
      </c>
      <c r="C817" s="1" t="s">
        <v>116</v>
      </c>
      <c r="D817" s="2" t="s">
        <v>123</v>
      </c>
      <c r="E817" s="4">
        <v>46071</v>
      </c>
      <c r="F817" s="2">
        <f t="shared" si="25"/>
        <v>263</v>
      </c>
      <c r="G817" s="2">
        <v>1</v>
      </c>
      <c r="H817" s="1" t="s">
        <v>9</v>
      </c>
      <c r="I817" s="1">
        <v>5</v>
      </c>
      <c r="J817" s="1">
        <v>2</v>
      </c>
      <c r="K817" s="2"/>
      <c r="L817" s="2"/>
      <c r="M817" s="2"/>
      <c r="N817" s="2"/>
      <c r="O817" s="2"/>
      <c r="P817" s="2"/>
      <c r="Q817" s="2"/>
    </row>
    <row r="818" spans="1:17">
      <c r="A818" s="1" t="s">
        <v>25</v>
      </c>
      <c r="B818" s="1">
        <v>256</v>
      </c>
      <c r="C818" s="1" t="s">
        <v>116</v>
      </c>
      <c r="D818" s="2" t="s">
        <v>123</v>
      </c>
      <c r="E818" s="4">
        <v>46071</v>
      </c>
      <c r="F818" s="2">
        <f t="shared" si="25"/>
        <v>263</v>
      </c>
      <c r="G818" s="2">
        <v>2</v>
      </c>
      <c r="H818" s="1" t="s">
        <v>9</v>
      </c>
      <c r="I818" s="1">
        <v>2</v>
      </c>
      <c r="J818" s="1">
        <v>0</v>
      </c>
      <c r="K818" s="2"/>
      <c r="L818" s="2"/>
      <c r="M818" s="2"/>
      <c r="N818" s="2"/>
      <c r="O818" s="2"/>
      <c r="P818" s="2"/>
      <c r="Q818" s="2"/>
    </row>
    <row r="819" spans="1:17">
      <c r="A819" s="1" t="s">
        <v>25</v>
      </c>
      <c r="B819" s="1">
        <v>256</v>
      </c>
      <c r="C819" s="1" t="s">
        <v>116</v>
      </c>
      <c r="D819" s="2" t="s">
        <v>123</v>
      </c>
      <c r="E819" s="4">
        <v>46071</v>
      </c>
      <c r="F819" s="2">
        <f t="shared" si="25"/>
        <v>263</v>
      </c>
      <c r="G819" s="2">
        <v>3</v>
      </c>
      <c r="H819" s="1" t="s">
        <v>9</v>
      </c>
      <c r="I819" s="1">
        <v>6</v>
      </c>
      <c r="J819" s="1">
        <v>2</v>
      </c>
      <c r="K819" s="2"/>
      <c r="L819" s="2"/>
      <c r="M819" s="2"/>
      <c r="N819" s="2"/>
      <c r="O819" s="2"/>
      <c r="P819" s="2"/>
      <c r="Q819" s="2"/>
    </row>
    <row r="820" spans="1:17">
      <c r="A820" s="1" t="s">
        <v>25</v>
      </c>
      <c r="B820" s="1">
        <v>256</v>
      </c>
      <c r="C820" s="1" t="s">
        <v>116</v>
      </c>
      <c r="D820" s="2" t="s">
        <v>123</v>
      </c>
      <c r="E820" s="4">
        <v>46073</v>
      </c>
      <c r="F820" s="2">
        <f t="shared" si="25"/>
        <v>264</v>
      </c>
      <c r="G820" s="2">
        <v>1</v>
      </c>
      <c r="H820" s="1" t="s">
        <v>11</v>
      </c>
      <c r="I820" s="1">
        <v>6</v>
      </c>
      <c r="J820" s="1">
        <v>2</v>
      </c>
      <c r="K820" s="2"/>
      <c r="L820" s="2"/>
      <c r="M820" s="2"/>
      <c r="N820" s="2"/>
      <c r="O820" s="2"/>
      <c r="P820" s="2"/>
      <c r="Q820" s="2"/>
    </row>
    <row r="821" spans="1:17">
      <c r="A821" s="1" t="s">
        <v>25</v>
      </c>
      <c r="B821" s="1">
        <v>256</v>
      </c>
      <c r="C821" s="1" t="s">
        <v>116</v>
      </c>
      <c r="D821" s="2" t="s">
        <v>123</v>
      </c>
      <c r="E821" s="4">
        <v>46073</v>
      </c>
      <c r="F821" s="2">
        <f t="shared" si="25"/>
        <v>264</v>
      </c>
      <c r="G821" s="2">
        <v>2</v>
      </c>
      <c r="H821" s="1" t="s">
        <v>11</v>
      </c>
      <c r="I821" s="1">
        <v>8</v>
      </c>
      <c r="J821" s="1">
        <v>3</v>
      </c>
      <c r="K821" s="2"/>
      <c r="L821" s="2"/>
      <c r="M821" s="2"/>
      <c r="N821" s="2"/>
      <c r="O821" s="2"/>
      <c r="P821" s="2"/>
      <c r="Q821" s="2"/>
    </row>
    <row r="822" spans="1:17">
      <c r="A822" s="1" t="s">
        <v>25</v>
      </c>
      <c r="B822" s="1">
        <v>256</v>
      </c>
      <c r="C822" s="1" t="s">
        <v>116</v>
      </c>
      <c r="D822" s="2" t="s">
        <v>123</v>
      </c>
      <c r="E822" s="4">
        <v>46073</v>
      </c>
      <c r="F822" s="2">
        <f t="shared" si="25"/>
        <v>264</v>
      </c>
      <c r="G822" s="2">
        <v>3</v>
      </c>
      <c r="H822" s="1" t="s">
        <v>11</v>
      </c>
      <c r="I822" s="1">
        <v>6</v>
      </c>
      <c r="J822" s="1">
        <v>7</v>
      </c>
      <c r="K822" s="2"/>
      <c r="L822" s="2"/>
      <c r="M822" s="2"/>
      <c r="N822" s="2"/>
      <c r="O822" s="2"/>
      <c r="P822" s="2"/>
      <c r="Q822" s="2"/>
    </row>
    <row r="823" spans="1:17">
      <c r="A823" s="1" t="s">
        <v>25</v>
      </c>
      <c r="B823" s="1">
        <v>256</v>
      </c>
      <c r="C823" s="1" t="s">
        <v>116</v>
      </c>
      <c r="D823" s="2" t="s">
        <v>123</v>
      </c>
      <c r="E823" s="4">
        <v>46077</v>
      </c>
      <c r="F823" s="2">
        <f t="shared" si="25"/>
        <v>265</v>
      </c>
      <c r="G823" s="2">
        <v>1</v>
      </c>
      <c r="H823" s="1" t="s">
        <v>11</v>
      </c>
      <c r="I823" s="1">
        <v>2</v>
      </c>
      <c r="J823" s="1">
        <v>5</v>
      </c>
      <c r="K823" s="2"/>
      <c r="L823" s="2"/>
      <c r="M823" s="2"/>
      <c r="N823" s="2"/>
      <c r="O823" s="2"/>
      <c r="P823" s="2"/>
      <c r="Q823" s="2"/>
    </row>
    <row r="824" spans="1:17">
      <c r="A824" s="1" t="s">
        <v>25</v>
      </c>
      <c r="B824" s="1">
        <v>256</v>
      </c>
      <c r="C824" s="1" t="s">
        <v>116</v>
      </c>
      <c r="D824" s="2" t="s">
        <v>123</v>
      </c>
      <c r="E824" s="4">
        <v>46077</v>
      </c>
      <c r="F824" s="2">
        <f t="shared" si="25"/>
        <v>265</v>
      </c>
      <c r="G824" s="2">
        <v>2</v>
      </c>
      <c r="H824" s="1" t="s">
        <v>11</v>
      </c>
      <c r="I824" s="1">
        <v>4</v>
      </c>
      <c r="J824" s="1">
        <v>4</v>
      </c>
      <c r="K824" s="2"/>
      <c r="L824" s="2"/>
      <c r="M824" s="2"/>
      <c r="N824" s="2"/>
      <c r="O824" s="2"/>
      <c r="P824" s="2"/>
      <c r="Q824" s="2"/>
    </row>
    <row r="825" spans="1:17">
      <c r="A825" s="1" t="s">
        <v>25</v>
      </c>
      <c r="B825" s="1">
        <v>256</v>
      </c>
      <c r="C825" s="1" t="s">
        <v>116</v>
      </c>
      <c r="D825" s="2" t="s">
        <v>123</v>
      </c>
      <c r="E825" s="4">
        <v>46077</v>
      </c>
      <c r="F825" s="2">
        <f t="shared" si="25"/>
        <v>265</v>
      </c>
      <c r="G825" s="2">
        <v>3</v>
      </c>
      <c r="H825" s="1" t="s">
        <v>11</v>
      </c>
      <c r="I825" s="1">
        <v>1</v>
      </c>
      <c r="J825" s="1">
        <v>4</v>
      </c>
      <c r="K825" s="2"/>
      <c r="L825" s="2"/>
      <c r="M825" s="2"/>
      <c r="N825" s="2"/>
      <c r="O825" s="2"/>
      <c r="P825" s="2"/>
      <c r="Q825" s="2"/>
    </row>
    <row r="826" spans="1:17">
      <c r="A826" s="1" t="s">
        <v>25</v>
      </c>
      <c r="B826" s="1">
        <v>256</v>
      </c>
      <c r="C826" s="1" t="s">
        <v>116</v>
      </c>
      <c r="D826" s="2" t="s">
        <v>123</v>
      </c>
      <c r="E826" s="4">
        <v>46078</v>
      </c>
      <c r="F826" s="2">
        <f t="shared" si="25"/>
        <v>266</v>
      </c>
      <c r="G826" s="2">
        <v>1</v>
      </c>
      <c r="H826" s="1" t="s">
        <v>11</v>
      </c>
      <c r="I826" s="1">
        <v>7</v>
      </c>
      <c r="J826" s="1">
        <v>5</v>
      </c>
      <c r="K826" s="2"/>
      <c r="L826" s="2"/>
      <c r="M826" s="2"/>
      <c r="N826" s="2"/>
      <c r="O826" s="2"/>
      <c r="P826" s="2"/>
      <c r="Q826" s="2"/>
    </row>
    <row r="827" spans="1:17">
      <c r="A827" s="1" t="s">
        <v>25</v>
      </c>
      <c r="B827" s="1">
        <v>256</v>
      </c>
      <c r="C827" s="1" t="s">
        <v>116</v>
      </c>
      <c r="D827" s="2" t="s">
        <v>123</v>
      </c>
      <c r="E827" s="4">
        <v>46078</v>
      </c>
      <c r="F827" s="2">
        <f t="shared" si="25"/>
        <v>266</v>
      </c>
      <c r="G827" s="2">
        <v>2</v>
      </c>
      <c r="H827" s="1" t="s">
        <v>11</v>
      </c>
      <c r="I827" s="1">
        <v>8</v>
      </c>
      <c r="J827" s="1">
        <v>9</v>
      </c>
      <c r="K827" s="2"/>
      <c r="L827" s="2"/>
      <c r="M827" s="2"/>
      <c r="N827" s="2"/>
      <c r="O827" s="2"/>
      <c r="P827" s="2"/>
      <c r="Q827" s="2"/>
    </row>
    <row r="828" spans="1:17">
      <c r="A828" s="1" t="s">
        <v>25</v>
      </c>
      <c r="B828" s="1">
        <v>256</v>
      </c>
      <c r="C828" s="1" t="s">
        <v>116</v>
      </c>
      <c r="D828" s="2" t="s">
        <v>123</v>
      </c>
      <c r="E828" s="4">
        <v>46078</v>
      </c>
      <c r="F828" s="2">
        <f t="shared" si="25"/>
        <v>266</v>
      </c>
      <c r="G828" s="2">
        <v>3</v>
      </c>
      <c r="H828" s="1" t="s">
        <v>11</v>
      </c>
      <c r="I828" s="1">
        <v>6</v>
      </c>
      <c r="J828" s="1">
        <v>2</v>
      </c>
      <c r="K828" s="2"/>
      <c r="L828" s="2"/>
      <c r="M828" s="2"/>
      <c r="N828" s="2"/>
      <c r="O828" s="2"/>
      <c r="P828" s="2"/>
      <c r="Q828" s="2"/>
    </row>
    <row r="829" spans="1:17">
      <c r="A829" s="1" t="s">
        <v>25</v>
      </c>
      <c r="B829" s="1">
        <v>256</v>
      </c>
      <c r="C829" s="1" t="s">
        <v>116</v>
      </c>
      <c r="D829" s="2" t="s">
        <v>123</v>
      </c>
      <c r="E829" s="4">
        <v>46080</v>
      </c>
      <c r="F829" s="2">
        <f t="shared" si="25"/>
        <v>267</v>
      </c>
      <c r="G829" s="2">
        <v>1</v>
      </c>
      <c r="H829" s="1" t="s">
        <v>9</v>
      </c>
      <c r="I829" s="1">
        <v>6</v>
      </c>
      <c r="J829" s="1">
        <v>4</v>
      </c>
      <c r="K829" s="2"/>
      <c r="L829" s="2"/>
      <c r="M829" s="2"/>
      <c r="N829" s="2"/>
      <c r="O829" s="2"/>
      <c r="P829" s="2"/>
      <c r="Q829" s="2"/>
    </row>
    <row r="830" spans="1:17">
      <c r="A830" s="1" t="s">
        <v>25</v>
      </c>
      <c r="B830" s="1">
        <v>256</v>
      </c>
      <c r="C830" s="1" t="s">
        <v>116</v>
      </c>
      <c r="D830" s="2" t="s">
        <v>123</v>
      </c>
      <c r="E830" s="4">
        <v>46080</v>
      </c>
      <c r="F830" s="2">
        <f t="shared" si="25"/>
        <v>267</v>
      </c>
      <c r="G830" s="2">
        <v>2</v>
      </c>
      <c r="H830" s="1" t="s">
        <v>9</v>
      </c>
      <c r="I830" s="1">
        <v>2</v>
      </c>
      <c r="J830" s="1">
        <v>5</v>
      </c>
      <c r="K830" s="2"/>
      <c r="L830" s="2"/>
      <c r="M830" s="2"/>
      <c r="N830" s="2"/>
      <c r="O830" s="2"/>
      <c r="P830" s="2"/>
      <c r="Q830" s="2"/>
    </row>
    <row r="831" spans="1:17">
      <c r="A831" s="1" t="s">
        <v>25</v>
      </c>
      <c r="B831" s="1">
        <v>256</v>
      </c>
      <c r="C831" s="1" t="s">
        <v>116</v>
      </c>
      <c r="D831" s="2" t="s">
        <v>123</v>
      </c>
      <c r="E831" s="4">
        <v>46080</v>
      </c>
      <c r="F831" s="2">
        <f t="shared" si="25"/>
        <v>267</v>
      </c>
      <c r="G831" s="2">
        <v>3</v>
      </c>
      <c r="H831" s="1" t="s">
        <v>9</v>
      </c>
      <c r="I831" s="1">
        <v>9</v>
      </c>
      <c r="J831" s="1">
        <v>1</v>
      </c>
      <c r="K831" s="2"/>
      <c r="L831" s="2"/>
      <c r="M831" s="2"/>
      <c r="N831" s="2"/>
      <c r="O831" s="2"/>
      <c r="P831" s="2"/>
      <c r="Q831" s="2"/>
    </row>
    <row r="832" spans="1:17">
      <c r="A832" s="1" t="s">
        <v>25</v>
      </c>
      <c r="B832" s="1">
        <v>256</v>
      </c>
      <c r="C832" s="1" t="s">
        <v>116</v>
      </c>
      <c r="D832" s="2" t="s">
        <v>123</v>
      </c>
      <c r="E832" s="4">
        <v>46084</v>
      </c>
      <c r="F832" s="2">
        <f t="shared" si="25"/>
        <v>268</v>
      </c>
      <c r="G832" s="2">
        <v>1</v>
      </c>
      <c r="H832" s="1" t="s">
        <v>9</v>
      </c>
      <c r="I832" s="1">
        <v>3</v>
      </c>
      <c r="J832" s="1">
        <v>4</v>
      </c>
      <c r="K832" s="2"/>
      <c r="L832" s="2"/>
      <c r="M832" s="2"/>
      <c r="N832" s="2"/>
      <c r="O832" s="2"/>
      <c r="P832" s="2"/>
      <c r="Q832" s="2"/>
    </row>
    <row r="833" spans="1:17">
      <c r="A833" s="1" t="s">
        <v>25</v>
      </c>
      <c r="B833" s="1">
        <v>256</v>
      </c>
      <c r="C833" s="1" t="s">
        <v>116</v>
      </c>
      <c r="D833" s="2" t="s">
        <v>123</v>
      </c>
      <c r="E833" s="4">
        <v>46084</v>
      </c>
      <c r="F833" s="2">
        <f t="shared" si="25"/>
        <v>268</v>
      </c>
      <c r="G833" s="2">
        <v>2</v>
      </c>
      <c r="H833" s="1" t="s">
        <v>9</v>
      </c>
      <c r="I833" s="1">
        <v>6</v>
      </c>
      <c r="J833" s="1">
        <v>0</v>
      </c>
      <c r="K833" s="2"/>
      <c r="L833" s="2"/>
      <c r="M833" s="2"/>
      <c r="N833" s="2"/>
      <c r="O833" s="2"/>
      <c r="P833" s="2"/>
      <c r="Q833" s="2"/>
    </row>
    <row r="834" spans="1:17">
      <c r="A834" s="1" t="s">
        <v>25</v>
      </c>
      <c r="B834" s="1">
        <v>256</v>
      </c>
      <c r="C834" s="1" t="s">
        <v>116</v>
      </c>
      <c r="D834" s="2" t="s">
        <v>123</v>
      </c>
      <c r="E834" s="4">
        <v>46084</v>
      </c>
      <c r="F834" s="2">
        <f t="shared" si="25"/>
        <v>268</v>
      </c>
      <c r="G834" s="2">
        <v>3</v>
      </c>
      <c r="H834" s="1" t="s">
        <v>9</v>
      </c>
      <c r="I834" s="1">
        <v>5</v>
      </c>
      <c r="J834" s="1">
        <v>5</v>
      </c>
      <c r="K834" s="2"/>
      <c r="L834" s="2"/>
      <c r="M834" s="2"/>
      <c r="N834" s="2"/>
      <c r="O834" s="2"/>
      <c r="P834" s="2"/>
      <c r="Q834" s="2"/>
    </row>
    <row r="835" spans="1:17">
      <c r="A835" s="1" t="s">
        <v>25</v>
      </c>
      <c r="B835" s="1">
        <v>256</v>
      </c>
      <c r="C835" s="1" t="s">
        <v>116</v>
      </c>
      <c r="D835" s="2" t="s">
        <v>123</v>
      </c>
      <c r="E835" s="4">
        <v>46085</v>
      </c>
      <c r="F835" s="2">
        <f t="shared" si="25"/>
        <v>269</v>
      </c>
      <c r="G835" s="2">
        <v>1</v>
      </c>
      <c r="H835" s="1" t="s">
        <v>84</v>
      </c>
      <c r="I835" s="1">
        <v>2</v>
      </c>
      <c r="J835" s="1">
        <v>2</v>
      </c>
      <c r="K835" s="2">
        <v>2</v>
      </c>
      <c r="L835" s="2"/>
      <c r="M835" s="2"/>
      <c r="N835" s="2"/>
      <c r="O835" s="2"/>
      <c r="P835" s="2"/>
      <c r="Q835" s="2"/>
    </row>
    <row r="836" spans="1:17">
      <c r="A836" s="1" t="s">
        <v>25</v>
      </c>
      <c r="B836" s="1">
        <v>256</v>
      </c>
      <c r="C836" s="1" t="s">
        <v>116</v>
      </c>
      <c r="D836" s="2" t="s">
        <v>123</v>
      </c>
      <c r="E836" s="4">
        <v>46085</v>
      </c>
      <c r="F836" s="2">
        <f t="shared" si="25"/>
        <v>269</v>
      </c>
      <c r="G836" s="2">
        <v>2</v>
      </c>
      <c r="H836" s="1" t="s">
        <v>84</v>
      </c>
      <c r="I836" s="1">
        <v>5</v>
      </c>
      <c r="J836" s="1">
        <v>0</v>
      </c>
      <c r="K836" s="2">
        <v>1</v>
      </c>
      <c r="L836" s="2"/>
      <c r="M836" s="2"/>
      <c r="N836" s="2"/>
      <c r="O836" s="2"/>
      <c r="P836" s="2"/>
      <c r="Q836" s="2"/>
    </row>
    <row r="837" spans="1:17">
      <c r="A837" s="1" t="s">
        <v>25</v>
      </c>
      <c r="B837" s="1">
        <v>256</v>
      </c>
      <c r="C837" s="1" t="s">
        <v>116</v>
      </c>
      <c r="D837" s="2" t="s">
        <v>123</v>
      </c>
      <c r="E837" s="4">
        <v>46085</v>
      </c>
      <c r="F837" s="2">
        <f t="shared" si="25"/>
        <v>269</v>
      </c>
      <c r="G837" s="2">
        <v>3</v>
      </c>
      <c r="H837" s="1" t="s">
        <v>84</v>
      </c>
      <c r="I837" s="1">
        <v>8</v>
      </c>
      <c r="J837" s="1">
        <v>3</v>
      </c>
      <c r="K837" s="2">
        <v>2</v>
      </c>
      <c r="L837" s="2"/>
      <c r="M837" s="2"/>
      <c r="N837" s="2"/>
      <c r="O837" s="2"/>
      <c r="P837" s="2"/>
      <c r="Q837" s="2"/>
    </row>
    <row r="838" spans="1:17">
      <c r="A838" s="1" t="s">
        <v>25</v>
      </c>
      <c r="B838" s="1">
        <v>256</v>
      </c>
      <c r="C838" s="1" t="s">
        <v>116</v>
      </c>
      <c r="D838" s="2" t="s">
        <v>123</v>
      </c>
      <c r="E838" s="4">
        <v>46086</v>
      </c>
      <c r="F838" s="2">
        <f t="shared" si="25"/>
        <v>270</v>
      </c>
      <c r="G838" s="2">
        <v>1</v>
      </c>
      <c r="H838" s="1" t="s">
        <v>117</v>
      </c>
      <c r="I838" s="1">
        <v>1</v>
      </c>
      <c r="J838" s="1">
        <v>3</v>
      </c>
      <c r="K838" s="2"/>
      <c r="L838" s="2"/>
      <c r="M838" s="2"/>
      <c r="N838" s="2"/>
      <c r="O838" s="2">
        <v>3</v>
      </c>
      <c r="P838" s="2"/>
      <c r="Q838" s="2"/>
    </row>
    <row r="839" spans="1:17">
      <c r="A839" s="1" t="s">
        <v>25</v>
      </c>
      <c r="B839" s="1">
        <v>256</v>
      </c>
      <c r="C839" s="1" t="s">
        <v>116</v>
      </c>
      <c r="D839" s="2" t="s">
        <v>123</v>
      </c>
      <c r="E839" s="4">
        <v>46086</v>
      </c>
      <c r="F839" s="2">
        <f t="shared" si="25"/>
        <v>270</v>
      </c>
      <c r="G839" s="2">
        <v>2</v>
      </c>
      <c r="H839" s="1" t="s">
        <v>117</v>
      </c>
      <c r="I839" s="1">
        <v>6</v>
      </c>
      <c r="J839" s="1">
        <v>3</v>
      </c>
      <c r="K839" s="2"/>
      <c r="L839" s="2"/>
      <c r="M839" s="2"/>
      <c r="N839" s="2"/>
      <c r="O839" s="2">
        <v>2</v>
      </c>
      <c r="P839" s="2"/>
      <c r="Q839" s="2"/>
    </row>
    <row r="840" spans="1:17">
      <c r="A840" s="1" t="s">
        <v>25</v>
      </c>
      <c r="B840" s="1">
        <v>256</v>
      </c>
      <c r="C840" s="1" t="s">
        <v>116</v>
      </c>
      <c r="D840" s="2" t="s">
        <v>123</v>
      </c>
      <c r="E840" s="4">
        <v>46086</v>
      </c>
      <c r="F840" s="2">
        <f t="shared" si="25"/>
        <v>270</v>
      </c>
      <c r="G840" s="2">
        <v>3</v>
      </c>
      <c r="H840" s="1" t="s">
        <v>117</v>
      </c>
      <c r="I840" s="1">
        <v>6</v>
      </c>
      <c r="J840" s="1">
        <v>3</v>
      </c>
      <c r="K840" s="2"/>
      <c r="L840" s="2"/>
      <c r="M840" s="2"/>
      <c r="N840" s="2"/>
      <c r="O840" s="2">
        <v>1</v>
      </c>
      <c r="P840" s="2"/>
      <c r="Q840" s="2"/>
    </row>
    <row r="841" spans="1:17">
      <c r="A841" s="1" t="s">
        <v>25</v>
      </c>
      <c r="B841" s="1">
        <v>256</v>
      </c>
      <c r="C841" s="1" t="s">
        <v>116</v>
      </c>
      <c r="D841" s="2" t="s">
        <v>123</v>
      </c>
      <c r="E841" s="4">
        <v>46087</v>
      </c>
      <c r="F841" s="2">
        <f t="shared" si="25"/>
        <v>271</v>
      </c>
      <c r="G841" s="2">
        <v>1</v>
      </c>
      <c r="H841" s="1" t="s">
        <v>9</v>
      </c>
      <c r="I841" s="1">
        <v>2</v>
      </c>
      <c r="J841" s="1">
        <v>4</v>
      </c>
      <c r="K841" s="2"/>
      <c r="L841" s="2"/>
      <c r="M841" s="2"/>
      <c r="N841" s="2"/>
      <c r="O841" s="2"/>
      <c r="P841" s="2"/>
      <c r="Q841" s="2"/>
    </row>
    <row r="842" spans="1:17">
      <c r="A842" s="1" t="s">
        <v>25</v>
      </c>
      <c r="B842" s="1">
        <v>256</v>
      </c>
      <c r="C842" s="1" t="s">
        <v>116</v>
      </c>
      <c r="D842" s="2" t="s">
        <v>123</v>
      </c>
      <c r="E842" s="4">
        <v>46087</v>
      </c>
      <c r="F842" s="2">
        <f t="shared" si="25"/>
        <v>271</v>
      </c>
      <c r="G842" s="2">
        <v>2</v>
      </c>
      <c r="H842" s="1" t="s">
        <v>9</v>
      </c>
      <c r="I842" s="1">
        <v>7</v>
      </c>
      <c r="J842" s="1">
        <v>1</v>
      </c>
      <c r="K842" s="2"/>
      <c r="L842" s="2"/>
      <c r="M842" s="2"/>
      <c r="N842" s="2"/>
      <c r="O842" s="2"/>
      <c r="P842" s="2"/>
      <c r="Q842" s="2"/>
    </row>
    <row r="843" spans="1:17">
      <c r="A843" s="1" t="s">
        <v>25</v>
      </c>
      <c r="B843" s="1">
        <v>256</v>
      </c>
      <c r="C843" s="1" t="s">
        <v>116</v>
      </c>
      <c r="D843" s="2" t="s">
        <v>123</v>
      </c>
      <c r="E843" s="4">
        <v>46087</v>
      </c>
      <c r="F843" s="2">
        <f t="shared" ref="F843" si="26">F840+1</f>
        <v>271</v>
      </c>
      <c r="G843" s="2">
        <v>3</v>
      </c>
      <c r="H843" s="1" t="s">
        <v>9</v>
      </c>
      <c r="I843" s="1">
        <v>3</v>
      </c>
      <c r="J843" s="1">
        <v>6</v>
      </c>
      <c r="K843" s="2"/>
      <c r="L843" s="2"/>
      <c r="M843" s="2"/>
      <c r="N843" s="2"/>
      <c r="O843" s="2"/>
      <c r="P843" s="2"/>
      <c r="Q843" s="2"/>
    </row>
    <row r="844" spans="1:17">
      <c r="A844" s="1" t="s">
        <v>25</v>
      </c>
      <c r="B844" s="1">
        <v>256</v>
      </c>
      <c r="C844" s="1" t="s">
        <v>116</v>
      </c>
      <c r="D844" s="2" t="s">
        <v>123</v>
      </c>
      <c r="E844" s="4">
        <v>46091</v>
      </c>
      <c r="F844" s="2">
        <f t="shared" si="25"/>
        <v>272</v>
      </c>
      <c r="G844" s="2">
        <v>1</v>
      </c>
      <c r="H844" s="1" t="s">
        <v>9</v>
      </c>
      <c r="I844" s="1">
        <v>5</v>
      </c>
      <c r="J844" s="1">
        <v>3</v>
      </c>
      <c r="K844" s="2"/>
      <c r="L844" s="2"/>
      <c r="M844" s="2"/>
      <c r="N844" s="2"/>
      <c r="O844" s="2"/>
      <c r="P844" s="2"/>
      <c r="Q844" s="2"/>
    </row>
    <row r="845" spans="1:17">
      <c r="A845" s="1" t="s">
        <v>25</v>
      </c>
      <c r="B845" s="1">
        <v>256</v>
      </c>
      <c r="C845" s="1" t="s">
        <v>116</v>
      </c>
      <c r="D845" s="2" t="s">
        <v>123</v>
      </c>
      <c r="E845" s="4">
        <v>46091</v>
      </c>
      <c r="F845" s="2">
        <f t="shared" ref="F845:F846" si="27">F842+1</f>
        <v>272</v>
      </c>
      <c r="G845" s="2">
        <v>2</v>
      </c>
      <c r="H845" s="1" t="s">
        <v>9</v>
      </c>
      <c r="I845" s="1">
        <v>3</v>
      </c>
      <c r="J845" s="1">
        <v>1</v>
      </c>
      <c r="K845" s="2"/>
      <c r="L845" s="2"/>
      <c r="M845" s="2"/>
      <c r="N845" s="2"/>
      <c r="O845" s="2"/>
      <c r="P845" s="2"/>
      <c r="Q845" s="2"/>
    </row>
    <row r="846" spans="1:17">
      <c r="A846" s="1" t="s">
        <v>25</v>
      </c>
      <c r="B846" s="1">
        <v>256</v>
      </c>
      <c r="C846" s="1" t="s">
        <v>116</v>
      </c>
      <c r="D846" s="2" t="s">
        <v>123</v>
      </c>
      <c r="E846" s="4">
        <v>46091</v>
      </c>
      <c r="F846" s="2">
        <f t="shared" si="27"/>
        <v>272</v>
      </c>
      <c r="G846" s="2">
        <v>3</v>
      </c>
      <c r="H846" s="1" t="s">
        <v>9</v>
      </c>
      <c r="I846" s="1">
        <v>10</v>
      </c>
      <c r="J846" s="1">
        <v>0</v>
      </c>
      <c r="K846" s="2"/>
      <c r="L846" s="2"/>
      <c r="M846" s="2"/>
      <c r="N846" s="2"/>
      <c r="O846" s="2"/>
      <c r="P846" s="2"/>
      <c r="Q846" s="2"/>
    </row>
    <row r="847" spans="1:17">
      <c r="A847" s="1" t="s">
        <v>25</v>
      </c>
      <c r="B847" s="1">
        <v>256</v>
      </c>
      <c r="C847" s="1" t="s">
        <v>116</v>
      </c>
      <c r="D847" s="1" t="s">
        <v>124</v>
      </c>
      <c r="E847" s="4">
        <v>46092</v>
      </c>
      <c r="F847" s="2">
        <v>273</v>
      </c>
      <c r="G847" s="2">
        <v>1</v>
      </c>
      <c r="H847" s="1" t="s">
        <v>8</v>
      </c>
      <c r="I847" s="1">
        <v>4</v>
      </c>
      <c r="J847" s="1">
        <v>3</v>
      </c>
      <c r="K847" s="2">
        <v>0</v>
      </c>
      <c r="L847" s="2"/>
      <c r="M847" s="2"/>
      <c r="N847" s="2"/>
      <c r="O847" s="2"/>
      <c r="P847" s="2"/>
      <c r="Q847" s="2"/>
    </row>
    <row r="848" spans="1:17">
      <c r="A848" s="1" t="s">
        <v>25</v>
      </c>
      <c r="B848" s="1">
        <v>256</v>
      </c>
      <c r="C848" s="1" t="s">
        <v>116</v>
      </c>
      <c r="D848" s="1" t="s">
        <v>124</v>
      </c>
      <c r="E848" s="4">
        <v>46092</v>
      </c>
      <c r="F848" s="2">
        <f t="shared" ref="F848:F890" si="28">F844+1</f>
        <v>273</v>
      </c>
      <c r="G848" s="2">
        <v>2</v>
      </c>
      <c r="H848" s="1" t="s">
        <v>8</v>
      </c>
      <c r="I848" s="1">
        <v>4</v>
      </c>
      <c r="J848" s="1">
        <v>2</v>
      </c>
      <c r="K848" s="2">
        <v>1</v>
      </c>
      <c r="L848" s="2"/>
      <c r="M848" s="2"/>
      <c r="N848" s="2"/>
      <c r="O848" s="2"/>
      <c r="P848" s="2"/>
      <c r="Q848" s="2"/>
    </row>
    <row r="849" spans="1:17">
      <c r="A849" s="1" t="s">
        <v>25</v>
      </c>
      <c r="B849" s="1">
        <v>256</v>
      </c>
      <c r="C849" s="1" t="s">
        <v>116</v>
      </c>
      <c r="D849" s="1" t="s">
        <v>124</v>
      </c>
      <c r="E849" s="4">
        <v>46092</v>
      </c>
      <c r="F849" s="2">
        <f t="shared" si="28"/>
        <v>273</v>
      </c>
      <c r="G849" s="2">
        <v>3</v>
      </c>
      <c r="H849" s="1" t="s">
        <v>8</v>
      </c>
      <c r="I849" s="1">
        <v>3</v>
      </c>
      <c r="J849" s="1">
        <v>4</v>
      </c>
      <c r="K849" s="2">
        <v>0</v>
      </c>
      <c r="L849" s="2"/>
      <c r="M849" s="2"/>
      <c r="N849" s="2"/>
      <c r="O849" s="2"/>
      <c r="P849" s="2"/>
      <c r="Q849" s="2"/>
    </row>
    <row r="850" spans="1:17">
      <c r="A850" s="1" t="s">
        <v>25</v>
      </c>
      <c r="B850" s="1">
        <v>256</v>
      </c>
      <c r="C850" s="1" t="s">
        <v>116</v>
      </c>
      <c r="D850" s="1" t="s">
        <v>124</v>
      </c>
      <c r="E850" s="4">
        <v>46092</v>
      </c>
      <c r="F850" s="2">
        <f t="shared" si="28"/>
        <v>273</v>
      </c>
      <c r="G850" s="2">
        <v>4</v>
      </c>
      <c r="H850" s="1" t="s">
        <v>8</v>
      </c>
      <c r="I850" s="1">
        <v>6</v>
      </c>
      <c r="J850" s="1">
        <v>3</v>
      </c>
      <c r="K850" s="2">
        <v>3</v>
      </c>
      <c r="L850" s="2"/>
      <c r="M850" s="2"/>
      <c r="N850" s="2"/>
      <c r="O850" s="2"/>
      <c r="P850" s="2"/>
      <c r="Q850" s="2"/>
    </row>
    <row r="851" spans="1:17">
      <c r="A851" s="1" t="s">
        <v>25</v>
      </c>
      <c r="B851" s="1">
        <v>256</v>
      </c>
      <c r="C851" s="1" t="s">
        <v>116</v>
      </c>
      <c r="D851" s="1" t="s">
        <v>124</v>
      </c>
      <c r="E851" s="4">
        <v>46093</v>
      </c>
      <c r="F851" s="2">
        <f t="shared" si="28"/>
        <v>274</v>
      </c>
      <c r="G851" s="2">
        <v>1</v>
      </c>
      <c r="H851" s="1" t="s">
        <v>9</v>
      </c>
      <c r="I851" s="1">
        <v>5</v>
      </c>
      <c r="J851" s="1">
        <v>0</v>
      </c>
      <c r="K851" s="2"/>
      <c r="L851" s="2"/>
      <c r="M851" s="2"/>
      <c r="N851" s="2"/>
      <c r="O851" s="2"/>
      <c r="P851" s="2"/>
      <c r="Q851" s="2"/>
    </row>
    <row r="852" spans="1:17">
      <c r="A852" s="1" t="s">
        <v>25</v>
      </c>
      <c r="B852" s="1">
        <v>256</v>
      </c>
      <c r="C852" s="1" t="s">
        <v>116</v>
      </c>
      <c r="D852" s="1" t="s">
        <v>124</v>
      </c>
      <c r="E852" s="4">
        <v>46093</v>
      </c>
      <c r="F852" s="2">
        <f t="shared" si="28"/>
        <v>274</v>
      </c>
      <c r="G852" s="2">
        <v>2</v>
      </c>
      <c r="H852" s="1" t="s">
        <v>9</v>
      </c>
      <c r="I852" s="1">
        <v>2</v>
      </c>
      <c r="J852" s="1">
        <v>2</v>
      </c>
      <c r="K852" s="2"/>
      <c r="L852" s="2"/>
      <c r="M852" s="2"/>
      <c r="N852" s="2"/>
      <c r="O852" s="2"/>
      <c r="P852" s="2"/>
      <c r="Q852" s="2"/>
    </row>
    <row r="853" spans="1:17">
      <c r="A853" s="1" t="s">
        <v>25</v>
      </c>
      <c r="B853" s="1">
        <v>256</v>
      </c>
      <c r="C853" s="1" t="s">
        <v>116</v>
      </c>
      <c r="D853" s="1" t="s">
        <v>124</v>
      </c>
      <c r="E853" s="4">
        <v>46093</v>
      </c>
      <c r="F853" s="2">
        <f t="shared" si="28"/>
        <v>274</v>
      </c>
      <c r="G853" s="2">
        <v>3</v>
      </c>
      <c r="H853" s="1" t="s">
        <v>9</v>
      </c>
      <c r="I853" s="1">
        <v>5</v>
      </c>
      <c r="J853" s="1">
        <v>3</v>
      </c>
      <c r="K853" s="2"/>
      <c r="L853" s="2"/>
      <c r="M853" s="2"/>
      <c r="N853" s="2"/>
      <c r="O853" s="2"/>
      <c r="P853" s="2"/>
      <c r="Q853" s="2"/>
    </row>
    <row r="854" spans="1:17">
      <c r="A854" s="1" t="s">
        <v>25</v>
      </c>
      <c r="B854" s="1">
        <v>256</v>
      </c>
      <c r="C854" s="1" t="s">
        <v>116</v>
      </c>
      <c r="D854" s="1" t="s">
        <v>124</v>
      </c>
      <c r="E854" s="4">
        <v>46093</v>
      </c>
      <c r="F854" s="2">
        <f t="shared" si="28"/>
        <v>274</v>
      </c>
      <c r="G854" s="2">
        <v>4</v>
      </c>
      <c r="H854" s="1" t="s">
        <v>9</v>
      </c>
      <c r="I854" s="1">
        <v>6</v>
      </c>
      <c r="J854" s="1">
        <v>3</v>
      </c>
      <c r="K854" s="2"/>
      <c r="L854" s="2"/>
      <c r="M854" s="2"/>
      <c r="N854" s="2"/>
      <c r="O854" s="2"/>
      <c r="P854" s="2"/>
      <c r="Q854" s="2"/>
    </row>
    <row r="855" spans="1:17">
      <c r="A855" s="1" t="s">
        <v>25</v>
      </c>
      <c r="B855" s="1">
        <v>256</v>
      </c>
      <c r="C855" s="1" t="s">
        <v>116</v>
      </c>
      <c r="D855" s="1" t="s">
        <v>124</v>
      </c>
      <c r="E855" s="4">
        <v>46094</v>
      </c>
      <c r="F855" s="2">
        <f t="shared" si="28"/>
        <v>275</v>
      </c>
      <c r="G855" s="2">
        <v>1</v>
      </c>
      <c r="H855" s="1" t="s">
        <v>11</v>
      </c>
      <c r="I855" s="1">
        <v>4</v>
      </c>
      <c r="J855" s="1">
        <v>1</v>
      </c>
      <c r="K855" s="2"/>
      <c r="L855" s="2"/>
      <c r="M855" s="2"/>
      <c r="N855" s="2"/>
      <c r="O855" s="2"/>
      <c r="P855" s="2"/>
      <c r="Q855" s="2"/>
    </row>
    <row r="856" spans="1:17">
      <c r="A856" s="1" t="s">
        <v>25</v>
      </c>
      <c r="B856" s="1">
        <v>256</v>
      </c>
      <c r="C856" s="1" t="s">
        <v>116</v>
      </c>
      <c r="D856" s="1" t="s">
        <v>124</v>
      </c>
      <c r="E856" s="4">
        <v>46094</v>
      </c>
      <c r="F856" s="2">
        <f t="shared" si="28"/>
        <v>275</v>
      </c>
      <c r="G856" s="2">
        <v>2</v>
      </c>
      <c r="H856" s="1" t="s">
        <v>11</v>
      </c>
      <c r="I856" s="1">
        <v>5</v>
      </c>
      <c r="J856" s="1">
        <v>6</v>
      </c>
      <c r="K856" s="2"/>
      <c r="L856" s="2"/>
      <c r="M856" s="2"/>
      <c r="N856" s="2"/>
      <c r="O856" s="2"/>
      <c r="P856" s="2"/>
      <c r="Q856" s="2"/>
    </row>
    <row r="857" spans="1:17">
      <c r="A857" s="1" t="s">
        <v>25</v>
      </c>
      <c r="B857" s="1">
        <v>256</v>
      </c>
      <c r="C857" s="1" t="s">
        <v>116</v>
      </c>
      <c r="D857" s="1" t="s">
        <v>124</v>
      </c>
      <c r="E857" s="4">
        <v>46094</v>
      </c>
      <c r="F857" s="2">
        <f t="shared" si="28"/>
        <v>275</v>
      </c>
      <c r="G857" s="2">
        <v>3</v>
      </c>
      <c r="H857" s="1" t="s">
        <v>11</v>
      </c>
      <c r="I857" s="1">
        <v>4</v>
      </c>
      <c r="J857" s="1">
        <v>2</v>
      </c>
      <c r="K857" s="2"/>
      <c r="L857" s="2"/>
      <c r="M857" s="2"/>
      <c r="N857" s="2"/>
      <c r="O857" s="2"/>
      <c r="P857" s="2"/>
      <c r="Q857" s="2"/>
    </row>
    <row r="858" spans="1:17">
      <c r="A858" s="1" t="s">
        <v>25</v>
      </c>
      <c r="B858" s="1">
        <v>256</v>
      </c>
      <c r="C858" s="1" t="s">
        <v>116</v>
      </c>
      <c r="D858" s="1" t="s">
        <v>124</v>
      </c>
      <c r="E858" s="4">
        <v>46094</v>
      </c>
      <c r="F858" s="2">
        <f t="shared" si="28"/>
        <v>275</v>
      </c>
      <c r="G858" s="2">
        <v>4</v>
      </c>
      <c r="H858" s="1" t="s">
        <v>11</v>
      </c>
      <c r="I858" s="1">
        <v>6</v>
      </c>
      <c r="J858" s="1">
        <v>5</v>
      </c>
      <c r="K858" s="2"/>
      <c r="L858" s="2"/>
      <c r="M858" s="2"/>
      <c r="N858" s="2"/>
      <c r="O858" s="2"/>
      <c r="P858" s="2"/>
      <c r="Q858" s="2"/>
    </row>
    <row r="859" spans="1:17">
      <c r="A859" s="1" t="s">
        <v>25</v>
      </c>
      <c r="B859" s="1">
        <v>256</v>
      </c>
      <c r="C859" s="1" t="s">
        <v>116</v>
      </c>
      <c r="D859" s="1" t="s">
        <v>124</v>
      </c>
      <c r="E859" s="4">
        <v>46105</v>
      </c>
      <c r="F859" s="2">
        <f t="shared" si="28"/>
        <v>276</v>
      </c>
      <c r="G859" s="2">
        <v>1</v>
      </c>
      <c r="H859" s="1" t="s">
        <v>11</v>
      </c>
      <c r="I859" s="1">
        <v>3</v>
      </c>
      <c r="J859" s="1">
        <v>2</v>
      </c>
      <c r="K859" s="2"/>
      <c r="L859" s="2"/>
      <c r="M859" s="2"/>
      <c r="N859" s="2"/>
      <c r="O859" s="2"/>
      <c r="P859" s="2"/>
      <c r="Q859" s="2"/>
    </row>
    <row r="860" spans="1:17">
      <c r="A860" s="1" t="s">
        <v>25</v>
      </c>
      <c r="B860" s="1">
        <v>256</v>
      </c>
      <c r="C860" s="1" t="s">
        <v>116</v>
      </c>
      <c r="D860" s="1" t="s">
        <v>124</v>
      </c>
      <c r="E860" s="4">
        <v>46105</v>
      </c>
      <c r="F860" s="2">
        <f t="shared" si="28"/>
        <v>276</v>
      </c>
      <c r="G860" s="2">
        <v>2</v>
      </c>
      <c r="H860" s="1" t="s">
        <v>11</v>
      </c>
      <c r="I860" s="1">
        <v>4</v>
      </c>
      <c r="J860" s="1">
        <v>5</v>
      </c>
      <c r="K860" s="2"/>
      <c r="L860" s="2"/>
      <c r="M860" s="2"/>
      <c r="N860" s="2"/>
      <c r="O860" s="2"/>
      <c r="P860" s="2"/>
      <c r="Q860" s="2"/>
    </row>
    <row r="861" spans="1:17">
      <c r="A861" s="1" t="s">
        <v>25</v>
      </c>
      <c r="B861" s="1">
        <v>256</v>
      </c>
      <c r="C861" s="1" t="s">
        <v>116</v>
      </c>
      <c r="D861" s="1" t="s">
        <v>124</v>
      </c>
      <c r="E861" s="4">
        <v>46105</v>
      </c>
      <c r="F861" s="2">
        <f t="shared" si="28"/>
        <v>276</v>
      </c>
      <c r="G861" s="2">
        <v>3</v>
      </c>
      <c r="H861" s="1" t="s">
        <v>11</v>
      </c>
      <c r="I861" s="1">
        <v>3</v>
      </c>
      <c r="J861" s="1">
        <v>2</v>
      </c>
      <c r="K861" s="2"/>
      <c r="L861" s="2"/>
      <c r="M861" s="2"/>
      <c r="N861" s="2"/>
      <c r="O861" s="2"/>
      <c r="P861" s="2"/>
      <c r="Q861" s="2"/>
    </row>
    <row r="862" spans="1:17">
      <c r="A862" s="1" t="s">
        <v>25</v>
      </c>
      <c r="B862" s="1">
        <v>256</v>
      </c>
      <c r="C862" s="1" t="s">
        <v>116</v>
      </c>
      <c r="D862" s="1" t="s">
        <v>124</v>
      </c>
      <c r="E862" s="4">
        <v>46105</v>
      </c>
      <c r="F862" s="2">
        <f t="shared" si="28"/>
        <v>276</v>
      </c>
      <c r="G862" s="2">
        <v>4</v>
      </c>
      <c r="H862" s="1" t="s">
        <v>11</v>
      </c>
      <c r="I862" s="1">
        <v>2</v>
      </c>
      <c r="J862" s="1">
        <v>1</v>
      </c>
      <c r="K862" s="2"/>
      <c r="L862" s="2"/>
      <c r="M862" s="2"/>
      <c r="N862" s="2"/>
      <c r="O862" s="2"/>
      <c r="P862" s="2"/>
      <c r="Q862" s="2"/>
    </row>
    <row r="863" spans="1:17">
      <c r="A863" s="1" t="s">
        <v>25</v>
      </c>
      <c r="B863" s="1">
        <v>256</v>
      </c>
      <c r="C863" s="1" t="s">
        <v>116</v>
      </c>
      <c r="D863" s="1" t="s">
        <v>124</v>
      </c>
      <c r="E863" s="4">
        <v>46106</v>
      </c>
      <c r="F863" s="2">
        <f t="shared" si="28"/>
        <v>277</v>
      </c>
      <c r="G863" s="2">
        <v>1</v>
      </c>
      <c r="H863" s="1" t="s">
        <v>11</v>
      </c>
      <c r="I863" s="1">
        <v>4</v>
      </c>
      <c r="J863" s="1">
        <v>4</v>
      </c>
      <c r="K863" s="2"/>
      <c r="L863" s="2">
        <v>0</v>
      </c>
      <c r="M863" s="2"/>
      <c r="N863" s="2"/>
      <c r="O863" s="2"/>
      <c r="P863" s="2"/>
      <c r="Q863" s="2"/>
    </row>
    <row r="864" spans="1:17">
      <c r="A864" s="1" t="s">
        <v>25</v>
      </c>
      <c r="B864" s="1">
        <v>256</v>
      </c>
      <c r="C864" s="1" t="s">
        <v>116</v>
      </c>
      <c r="D864" s="1" t="s">
        <v>124</v>
      </c>
      <c r="E864" s="4">
        <v>46106</v>
      </c>
      <c r="F864" s="2">
        <f t="shared" si="28"/>
        <v>277</v>
      </c>
      <c r="G864" s="2">
        <v>2</v>
      </c>
      <c r="H864" s="1" t="s">
        <v>11</v>
      </c>
      <c r="I864" s="1">
        <v>6</v>
      </c>
      <c r="J864" s="1">
        <v>3</v>
      </c>
      <c r="K864" s="2"/>
      <c r="L864" s="2">
        <v>1</v>
      </c>
      <c r="M864" s="2"/>
      <c r="N864" s="2"/>
      <c r="O864" s="2"/>
      <c r="P864" s="2"/>
      <c r="Q864" s="2"/>
    </row>
    <row r="865" spans="1:17">
      <c r="A865" s="1" t="s">
        <v>25</v>
      </c>
      <c r="B865" s="1">
        <v>256</v>
      </c>
      <c r="C865" s="1" t="s">
        <v>116</v>
      </c>
      <c r="D865" s="1" t="s">
        <v>124</v>
      </c>
      <c r="E865" s="4">
        <v>46106</v>
      </c>
      <c r="F865" s="2">
        <f t="shared" si="28"/>
        <v>277</v>
      </c>
      <c r="G865" s="2">
        <v>3</v>
      </c>
      <c r="H865" s="1" t="s">
        <v>11</v>
      </c>
      <c r="I865" s="1">
        <v>3</v>
      </c>
      <c r="J865" s="1">
        <v>2</v>
      </c>
      <c r="K865" s="2"/>
      <c r="L865" s="2">
        <v>2</v>
      </c>
      <c r="M865" s="2"/>
      <c r="N865" s="2"/>
      <c r="O865" s="2"/>
      <c r="P865" s="2"/>
      <c r="Q865" s="2"/>
    </row>
    <row r="866" spans="1:17">
      <c r="A866" s="1" t="s">
        <v>25</v>
      </c>
      <c r="B866" s="1">
        <v>256</v>
      </c>
      <c r="C866" s="1" t="s">
        <v>116</v>
      </c>
      <c r="D866" s="1" t="s">
        <v>124</v>
      </c>
      <c r="E866" s="4">
        <v>46106</v>
      </c>
      <c r="F866" s="2">
        <f t="shared" si="28"/>
        <v>277</v>
      </c>
      <c r="G866" s="2">
        <v>4</v>
      </c>
      <c r="H866" s="1" t="s">
        <v>11</v>
      </c>
      <c r="I866" s="1">
        <v>4</v>
      </c>
      <c r="J866" s="1">
        <v>0</v>
      </c>
      <c r="K866" s="2"/>
      <c r="L866" s="2">
        <v>6</v>
      </c>
      <c r="M866" s="2"/>
      <c r="N866" s="2"/>
      <c r="O866" s="2"/>
      <c r="P866" s="2"/>
      <c r="Q866" s="2"/>
    </row>
    <row r="867" spans="1:17">
      <c r="A867" s="1" t="s">
        <v>25</v>
      </c>
      <c r="B867" s="1">
        <v>256</v>
      </c>
      <c r="C867" s="1" t="s">
        <v>116</v>
      </c>
      <c r="D867" s="1" t="s">
        <v>124</v>
      </c>
      <c r="E867" s="4">
        <v>46108</v>
      </c>
      <c r="F867" s="2">
        <f t="shared" si="28"/>
        <v>278</v>
      </c>
      <c r="G867" s="2">
        <v>1</v>
      </c>
      <c r="H867" s="1" t="s">
        <v>9</v>
      </c>
      <c r="I867" s="1">
        <v>3</v>
      </c>
      <c r="J867" s="1">
        <v>1</v>
      </c>
      <c r="K867" s="2"/>
      <c r="L867" s="2"/>
      <c r="M867" s="2"/>
      <c r="N867" s="2"/>
      <c r="O867" s="2"/>
      <c r="P867" s="2"/>
      <c r="Q867" s="2"/>
    </row>
    <row r="868" spans="1:17">
      <c r="A868" s="1" t="s">
        <v>25</v>
      </c>
      <c r="B868" s="1">
        <v>256</v>
      </c>
      <c r="C868" s="1" t="s">
        <v>116</v>
      </c>
      <c r="D868" s="1" t="s">
        <v>124</v>
      </c>
      <c r="E868" s="4">
        <v>46108</v>
      </c>
      <c r="F868" s="2">
        <f t="shared" si="28"/>
        <v>278</v>
      </c>
      <c r="G868" s="2">
        <v>2</v>
      </c>
      <c r="H868" s="1" t="s">
        <v>9</v>
      </c>
      <c r="I868" s="1">
        <v>2</v>
      </c>
      <c r="J868" s="1">
        <v>4</v>
      </c>
      <c r="K868" s="2"/>
      <c r="L868" s="2"/>
      <c r="M868" s="2"/>
      <c r="N868" s="2"/>
      <c r="O868" s="2"/>
      <c r="P868" s="2"/>
      <c r="Q868" s="2"/>
    </row>
    <row r="869" spans="1:17">
      <c r="A869" s="1" t="s">
        <v>25</v>
      </c>
      <c r="B869" s="1">
        <v>256</v>
      </c>
      <c r="C869" s="1" t="s">
        <v>116</v>
      </c>
      <c r="D869" s="1" t="s">
        <v>124</v>
      </c>
      <c r="E869" s="4">
        <v>46108</v>
      </c>
      <c r="F869" s="2">
        <f t="shared" si="28"/>
        <v>278</v>
      </c>
      <c r="G869" s="2">
        <v>3</v>
      </c>
      <c r="H869" s="1" t="s">
        <v>9</v>
      </c>
      <c r="I869" s="1">
        <v>5</v>
      </c>
      <c r="J869" s="1">
        <v>2</v>
      </c>
      <c r="K869" s="2"/>
      <c r="L869" s="2"/>
      <c r="M869" s="2"/>
      <c r="N869" s="2"/>
      <c r="O869" s="2"/>
      <c r="P869" s="2"/>
      <c r="Q869" s="2"/>
    </row>
    <row r="870" spans="1:17">
      <c r="A870" s="1" t="s">
        <v>25</v>
      </c>
      <c r="B870" s="1">
        <v>256</v>
      </c>
      <c r="C870" s="1" t="s">
        <v>116</v>
      </c>
      <c r="D870" s="1" t="s">
        <v>124</v>
      </c>
      <c r="E870" s="4">
        <v>46108</v>
      </c>
      <c r="F870" s="2">
        <f t="shared" si="28"/>
        <v>278</v>
      </c>
      <c r="G870" s="2">
        <v>4</v>
      </c>
      <c r="H870" s="1" t="s">
        <v>9</v>
      </c>
      <c r="I870" s="1">
        <v>4</v>
      </c>
      <c r="J870" s="1">
        <v>2</v>
      </c>
      <c r="K870" s="2"/>
      <c r="L870" s="2"/>
      <c r="M870" s="2"/>
      <c r="N870" s="2"/>
      <c r="O870" s="2"/>
      <c r="P870" s="2"/>
      <c r="Q870" s="2"/>
    </row>
    <row r="871" spans="1:17">
      <c r="A871" s="1" t="s">
        <v>25</v>
      </c>
      <c r="B871" s="1">
        <v>256</v>
      </c>
      <c r="C871" s="1" t="s">
        <v>116</v>
      </c>
      <c r="D871" s="1" t="s">
        <v>124</v>
      </c>
      <c r="E871" s="4">
        <v>46114</v>
      </c>
      <c r="F871" s="2">
        <f t="shared" si="28"/>
        <v>279</v>
      </c>
      <c r="G871" s="2">
        <v>1</v>
      </c>
      <c r="H871" s="1" t="s">
        <v>9</v>
      </c>
      <c r="I871" s="1">
        <v>5</v>
      </c>
      <c r="J871" s="1">
        <v>2</v>
      </c>
      <c r="K871" s="2"/>
      <c r="L871" s="2"/>
      <c r="M871" s="2"/>
      <c r="N871" s="2"/>
      <c r="O871" s="2"/>
      <c r="P871" s="2"/>
      <c r="Q871" s="2"/>
    </row>
    <row r="872" spans="1:17">
      <c r="A872" s="1" t="s">
        <v>25</v>
      </c>
      <c r="B872" s="1">
        <v>256</v>
      </c>
      <c r="C872" s="1" t="s">
        <v>116</v>
      </c>
      <c r="D872" s="1" t="s">
        <v>124</v>
      </c>
      <c r="E872" s="4">
        <v>46114</v>
      </c>
      <c r="F872" s="2">
        <f t="shared" si="28"/>
        <v>279</v>
      </c>
      <c r="G872" s="2">
        <v>2</v>
      </c>
      <c r="H872" s="1" t="s">
        <v>9</v>
      </c>
      <c r="I872" s="1">
        <v>3</v>
      </c>
      <c r="J872" s="1">
        <v>3</v>
      </c>
      <c r="K872" s="2"/>
      <c r="L872" s="2"/>
      <c r="M872" s="2"/>
      <c r="N872" s="2"/>
      <c r="O872" s="2"/>
      <c r="P872" s="2"/>
      <c r="Q872" s="2"/>
    </row>
    <row r="873" spans="1:17">
      <c r="A873" s="1" t="s">
        <v>25</v>
      </c>
      <c r="B873" s="1">
        <v>256</v>
      </c>
      <c r="C873" s="1" t="s">
        <v>116</v>
      </c>
      <c r="D873" s="1" t="s">
        <v>124</v>
      </c>
      <c r="E873" s="4">
        <v>46114</v>
      </c>
      <c r="F873" s="2">
        <f t="shared" si="28"/>
        <v>279</v>
      </c>
      <c r="G873" s="2">
        <v>3</v>
      </c>
      <c r="H873" s="1" t="s">
        <v>9</v>
      </c>
      <c r="I873" s="1">
        <v>5</v>
      </c>
      <c r="J873" s="1">
        <v>2</v>
      </c>
      <c r="K873" s="2"/>
      <c r="L873" s="2"/>
      <c r="M873" s="2"/>
      <c r="N873" s="2"/>
      <c r="O873" s="2"/>
      <c r="P873" s="2"/>
      <c r="Q873" s="2"/>
    </row>
    <row r="874" spans="1:17">
      <c r="A874" s="1" t="s">
        <v>25</v>
      </c>
      <c r="B874" s="1">
        <v>256</v>
      </c>
      <c r="C874" s="1" t="s">
        <v>116</v>
      </c>
      <c r="D874" s="1" t="s">
        <v>124</v>
      </c>
      <c r="E874" s="4">
        <v>46114</v>
      </c>
      <c r="F874" s="2">
        <f t="shared" si="28"/>
        <v>279</v>
      </c>
      <c r="G874" s="2">
        <v>4</v>
      </c>
      <c r="H874" s="1" t="s">
        <v>9</v>
      </c>
      <c r="I874" s="1">
        <v>5</v>
      </c>
      <c r="J874" s="1">
        <v>3</v>
      </c>
      <c r="K874" s="2"/>
      <c r="L874" s="2"/>
      <c r="M874" s="2"/>
      <c r="N874" s="2"/>
      <c r="O874" s="2"/>
      <c r="P874" s="2"/>
      <c r="Q874" s="2"/>
    </row>
    <row r="875" spans="1:17">
      <c r="A875" s="1" t="s">
        <v>25</v>
      </c>
      <c r="B875" s="1">
        <v>256</v>
      </c>
      <c r="C875" s="1" t="s">
        <v>116</v>
      </c>
      <c r="D875" s="1" t="s">
        <v>124</v>
      </c>
      <c r="E875" s="4">
        <v>46121</v>
      </c>
      <c r="F875" s="2">
        <f t="shared" si="28"/>
        <v>280</v>
      </c>
      <c r="G875" s="2">
        <v>1</v>
      </c>
      <c r="H875" s="1" t="s">
        <v>11</v>
      </c>
      <c r="I875" s="1">
        <v>4</v>
      </c>
      <c r="J875" s="1">
        <v>0</v>
      </c>
      <c r="K875" s="2"/>
      <c r="L875" s="2"/>
      <c r="M875" s="2"/>
      <c r="N875" s="2"/>
      <c r="O875" s="2"/>
      <c r="P875" s="2"/>
      <c r="Q875" s="2"/>
    </row>
    <row r="876" spans="1:17">
      <c r="A876" s="1" t="s">
        <v>25</v>
      </c>
      <c r="B876" s="1">
        <v>256</v>
      </c>
      <c r="C876" s="1" t="s">
        <v>116</v>
      </c>
      <c r="D876" s="1" t="s">
        <v>124</v>
      </c>
      <c r="E876" s="4">
        <v>46121</v>
      </c>
      <c r="F876" s="2">
        <f t="shared" si="28"/>
        <v>280</v>
      </c>
      <c r="G876" s="2">
        <v>2</v>
      </c>
      <c r="H876" s="1" t="s">
        <v>11</v>
      </c>
      <c r="I876" s="1">
        <v>3</v>
      </c>
      <c r="J876" s="1">
        <v>1</v>
      </c>
      <c r="K876" s="2"/>
      <c r="L876" s="2"/>
      <c r="M876" s="2"/>
      <c r="N876" s="2"/>
      <c r="O876" s="2"/>
      <c r="P876" s="2"/>
      <c r="Q876" s="2"/>
    </row>
    <row r="877" spans="1:17">
      <c r="A877" s="1" t="s">
        <v>25</v>
      </c>
      <c r="B877" s="1">
        <v>256</v>
      </c>
      <c r="C877" s="1" t="s">
        <v>116</v>
      </c>
      <c r="D877" s="1" t="s">
        <v>124</v>
      </c>
      <c r="E877" s="4">
        <v>46121</v>
      </c>
      <c r="F877" s="2">
        <f t="shared" si="28"/>
        <v>280</v>
      </c>
      <c r="G877" s="2">
        <v>3</v>
      </c>
      <c r="H877" s="1" t="s">
        <v>11</v>
      </c>
      <c r="I877" s="1">
        <v>6</v>
      </c>
      <c r="J877" s="1">
        <v>1</v>
      </c>
      <c r="K877" s="2"/>
      <c r="L877" s="2"/>
      <c r="M877" s="2"/>
      <c r="N877" s="2"/>
      <c r="O877" s="2"/>
      <c r="P877" s="2"/>
      <c r="Q877" s="2"/>
    </row>
    <row r="878" spans="1:17">
      <c r="A878" s="1" t="s">
        <v>25</v>
      </c>
      <c r="B878" s="1">
        <v>256</v>
      </c>
      <c r="C878" s="1" t="s">
        <v>116</v>
      </c>
      <c r="D878" s="1" t="s">
        <v>124</v>
      </c>
      <c r="E878" s="4">
        <v>46121</v>
      </c>
      <c r="F878" s="2">
        <f t="shared" si="28"/>
        <v>280</v>
      </c>
      <c r="G878" s="2">
        <v>4</v>
      </c>
      <c r="H878" s="1" t="s">
        <v>11</v>
      </c>
      <c r="I878" s="1">
        <v>5</v>
      </c>
      <c r="J878" s="1">
        <v>3</v>
      </c>
      <c r="K878" s="2"/>
      <c r="L878" s="2"/>
      <c r="M878" s="2"/>
      <c r="N878" s="2"/>
      <c r="O878" s="2"/>
      <c r="P878" s="2"/>
      <c r="Q878" s="2"/>
    </row>
    <row r="879" spans="1:17">
      <c r="A879" s="1" t="s">
        <v>25</v>
      </c>
      <c r="B879" s="1">
        <v>256</v>
      </c>
      <c r="C879" s="1" t="s">
        <v>116</v>
      </c>
      <c r="D879" s="1" t="s">
        <v>124</v>
      </c>
      <c r="E879" s="4">
        <v>46122</v>
      </c>
      <c r="F879" s="2">
        <f t="shared" si="28"/>
        <v>281</v>
      </c>
      <c r="G879" s="2">
        <v>1</v>
      </c>
      <c r="H879" s="1" t="s">
        <v>9</v>
      </c>
      <c r="I879" s="1">
        <v>5</v>
      </c>
      <c r="J879" s="1">
        <v>6</v>
      </c>
      <c r="K879" s="2"/>
      <c r="L879" s="2"/>
      <c r="M879" s="2"/>
      <c r="N879" s="2"/>
      <c r="O879" s="2"/>
      <c r="P879" s="2"/>
      <c r="Q879" s="2"/>
    </row>
    <row r="880" spans="1:17">
      <c r="A880" s="1" t="s">
        <v>25</v>
      </c>
      <c r="B880" s="1">
        <v>256</v>
      </c>
      <c r="C880" s="1" t="s">
        <v>116</v>
      </c>
      <c r="D880" s="1" t="s">
        <v>124</v>
      </c>
      <c r="E880" s="4">
        <v>46122</v>
      </c>
      <c r="F880" s="2">
        <f t="shared" si="28"/>
        <v>281</v>
      </c>
      <c r="G880" s="2">
        <v>2</v>
      </c>
      <c r="H880" s="1" t="s">
        <v>9</v>
      </c>
      <c r="I880" s="1">
        <v>5</v>
      </c>
      <c r="J880" s="1">
        <v>2</v>
      </c>
      <c r="K880" s="2"/>
      <c r="L880" s="2"/>
      <c r="M880" s="2"/>
      <c r="N880" s="2"/>
      <c r="O880" s="2"/>
      <c r="P880" s="2"/>
      <c r="Q880" s="2"/>
    </row>
    <row r="881" spans="1:17">
      <c r="A881" s="1" t="s">
        <v>25</v>
      </c>
      <c r="B881" s="1">
        <v>256</v>
      </c>
      <c r="C881" s="1" t="s">
        <v>116</v>
      </c>
      <c r="D881" s="1" t="s">
        <v>124</v>
      </c>
      <c r="E881" s="4">
        <v>46122</v>
      </c>
      <c r="F881" s="2">
        <f t="shared" si="28"/>
        <v>281</v>
      </c>
      <c r="G881" s="2">
        <v>3</v>
      </c>
      <c r="H881" s="1" t="s">
        <v>9</v>
      </c>
      <c r="I881" s="1">
        <v>3</v>
      </c>
      <c r="J881" s="1">
        <v>0</v>
      </c>
      <c r="K881" s="2"/>
      <c r="L881" s="2"/>
      <c r="M881" s="2"/>
      <c r="N881" s="2"/>
      <c r="O881" s="2"/>
      <c r="P881" s="2"/>
      <c r="Q881" s="2"/>
    </row>
    <row r="882" spans="1:17">
      <c r="A882" s="1" t="s">
        <v>25</v>
      </c>
      <c r="B882" s="1">
        <v>256</v>
      </c>
      <c r="C882" s="1" t="s">
        <v>116</v>
      </c>
      <c r="D882" s="1" t="s">
        <v>124</v>
      </c>
      <c r="E882" s="4">
        <v>46122</v>
      </c>
      <c r="F882" s="2">
        <f t="shared" si="28"/>
        <v>281</v>
      </c>
      <c r="G882" s="2">
        <v>4</v>
      </c>
      <c r="H882" s="1" t="s">
        <v>9</v>
      </c>
      <c r="I882" s="1">
        <v>8</v>
      </c>
      <c r="J882" s="1">
        <v>1</v>
      </c>
      <c r="K882" s="2"/>
      <c r="L882" s="2"/>
      <c r="M882" s="2"/>
      <c r="N882" s="2"/>
      <c r="O882" s="2"/>
      <c r="P882" s="2"/>
      <c r="Q882" s="2"/>
    </row>
    <row r="883" spans="1:17">
      <c r="A883" s="1" t="s">
        <v>25</v>
      </c>
      <c r="B883" s="1">
        <v>256</v>
      </c>
      <c r="C883" s="1" t="s">
        <v>116</v>
      </c>
      <c r="D883" s="1" t="s">
        <v>124</v>
      </c>
      <c r="E883" s="4">
        <v>46127</v>
      </c>
      <c r="F883" s="2">
        <f t="shared" si="28"/>
        <v>282</v>
      </c>
      <c r="G883" s="2">
        <v>1</v>
      </c>
      <c r="H883" s="1" t="s">
        <v>11</v>
      </c>
      <c r="I883" s="1">
        <v>6</v>
      </c>
      <c r="J883" s="1">
        <v>3</v>
      </c>
      <c r="K883" s="2"/>
      <c r="L883" s="2"/>
      <c r="M883" s="2"/>
      <c r="N883" s="2"/>
      <c r="O883" s="2"/>
      <c r="P883" s="2"/>
      <c r="Q883" s="2"/>
    </row>
    <row r="884" spans="1:17">
      <c r="A884" s="1" t="s">
        <v>25</v>
      </c>
      <c r="B884" s="1">
        <v>256</v>
      </c>
      <c r="C884" s="1" t="s">
        <v>116</v>
      </c>
      <c r="D884" s="1" t="s">
        <v>124</v>
      </c>
      <c r="E884" s="4">
        <v>46127</v>
      </c>
      <c r="F884" s="2">
        <f t="shared" si="28"/>
        <v>282</v>
      </c>
      <c r="G884" s="2">
        <v>2</v>
      </c>
      <c r="H884" s="1" t="s">
        <v>11</v>
      </c>
      <c r="I884" s="1">
        <v>4</v>
      </c>
      <c r="J884" s="1">
        <v>3</v>
      </c>
      <c r="K884" s="2"/>
      <c r="L884" s="2"/>
      <c r="M884" s="2"/>
      <c r="N884" s="2"/>
      <c r="O884" s="2"/>
      <c r="P884" s="2"/>
      <c r="Q884" s="2"/>
    </row>
    <row r="885" spans="1:17">
      <c r="A885" s="1" t="s">
        <v>25</v>
      </c>
      <c r="B885" s="1">
        <v>256</v>
      </c>
      <c r="C885" s="1" t="s">
        <v>116</v>
      </c>
      <c r="D885" s="1" t="s">
        <v>124</v>
      </c>
      <c r="E885" s="4">
        <v>46127</v>
      </c>
      <c r="F885" s="2">
        <f t="shared" si="28"/>
        <v>282</v>
      </c>
      <c r="G885" s="2">
        <v>3</v>
      </c>
      <c r="H885" s="1" t="s">
        <v>11</v>
      </c>
      <c r="I885" s="1">
        <v>4</v>
      </c>
      <c r="J885" s="1">
        <v>2</v>
      </c>
      <c r="K885" s="2"/>
      <c r="L885" s="2"/>
      <c r="M885" s="2"/>
      <c r="N885" s="2"/>
      <c r="O885" s="2"/>
      <c r="P885" s="2"/>
      <c r="Q885" s="2"/>
    </row>
    <row r="886" spans="1:17">
      <c r="A886" s="1" t="s">
        <v>25</v>
      </c>
      <c r="B886" s="1">
        <v>256</v>
      </c>
      <c r="C886" s="1" t="s">
        <v>116</v>
      </c>
      <c r="D886" s="1" t="s">
        <v>124</v>
      </c>
      <c r="E886" s="4">
        <v>46127</v>
      </c>
      <c r="F886" s="2">
        <f t="shared" si="28"/>
        <v>282</v>
      </c>
      <c r="G886" s="2">
        <v>4</v>
      </c>
      <c r="H886" s="1" t="s">
        <v>11</v>
      </c>
      <c r="I886" s="1">
        <v>6</v>
      </c>
      <c r="J886" s="1">
        <v>0</v>
      </c>
      <c r="K886" s="2"/>
      <c r="L886" s="2"/>
      <c r="M886" s="2"/>
      <c r="N886" s="2"/>
      <c r="O886" s="2"/>
      <c r="P886" s="2"/>
      <c r="Q886" s="2"/>
    </row>
    <row r="887" spans="1:17">
      <c r="A887" s="1" t="s">
        <v>25</v>
      </c>
      <c r="B887" s="1">
        <v>256</v>
      </c>
      <c r="C887" s="1" t="s">
        <v>116</v>
      </c>
      <c r="D887" s="1" t="s">
        <v>124</v>
      </c>
      <c r="E887" s="4">
        <v>46132</v>
      </c>
      <c r="F887" s="2">
        <f t="shared" si="28"/>
        <v>283</v>
      </c>
      <c r="G887" s="2">
        <v>1</v>
      </c>
      <c r="H887" s="1" t="s">
        <v>11</v>
      </c>
      <c r="I887" s="1">
        <v>5</v>
      </c>
      <c r="J887" s="1">
        <v>3</v>
      </c>
      <c r="K887" s="2"/>
      <c r="L887" s="2"/>
      <c r="M887" s="2"/>
      <c r="N887" s="2"/>
      <c r="O887" s="2"/>
      <c r="P887" s="2"/>
      <c r="Q887" s="2"/>
    </row>
    <row r="888" spans="1:17">
      <c r="A888" s="1" t="s">
        <v>25</v>
      </c>
      <c r="B888" s="1">
        <v>256</v>
      </c>
      <c r="C888" s="1" t="s">
        <v>116</v>
      </c>
      <c r="D888" s="1" t="s">
        <v>124</v>
      </c>
      <c r="E888" s="4">
        <v>46132</v>
      </c>
      <c r="F888" s="2">
        <f t="shared" si="28"/>
        <v>283</v>
      </c>
      <c r="G888" s="2">
        <v>2</v>
      </c>
      <c r="H888" s="1" t="s">
        <v>11</v>
      </c>
      <c r="I888" s="1">
        <v>5</v>
      </c>
      <c r="J888" s="1">
        <v>0</v>
      </c>
      <c r="K888" s="2"/>
      <c r="L888" s="2"/>
      <c r="M888" s="2"/>
      <c r="N888" s="2"/>
      <c r="O888" s="2"/>
      <c r="P888" s="2"/>
      <c r="Q888" s="2"/>
    </row>
    <row r="889" spans="1:17">
      <c r="A889" s="1" t="s">
        <v>25</v>
      </c>
      <c r="B889" s="1">
        <v>256</v>
      </c>
      <c r="C889" s="1" t="s">
        <v>116</v>
      </c>
      <c r="D889" s="1" t="s">
        <v>124</v>
      </c>
      <c r="E889" s="4">
        <v>46132</v>
      </c>
      <c r="F889" s="2">
        <f t="shared" si="28"/>
        <v>283</v>
      </c>
      <c r="G889" s="2">
        <v>3</v>
      </c>
      <c r="H889" s="1" t="s">
        <v>11</v>
      </c>
      <c r="I889" s="1">
        <v>4</v>
      </c>
      <c r="J889" s="1">
        <v>0</v>
      </c>
      <c r="K889" s="2"/>
      <c r="L889" s="2"/>
      <c r="M889" s="2"/>
      <c r="N889" s="2"/>
      <c r="O889" s="2"/>
      <c r="P889" s="2"/>
      <c r="Q889" s="2"/>
    </row>
    <row r="890" spans="1:17">
      <c r="A890" s="1" t="s">
        <v>25</v>
      </c>
      <c r="B890" s="1">
        <v>256</v>
      </c>
      <c r="C890" s="1" t="s">
        <v>116</v>
      </c>
      <c r="D890" s="1" t="s">
        <v>124</v>
      </c>
      <c r="E890" s="4">
        <v>46132</v>
      </c>
      <c r="F890" s="2">
        <f t="shared" si="28"/>
        <v>283</v>
      </c>
      <c r="G890" s="2">
        <v>4</v>
      </c>
      <c r="H890" s="1" t="s">
        <v>11</v>
      </c>
      <c r="I890" s="1">
        <v>6</v>
      </c>
      <c r="J890" s="1">
        <v>3</v>
      </c>
      <c r="K890" s="2"/>
      <c r="L890" s="2"/>
      <c r="M890" s="2"/>
      <c r="N890" s="2"/>
      <c r="O890" s="2"/>
      <c r="P890" s="2"/>
      <c r="Q890" s="2"/>
    </row>
    <row r="891" spans="1:17">
      <c r="A891" s="1" t="s">
        <v>25</v>
      </c>
      <c r="B891" s="1">
        <v>256</v>
      </c>
      <c r="C891" s="1" t="s">
        <v>116</v>
      </c>
      <c r="D891" s="1" t="s">
        <v>124</v>
      </c>
      <c r="E891" s="4">
        <v>46148</v>
      </c>
      <c r="F891" s="2">
        <f t="shared" ref="F891:F903" si="29">F887+1</f>
        <v>284</v>
      </c>
      <c r="G891" s="2">
        <v>1</v>
      </c>
      <c r="H891" s="1" t="s">
        <v>11</v>
      </c>
      <c r="I891" s="1">
        <v>2</v>
      </c>
      <c r="J891" s="1">
        <v>1</v>
      </c>
      <c r="K891" s="2"/>
      <c r="L891" s="2"/>
      <c r="M891" s="2"/>
      <c r="N891" s="2"/>
      <c r="O891" s="2"/>
      <c r="P891" s="2"/>
      <c r="Q891" s="2"/>
    </row>
    <row r="892" spans="1:17">
      <c r="A892" s="1" t="s">
        <v>25</v>
      </c>
      <c r="B892" s="1">
        <v>256</v>
      </c>
      <c r="C892" s="1" t="s">
        <v>116</v>
      </c>
      <c r="D892" s="1" t="s">
        <v>124</v>
      </c>
      <c r="E892" s="4">
        <v>46148</v>
      </c>
      <c r="F892" s="2">
        <f t="shared" si="29"/>
        <v>284</v>
      </c>
      <c r="G892" s="2">
        <v>2</v>
      </c>
      <c r="H892" s="1" t="s">
        <v>11</v>
      </c>
      <c r="I892" s="1">
        <v>3</v>
      </c>
      <c r="J892" s="1">
        <v>1</v>
      </c>
      <c r="K892" s="2"/>
      <c r="L892" s="2"/>
      <c r="M892" s="2"/>
      <c r="N892" s="2"/>
      <c r="O892" s="2"/>
      <c r="P892" s="2"/>
      <c r="Q892" s="2"/>
    </row>
    <row r="893" spans="1:17">
      <c r="A893" s="1" t="s">
        <v>25</v>
      </c>
      <c r="B893" s="1">
        <v>256</v>
      </c>
      <c r="C893" s="1" t="s">
        <v>116</v>
      </c>
      <c r="D893" s="1" t="s">
        <v>124</v>
      </c>
      <c r="E893" s="4">
        <v>46148</v>
      </c>
      <c r="F893" s="2">
        <f t="shared" si="29"/>
        <v>284</v>
      </c>
      <c r="G893" s="2">
        <v>3</v>
      </c>
      <c r="H893" s="1" t="s">
        <v>11</v>
      </c>
      <c r="I893" s="1">
        <v>2</v>
      </c>
      <c r="J893" s="1">
        <v>0</v>
      </c>
      <c r="K893" s="2"/>
      <c r="L893" s="2"/>
      <c r="M893" s="2"/>
      <c r="N893" s="2"/>
      <c r="O893" s="2"/>
      <c r="P893" s="2"/>
      <c r="Q893" s="2"/>
    </row>
    <row r="894" spans="1:17">
      <c r="A894" s="1" t="s">
        <v>25</v>
      </c>
      <c r="B894" s="1">
        <v>256</v>
      </c>
      <c r="C894" s="1" t="s">
        <v>116</v>
      </c>
      <c r="D894" s="1" t="s">
        <v>124</v>
      </c>
      <c r="E894" s="4">
        <v>46148</v>
      </c>
      <c r="F894" s="2">
        <f t="shared" si="29"/>
        <v>284</v>
      </c>
      <c r="G894" s="2">
        <v>4</v>
      </c>
      <c r="H894" s="1" t="s">
        <v>11</v>
      </c>
      <c r="I894" s="1">
        <v>3</v>
      </c>
      <c r="J894" s="1">
        <v>5</v>
      </c>
      <c r="K894" s="2"/>
      <c r="L894" s="2"/>
      <c r="M894" s="2"/>
      <c r="N894" s="2"/>
      <c r="O894" s="2"/>
      <c r="P894" s="2"/>
      <c r="Q894" s="2"/>
    </row>
    <row r="895" spans="1:17">
      <c r="A895" s="1" t="s">
        <v>25</v>
      </c>
      <c r="B895" s="1">
        <v>256</v>
      </c>
      <c r="C895" s="1" t="s">
        <v>116</v>
      </c>
      <c r="D895" s="1" t="s">
        <v>124</v>
      </c>
      <c r="E895" s="4">
        <v>46154</v>
      </c>
      <c r="F895" s="2">
        <f t="shared" si="29"/>
        <v>285</v>
      </c>
      <c r="G895" s="2">
        <v>1</v>
      </c>
      <c r="H895" s="1" t="s">
        <v>11</v>
      </c>
      <c r="I895" s="1">
        <v>5</v>
      </c>
      <c r="J895" s="1">
        <v>4</v>
      </c>
      <c r="K895" s="2"/>
      <c r="L895" s="2"/>
      <c r="M895" s="2"/>
      <c r="N895" s="2"/>
      <c r="O895" s="2"/>
      <c r="P895" s="2"/>
      <c r="Q895" s="2"/>
    </row>
    <row r="896" spans="1:17">
      <c r="A896" s="1" t="s">
        <v>25</v>
      </c>
      <c r="B896" s="1">
        <v>256</v>
      </c>
      <c r="C896" s="1" t="s">
        <v>116</v>
      </c>
      <c r="D896" s="1" t="s">
        <v>124</v>
      </c>
      <c r="E896" s="4">
        <v>46154</v>
      </c>
      <c r="F896" s="2">
        <f t="shared" si="29"/>
        <v>285</v>
      </c>
      <c r="G896" s="2">
        <v>2</v>
      </c>
      <c r="H896" s="1" t="s">
        <v>11</v>
      </c>
      <c r="I896" s="1">
        <v>3</v>
      </c>
      <c r="J896" s="1">
        <v>4</v>
      </c>
      <c r="K896" s="2"/>
      <c r="L896" s="2"/>
      <c r="M896" s="2"/>
      <c r="N896" s="2"/>
      <c r="O896" s="2"/>
      <c r="P896" s="2"/>
      <c r="Q896" s="2"/>
    </row>
    <row r="897" spans="1:17">
      <c r="A897" s="1" t="s">
        <v>25</v>
      </c>
      <c r="B897" s="1">
        <v>256</v>
      </c>
      <c r="C897" s="1" t="s">
        <v>116</v>
      </c>
      <c r="D897" s="1" t="s">
        <v>124</v>
      </c>
      <c r="E897" s="4">
        <v>46154</v>
      </c>
      <c r="F897" s="2">
        <f t="shared" si="29"/>
        <v>285</v>
      </c>
      <c r="G897" s="2">
        <v>3</v>
      </c>
      <c r="H897" s="1" t="s">
        <v>11</v>
      </c>
      <c r="I897" s="1">
        <v>4</v>
      </c>
      <c r="J897" s="1">
        <v>1</v>
      </c>
      <c r="K897" s="2"/>
      <c r="L897" s="2"/>
      <c r="M897" s="2"/>
      <c r="N897" s="2"/>
      <c r="O897" s="2"/>
      <c r="P897" s="2"/>
      <c r="Q897" s="2"/>
    </row>
    <row r="898" spans="1:17">
      <c r="A898" s="1" t="s">
        <v>25</v>
      </c>
      <c r="B898" s="1">
        <v>256</v>
      </c>
      <c r="C898" s="1" t="s">
        <v>116</v>
      </c>
      <c r="D898" s="1" t="s">
        <v>124</v>
      </c>
      <c r="E898" s="4">
        <v>46154</v>
      </c>
      <c r="F898" s="2">
        <f t="shared" si="29"/>
        <v>285</v>
      </c>
      <c r="G898" s="2">
        <v>4</v>
      </c>
      <c r="H898" s="1" t="s">
        <v>11</v>
      </c>
      <c r="I898" s="1">
        <v>5</v>
      </c>
      <c r="J898" s="1">
        <v>0</v>
      </c>
      <c r="K898" s="2"/>
      <c r="L898" s="2"/>
      <c r="M898" s="2"/>
      <c r="N898" s="2"/>
      <c r="O898" s="2"/>
      <c r="P898" s="2"/>
      <c r="Q898" s="2"/>
    </row>
    <row r="899" spans="1:17">
      <c r="A899" s="1" t="s">
        <v>25</v>
      </c>
      <c r="B899" s="1">
        <v>256</v>
      </c>
      <c r="C899" s="1" t="s">
        <v>116</v>
      </c>
      <c r="D899" s="1" t="s">
        <v>124</v>
      </c>
      <c r="E899" s="4">
        <v>46156</v>
      </c>
      <c r="F899" s="2">
        <f t="shared" si="29"/>
        <v>286</v>
      </c>
      <c r="G899" s="2">
        <v>1</v>
      </c>
      <c r="H899" s="1" t="s">
        <v>9</v>
      </c>
      <c r="I899" s="1">
        <v>4</v>
      </c>
      <c r="J899" s="1">
        <v>1</v>
      </c>
      <c r="K899" s="2"/>
      <c r="L899" s="2"/>
      <c r="M899" s="2"/>
      <c r="N899" s="2"/>
      <c r="O899" s="2"/>
      <c r="P899" s="2"/>
      <c r="Q899" s="2"/>
    </row>
    <row r="900" spans="1:17">
      <c r="A900" s="1" t="s">
        <v>25</v>
      </c>
      <c r="B900" s="1">
        <v>256</v>
      </c>
      <c r="C900" s="1" t="s">
        <v>116</v>
      </c>
      <c r="D900" s="1" t="s">
        <v>124</v>
      </c>
      <c r="E900" s="4">
        <v>46156</v>
      </c>
      <c r="F900" s="2">
        <f t="shared" si="29"/>
        <v>286</v>
      </c>
      <c r="G900" s="2">
        <v>2</v>
      </c>
      <c r="H900" s="1" t="s">
        <v>9</v>
      </c>
      <c r="I900" s="1">
        <v>5</v>
      </c>
      <c r="J900" s="1">
        <v>1</v>
      </c>
      <c r="K900" s="2"/>
      <c r="L900" s="2"/>
      <c r="M900" s="2"/>
      <c r="N900" s="2"/>
      <c r="O900" s="2"/>
      <c r="P900" s="2"/>
      <c r="Q900" s="2"/>
    </row>
    <row r="901" spans="1:17">
      <c r="A901" s="1" t="s">
        <v>25</v>
      </c>
      <c r="B901" s="1">
        <v>256</v>
      </c>
      <c r="C901" s="1" t="s">
        <v>116</v>
      </c>
      <c r="D901" s="1" t="s">
        <v>124</v>
      </c>
      <c r="E901" s="4">
        <v>46156</v>
      </c>
      <c r="F901" s="2">
        <f t="shared" si="29"/>
        <v>286</v>
      </c>
      <c r="G901" s="2">
        <v>3</v>
      </c>
      <c r="H901" s="1" t="s">
        <v>9</v>
      </c>
      <c r="I901" s="1">
        <v>4</v>
      </c>
      <c r="J901" s="1">
        <v>3</v>
      </c>
      <c r="K901" s="2"/>
      <c r="L901" s="2"/>
      <c r="M901" s="2"/>
      <c r="N901" s="2"/>
      <c r="O901" s="2"/>
      <c r="P901" s="2"/>
      <c r="Q901" s="2"/>
    </row>
    <row r="902" spans="1:17">
      <c r="A902" s="1" t="s">
        <v>25</v>
      </c>
      <c r="B902" s="1">
        <v>256</v>
      </c>
      <c r="C902" s="1" t="s">
        <v>116</v>
      </c>
      <c r="D902" s="1" t="s">
        <v>124</v>
      </c>
      <c r="E902" s="4">
        <v>46156</v>
      </c>
      <c r="F902" s="2">
        <f t="shared" si="29"/>
        <v>286</v>
      </c>
      <c r="G902" s="2">
        <v>4</v>
      </c>
      <c r="H902" s="1" t="s">
        <v>9</v>
      </c>
      <c r="I902" s="1">
        <v>5</v>
      </c>
      <c r="J902" s="1">
        <v>5</v>
      </c>
      <c r="K902" s="2"/>
      <c r="L902" s="2"/>
      <c r="M902" s="2"/>
      <c r="N902" s="2"/>
      <c r="O902" s="2"/>
      <c r="P902" s="2"/>
      <c r="Q902" s="2"/>
    </row>
    <row r="903" spans="1:17">
      <c r="A903" s="1" t="s">
        <v>25</v>
      </c>
      <c r="B903" s="1">
        <v>256</v>
      </c>
      <c r="C903" s="1" t="s">
        <v>116</v>
      </c>
      <c r="D903" s="1" t="s">
        <v>124</v>
      </c>
      <c r="E903" s="4">
        <v>46197</v>
      </c>
      <c r="F903" s="15">
        <f t="shared" si="29"/>
        <v>287</v>
      </c>
      <c r="G903" s="2">
        <v>1</v>
      </c>
      <c r="H903" s="1" t="s">
        <v>9</v>
      </c>
      <c r="I903" s="1">
        <v>3</v>
      </c>
      <c r="J903" s="1">
        <v>3</v>
      </c>
      <c r="K903" s="2"/>
      <c r="L903" s="2"/>
      <c r="M903" s="2"/>
      <c r="N903" s="2"/>
      <c r="O903" s="2"/>
      <c r="P903" s="2"/>
      <c r="Q903" s="2"/>
    </row>
    <row r="904" spans="1:17">
      <c r="A904" s="1" t="s">
        <v>25</v>
      </c>
      <c r="B904" s="1">
        <v>256</v>
      </c>
      <c r="C904" s="1" t="s">
        <v>116</v>
      </c>
      <c r="D904" s="1" t="s">
        <v>124</v>
      </c>
      <c r="E904" s="4">
        <v>46197</v>
      </c>
      <c r="F904" s="2">
        <f>F899+1</f>
        <v>287</v>
      </c>
      <c r="G904" s="2">
        <v>2</v>
      </c>
      <c r="H904" s="1" t="s">
        <v>9</v>
      </c>
      <c r="I904" s="1">
        <v>4</v>
      </c>
      <c r="J904" s="1">
        <v>0</v>
      </c>
      <c r="K904" s="2"/>
      <c r="L904" s="2"/>
      <c r="M904" s="2"/>
      <c r="N904" s="2"/>
      <c r="O904" s="2"/>
      <c r="P904" s="2"/>
      <c r="Q904" s="2"/>
    </row>
    <row r="905" spans="1:17">
      <c r="A905" s="1" t="s">
        <v>25</v>
      </c>
      <c r="B905" s="1">
        <v>256</v>
      </c>
      <c r="C905" s="1" t="s">
        <v>116</v>
      </c>
      <c r="D905" s="1" t="s">
        <v>124</v>
      </c>
      <c r="E905" s="4">
        <v>46197</v>
      </c>
      <c r="F905" s="2">
        <f>F900+1</f>
        <v>287</v>
      </c>
      <c r="G905" s="2">
        <v>3</v>
      </c>
      <c r="H905" s="1" t="s">
        <v>9</v>
      </c>
      <c r="I905" s="1">
        <v>5</v>
      </c>
      <c r="J905" s="1">
        <v>6</v>
      </c>
      <c r="K905" s="2"/>
      <c r="L905" s="2"/>
      <c r="M905" s="2"/>
      <c r="N905" s="2"/>
      <c r="O905" s="2"/>
      <c r="P905" s="2"/>
      <c r="Q905" s="2"/>
    </row>
    <row r="906" spans="1:17">
      <c r="A906" s="1" t="s">
        <v>25</v>
      </c>
      <c r="B906" s="1">
        <v>256</v>
      </c>
      <c r="C906" s="1" t="s">
        <v>116</v>
      </c>
      <c r="D906" s="1" t="s">
        <v>124</v>
      </c>
      <c r="E906" s="4">
        <v>46197</v>
      </c>
      <c r="F906" s="2">
        <f>F901+1</f>
        <v>287</v>
      </c>
      <c r="G906" s="2">
        <v>4</v>
      </c>
      <c r="H906" s="1" t="s">
        <v>9</v>
      </c>
      <c r="I906" s="1">
        <v>4</v>
      </c>
      <c r="J906" s="1">
        <v>4</v>
      </c>
      <c r="K906" s="2"/>
      <c r="L906" s="2"/>
      <c r="M906" s="2"/>
      <c r="N906" s="2"/>
      <c r="O906" s="2"/>
      <c r="P906" s="2"/>
      <c r="Q906" s="2"/>
    </row>
    <row r="907" spans="1:17">
      <c r="A907" s="1" t="s">
        <v>25</v>
      </c>
      <c r="B907" s="1">
        <v>256</v>
      </c>
      <c r="C907" s="1" t="s">
        <v>116</v>
      </c>
      <c r="D907" s="1" t="s">
        <v>124</v>
      </c>
      <c r="E907" s="4">
        <v>46198</v>
      </c>
      <c r="F907" s="15">
        <f t="shared" ref="F907" si="30">F903+1</f>
        <v>288</v>
      </c>
      <c r="G907" s="2">
        <v>1</v>
      </c>
      <c r="H907" s="1" t="s">
        <v>11</v>
      </c>
      <c r="I907" s="1">
        <v>5</v>
      </c>
      <c r="J907" s="1">
        <v>4</v>
      </c>
      <c r="K907" s="2"/>
      <c r="L907" s="2"/>
      <c r="M907" s="2"/>
      <c r="N907" s="2"/>
      <c r="O907" s="2"/>
      <c r="P907" s="2"/>
      <c r="Q907" s="2"/>
    </row>
    <row r="908" spans="1:17">
      <c r="A908" s="1" t="s">
        <v>25</v>
      </c>
      <c r="B908" s="1">
        <v>256</v>
      </c>
      <c r="C908" s="1" t="s">
        <v>116</v>
      </c>
      <c r="D908" s="1" t="s">
        <v>124</v>
      </c>
      <c r="E908" s="4">
        <v>46198</v>
      </c>
      <c r="F908" s="2">
        <f>F903+1</f>
        <v>288</v>
      </c>
      <c r="G908" s="2">
        <v>2</v>
      </c>
      <c r="H908" s="1" t="s">
        <v>11</v>
      </c>
      <c r="I908" s="1">
        <v>3</v>
      </c>
      <c r="J908" s="1">
        <v>4</v>
      </c>
      <c r="K908" s="2"/>
      <c r="L908" s="2"/>
      <c r="M908" s="2"/>
      <c r="N908" s="2"/>
      <c r="O908" s="2"/>
      <c r="P908" s="2"/>
      <c r="Q908" s="2"/>
    </row>
    <row r="909" spans="1:17">
      <c r="A909" s="1" t="s">
        <v>25</v>
      </c>
      <c r="B909" s="1">
        <v>256</v>
      </c>
      <c r="C909" s="1" t="s">
        <v>116</v>
      </c>
      <c r="D909" s="1" t="s">
        <v>124</v>
      </c>
      <c r="E909" s="4">
        <v>46198</v>
      </c>
      <c r="F909" s="2">
        <f>F904+1</f>
        <v>288</v>
      </c>
      <c r="G909" s="2">
        <v>3</v>
      </c>
      <c r="H909" s="1" t="s">
        <v>11</v>
      </c>
      <c r="I909" s="1">
        <v>6</v>
      </c>
      <c r="J909" s="1">
        <v>1</v>
      </c>
      <c r="K909" s="2"/>
      <c r="L909" s="2"/>
      <c r="M909" s="2"/>
      <c r="N909" s="2"/>
      <c r="O909" s="2"/>
      <c r="P909" s="2"/>
      <c r="Q909" s="2"/>
    </row>
    <row r="910" spans="1:17">
      <c r="A910" s="1" t="s">
        <v>25</v>
      </c>
      <c r="B910" s="1">
        <v>256</v>
      </c>
      <c r="C910" s="1" t="s">
        <v>116</v>
      </c>
      <c r="D910" s="1" t="s">
        <v>124</v>
      </c>
      <c r="E910" s="4">
        <v>46198</v>
      </c>
      <c r="F910" s="2">
        <f>F905+1</f>
        <v>288</v>
      </c>
      <c r="G910" s="2">
        <v>4</v>
      </c>
      <c r="H910" s="1" t="s">
        <v>11</v>
      </c>
      <c r="I910" s="1">
        <v>5</v>
      </c>
      <c r="J910" s="1">
        <v>1</v>
      </c>
      <c r="K910" s="2"/>
      <c r="L910" s="2"/>
      <c r="M910" s="2"/>
      <c r="N910" s="2"/>
      <c r="O910" s="2"/>
      <c r="P910" s="2"/>
      <c r="Q910" s="2"/>
    </row>
    <row r="911" spans="1:17">
      <c r="A911" s="1" t="s">
        <v>25</v>
      </c>
      <c r="B911" s="1">
        <v>256</v>
      </c>
      <c r="C911" s="1" t="s">
        <v>116</v>
      </c>
      <c r="D911" s="1" t="s">
        <v>124</v>
      </c>
      <c r="E911" s="4">
        <v>46202</v>
      </c>
      <c r="F911" s="15">
        <f t="shared" ref="F911" si="31">F907+1</f>
        <v>289</v>
      </c>
      <c r="G911" s="2">
        <v>1</v>
      </c>
      <c r="H911" s="1" t="s">
        <v>9</v>
      </c>
      <c r="I911" s="1">
        <v>3</v>
      </c>
      <c r="J911" s="1">
        <v>1</v>
      </c>
      <c r="K911" s="2"/>
      <c r="L911" s="2"/>
      <c r="M911" s="2"/>
      <c r="N911" s="2"/>
      <c r="O911" s="2"/>
      <c r="P911" s="2"/>
      <c r="Q911" s="2"/>
    </row>
    <row r="912" spans="1:17">
      <c r="A912" s="1" t="s">
        <v>25</v>
      </c>
      <c r="B912" s="1">
        <v>256</v>
      </c>
      <c r="C912" s="1" t="s">
        <v>116</v>
      </c>
      <c r="D912" s="1" t="s">
        <v>124</v>
      </c>
      <c r="E912" s="4">
        <v>46202</v>
      </c>
      <c r="F912" s="2">
        <f>F907+1</f>
        <v>289</v>
      </c>
      <c r="G912" s="2">
        <v>2</v>
      </c>
      <c r="H912" s="1" t="s">
        <v>9</v>
      </c>
      <c r="I912" s="1">
        <v>5</v>
      </c>
      <c r="J912" s="1">
        <v>2</v>
      </c>
      <c r="K912" s="2"/>
      <c r="L912" s="2"/>
      <c r="M912" s="2"/>
      <c r="N912" s="2"/>
      <c r="O912" s="2"/>
      <c r="P912" s="2"/>
      <c r="Q912" s="2"/>
    </row>
    <row r="913" spans="1:28">
      <c r="A913" s="1" t="s">
        <v>25</v>
      </c>
      <c r="B913" s="1">
        <v>256</v>
      </c>
      <c r="C913" s="1" t="s">
        <v>116</v>
      </c>
      <c r="D913" s="1" t="s">
        <v>124</v>
      </c>
      <c r="E913" s="4">
        <v>46202</v>
      </c>
      <c r="F913" s="2">
        <f>F908+1</f>
        <v>289</v>
      </c>
      <c r="G913" s="2">
        <v>3</v>
      </c>
      <c r="H913" s="1" t="s">
        <v>9</v>
      </c>
      <c r="I913" s="1">
        <v>3</v>
      </c>
      <c r="J913" s="1">
        <v>1</v>
      </c>
      <c r="K913" s="2"/>
      <c r="L913" s="2"/>
      <c r="M913" s="2"/>
      <c r="N913" s="2"/>
      <c r="O913" s="2"/>
      <c r="P913" s="2"/>
      <c r="Q913" s="2"/>
    </row>
    <row r="914" spans="1:28">
      <c r="A914" s="1" t="s">
        <v>25</v>
      </c>
      <c r="B914" s="1">
        <v>256</v>
      </c>
      <c r="C914" s="1" t="s">
        <v>116</v>
      </c>
      <c r="D914" s="1" t="s">
        <v>124</v>
      </c>
      <c r="E914" s="4">
        <v>46202</v>
      </c>
      <c r="F914" s="2">
        <f>F909+1</f>
        <v>289</v>
      </c>
      <c r="G914" s="2">
        <v>4</v>
      </c>
      <c r="H914" s="1" t="s">
        <v>9</v>
      </c>
      <c r="I914" s="1">
        <v>3</v>
      </c>
      <c r="J914" s="1">
        <v>2</v>
      </c>
      <c r="K914" s="2"/>
      <c r="L914" s="2"/>
      <c r="M914" s="2"/>
      <c r="N914" s="2"/>
      <c r="O914" s="2"/>
      <c r="P914" s="2"/>
      <c r="Q914" s="2"/>
    </row>
    <row r="915" spans="1:28">
      <c r="A915" s="1" t="s">
        <v>25</v>
      </c>
      <c r="B915" s="1">
        <v>256</v>
      </c>
      <c r="C915" s="1" t="s">
        <v>116</v>
      </c>
      <c r="D915" s="1" t="s">
        <v>124</v>
      </c>
      <c r="E915" s="4">
        <v>46203</v>
      </c>
      <c r="F915" s="15">
        <f t="shared" ref="F915" si="32">F911+1</f>
        <v>290</v>
      </c>
      <c r="G915" s="2">
        <v>1</v>
      </c>
      <c r="H915" s="1" t="s">
        <v>11</v>
      </c>
      <c r="I915" s="1">
        <v>6</v>
      </c>
      <c r="J915" s="1">
        <v>3</v>
      </c>
      <c r="K915" s="2"/>
      <c r="L915" s="2"/>
      <c r="M915" s="2"/>
      <c r="N915" s="2"/>
      <c r="O915" s="2"/>
      <c r="P915" s="2"/>
      <c r="Q915" s="2"/>
    </row>
    <row r="916" spans="1:28">
      <c r="A916" s="1" t="s">
        <v>25</v>
      </c>
      <c r="B916" s="1">
        <v>256</v>
      </c>
      <c r="C916" s="1" t="s">
        <v>116</v>
      </c>
      <c r="D916" s="1" t="s">
        <v>124</v>
      </c>
      <c r="E916" s="4">
        <v>46203</v>
      </c>
      <c r="F916" s="2">
        <f>F911+1</f>
        <v>290</v>
      </c>
      <c r="G916" s="2">
        <v>2</v>
      </c>
      <c r="H916" s="1" t="s">
        <v>11</v>
      </c>
      <c r="I916" s="1">
        <v>4</v>
      </c>
      <c r="J916" s="1">
        <v>3</v>
      </c>
      <c r="K916" s="2"/>
      <c r="L916" s="2"/>
      <c r="M916" s="2"/>
      <c r="N916" s="2"/>
      <c r="O916" s="2"/>
      <c r="P916" s="2"/>
      <c r="Q916" s="2"/>
    </row>
    <row r="917" spans="1:28">
      <c r="A917" s="1" t="s">
        <v>25</v>
      </c>
      <c r="B917" s="1">
        <v>256</v>
      </c>
      <c r="C917" s="1" t="s">
        <v>116</v>
      </c>
      <c r="D917" s="1" t="s">
        <v>124</v>
      </c>
      <c r="E917" s="4">
        <v>46203</v>
      </c>
      <c r="F917" s="2">
        <f>F912+1</f>
        <v>290</v>
      </c>
      <c r="G917" s="2">
        <v>3</v>
      </c>
      <c r="H917" s="1" t="s">
        <v>11</v>
      </c>
      <c r="I917" s="1">
        <v>2</v>
      </c>
      <c r="J917" s="1">
        <v>2</v>
      </c>
      <c r="K917" s="2"/>
      <c r="L917" s="2"/>
      <c r="M917" s="2"/>
      <c r="N917" s="2"/>
      <c r="O917" s="2"/>
      <c r="P917" s="2"/>
      <c r="Q917" s="2"/>
    </row>
    <row r="918" spans="1:28">
      <c r="A918" s="1" t="s">
        <v>25</v>
      </c>
      <c r="B918" s="1">
        <v>256</v>
      </c>
      <c r="C918" s="1" t="s">
        <v>116</v>
      </c>
      <c r="D918" s="1" t="s">
        <v>124</v>
      </c>
      <c r="E918" s="4">
        <v>46203</v>
      </c>
      <c r="F918" s="2">
        <f>F913+1</f>
        <v>290</v>
      </c>
      <c r="G918" s="2">
        <v>4</v>
      </c>
      <c r="H918" s="1" t="s">
        <v>11</v>
      </c>
      <c r="I918" s="1">
        <v>4</v>
      </c>
      <c r="J918" s="1">
        <v>3</v>
      </c>
      <c r="K918" s="2"/>
      <c r="L918" s="2"/>
      <c r="M918" s="2"/>
      <c r="N918" s="2"/>
      <c r="O918" s="2"/>
      <c r="P918" s="2"/>
      <c r="Q918" s="2"/>
    </row>
    <row r="919" spans="1:28">
      <c r="A919" s="1" t="s">
        <v>25</v>
      </c>
      <c r="B919" s="1">
        <v>256</v>
      </c>
      <c r="C919" s="1" t="s">
        <v>116</v>
      </c>
      <c r="D919" s="1" t="s">
        <v>124</v>
      </c>
      <c r="E919" s="4">
        <v>46231</v>
      </c>
      <c r="F919" s="15">
        <f t="shared" ref="F919" si="33">F915+1</f>
        <v>291</v>
      </c>
      <c r="G919" s="2">
        <v>1</v>
      </c>
      <c r="H919" s="1" t="s">
        <v>11</v>
      </c>
      <c r="I919" s="1">
        <v>5</v>
      </c>
      <c r="J919" s="1">
        <v>2</v>
      </c>
      <c r="K919" s="2"/>
      <c r="L919" s="2"/>
      <c r="M919" s="2"/>
      <c r="N919" s="2"/>
      <c r="O919" s="2"/>
      <c r="P919" s="2"/>
      <c r="Q919" s="2"/>
    </row>
    <row r="920" spans="1:28">
      <c r="A920" s="1" t="s">
        <v>25</v>
      </c>
      <c r="B920" s="1">
        <v>256</v>
      </c>
      <c r="C920" s="1" t="s">
        <v>116</v>
      </c>
      <c r="D920" s="1" t="s">
        <v>124</v>
      </c>
      <c r="E920" s="4">
        <v>46231</v>
      </c>
      <c r="F920" s="2">
        <f>F915+1</f>
        <v>291</v>
      </c>
      <c r="G920" s="2">
        <v>2</v>
      </c>
      <c r="H920" s="1" t="s">
        <v>11</v>
      </c>
      <c r="I920" s="1">
        <v>4</v>
      </c>
      <c r="J920" s="1">
        <v>3</v>
      </c>
      <c r="K920" s="2"/>
      <c r="L920" s="2"/>
      <c r="M920" s="2"/>
      <c r="N920" s="2"/>
      <c r="O920" s="2"/>
      <c r="P920" s="2"/>
      <c r="Q920" s="2"/>
    </row>
    <row r="921" spans="1:28">
      <c r="A921" s="1" t="s">
        <v>25</v>
      </c>
      <c r="B921" s="1">
        <v>256</v>
      </c>
      <c r="C921" s="1" t="s">
        <v>116</v>
      </c>
      <c r="D921" s="1" t="s">
        <v>124</v>
      </c>
      <c r="E921" s="4">
        <v>46231</v>
      </c>
      <c r="F921" s="2">
        <f>F916+1</f>
        <v>291</v>
      </c>
      <c r="G921" s="2">
        <v>3</v>
      </c>
      <c r="H921" s="1" t="s">
        <v>11</v>
      </c>
      <c r="I921" s="1">
        <v>4</v>
      </c>
      <c r="J921" s="1">
        <v>1</v>
      </c>
      <c r="K921" s="2"/>
      <c r="L921" s="2"/>
      <c r="M921" s="2"/>
      <c r="N921" s="2"/>
      <c r="O921" s="2"/>
      <c r="P921" s="2"/>
      <c r="Q921" s="2"/>
    </row>
    <row r="922" spans="1:28">
      <c r="A922" s="1" t="s">
        <v>25</v>
      </c>
      <c r="B922" s="1">
        <v>256</v>
      </c>
      <c r="C922" s="1" t="s">
        <v>116</v>
      </c>
      <c r="D922" s="1" t="s">
        <v>124</v>
      </c>
      <c r="E922" s="4">
        <v>46231</v>
      </c>
      <c r="F922" s="2">
        <f>F917+1</f>
        <v>291</v>
      </c>
      <c r="G922" s="2">
        <v>4</v>
      </c>
      <c r="H922" s="1" t="s">
        <v>11</v>
      </c>
      <c r="I922" s="1">
        <v>4</v>
      </c>
      <c r="J922" s="1">
        <v>4</v>
      </c>
      <c r="K922" s="2"/>
      <c r="L922" s="2"/>
      <c r="M922" s="2"/>
      <c r="N922" s="2"/>
      <c r="O922" s="2"/>
      <c r="P922" s="2"/>
      <c r="Q922" s="2"/>
    </row>
    <row r="923" spans="1:28">
      <c r="E923" s="4"/>
      <c r="F923" s="2"/>
      <c r="G923" s="2"/>
      <c r="K923" s="2"/>
      <c r="L923" s="2"/>
      <c r="M923" s="2"/>
      <c r="N923" s="2"/>
      <c r="O923" s="2"/>
      <c r="P923" s="2"/>
      <c r="Q923" s="2"/>
    </row>
    <row r="924" spans="1:28">
      <c r="E924" s="4"/>
      <c r="F924" s="2"/>
      <c r="G924" s="2"/>
      <c r="K924" s="2"/>
      <c r="L924" s="2"/>
      <c r="M924" s="2"/>
      <c r="N924" s="2"/>
      <c r="O924" s="2"/>
      <c r="P924" s="2"/>
      <c r="Q924" s="2"/>
    </row>
    <row r="925" spans="1:28">
      <c r="E925" s="4"/>
      <c r="F925" s="2"/>
      <c r="G925" s="2"/>
      <c r="K925" s="2"/>
      <c r="L925" s="2"/>
      <c r="M925" s="2"/>
      <c r="N925" s="2"/>
      <c r="O925" s="2"/>
      <c r="P925" s="2"/>
      <c r="Q925" s="2"/>
    </row>
    <row r="926" spans="1:28">
      <c r="G926" s="2"/>
    </row>
    <row r="927" spans="1:28">
      <c r="R927"/>
      <c r="S927"/>
      <c r="T927"/>
      <c r="U927"/>
      <c r="V927"/>
      <c r="W927"/>
      <c r="X927"/>
      <c r="Y927"/>
      <c r="Z927"/>
      <c r="AA927"/>
      <c r="AB927"/>
    </row>
    <row r="928" spans="1:28">
      <c r="H928" s="5" t="s">
        <v>90</v>
      </c>
      <c r="I928" t="s">
        <v>25</v>
      </c>
      <c r="R928"/>
      <c r="S928"/>
      <c r="T928"/>
      <c r="U928"/>
      <c r="V928"/>
      <c r="W928"/>
      <c r="X928"/>
      <c r="Y928"/>
      <c r="Z928"/>
      <c r="AA928"/>
      <c r="AB928"/>
    </row>
    <row r="929" spans="1:28">
      <c r="H929" s="5" t="s">
        <v>63</v>
      </c>
      <c r="I929" t="s">
        <v>20</v>
      </c>
      <c r="R929"/>
      <c r="S929"/>
      <c r="T929"/>
      <c r="U929"/>
      <c r="V929"/>
      <c r="W929"/>
      <c r="X929"/>
      <c r="Y929"/>
      <c r="Z929"/>
      <c r="AA929"/>
      <c r="AB929"/>
    </row>
    <row r="930" spans="1:28">
      <c r="H930" s="5" t="s">
        <v>91</v>
      </c>
      <c r="I930" t="s">
        <v>16</v>
      </c>
      <c r="R930"/>
      <c r="S930"/>
      <c r="T930"/>
      <c r="U930"/>
      <c r="V930"/>
      <c r="W930"/>
      <c r="X930"/>
      <c r="Y930"/>
      <c r="Z930"/>
      <c r="AA930"/>
      <c r="AB930"/>
    </row>
    <row r="931" spans="1:28">
      <c r="R931"/>
      <c r="S931"/>
      <c r="T931"/>
      <c r="U931"/>
      <c r="V931"/>
      <c r="W931"/>
      <c r="X931"/>
    </row>
    <row r="932" spans="1:28">
      <c r="H932" s="5" t="s">
        <v>2</v>
      </c>
      <c r="I932" t="s">
        <v>46</v>
      </c>
      <c r="J932" t="s">
        <v>47</v>
      </c>
      <c r="K932" t="s">
        <v>48</v>
      </c>
      <c r="L932" t="s">
        <v>49</v>
      </c>
      <c r="M932" t="s">
        <v>50</v>
      </c>
      <c r="N932" t="s">
        <v>51</v>
      </c>
      <c r="O932" t="s">
        <v>52</v>
      </c>
      <c r="P932" t="s">
        <v>101</v>
      </c>
      <c r="Q932" t="s">
        <v>120</v>
      </c>
      <c r="R932"/>
      <c r="S932"/>
      <c r="T932"/>
      <c r="U932"/>
      <c r="V932"/>
      <c r="W932"/>
      <c r="X932"/>
      <c r="Y932"/>
    </row>
    <row r="933" spans="1:28">
      <c r="H933" s="6">
        <v>1</v>
      </c>
      <c r="I933" s="7">
        <v>2.5849056603773586</v>
      </c>
      <c r="J933" s="7">
        <v>1.3738317757009346</v>
      </c>
      <c r="K933" s="7">
        <v>1.5384615384615385</v>
      </c>
      <c r="L933" s="7">
        <v>0.69230769230769229</v>
      </c>
      <c r="M933" s="7"/>
      <c r="N933">
        <v>0</v>
      </c>
      <c r="O933" s="7">
        <v>1</v>
      </c>
      <c r="P933" s="7">
        <v>1.0666666666666667</v>
      </c>
      <c r="Q933"/>
      <c r="R933" s="6"/>
      <c r="S933"/>
      <c r="T933"/>
      <c r="U933"/>
      <c r="V933"/>
      <c r="W933"/>
      <c r="X933"/>
      <c r="Y933"/>
    </row>
    <row r="934" spans="1:28">
      <c r="H934" s="6">
        <v>2</v>
      </c>
      <c r="I934" s="7">
        <v>2.3773584905660377</v>
      </c>
      <c r="J934" s="7">
        <v>1.7757009345794392</v>
      </c>
      <c r="K934" s="7">
        <v>0.84615384615384615</v>
      </c>
      <c r="L934" s="7">
        <v>1.3846153846153846</v>
      </c>
      <c r="M934" s="7"/>
      <c r="N934">
        <v>0</v>
      </c>
      <c r="O934" s="7">
        <v>1</v>
      </c>
      <c r="P934" s="7">
        <v>1.2333333333333334</v>
      </c>
      <c r="Q934"/>
      <c r="R934" s="6"/>
      <c r="S934"/>
      <c r="T934"/>
      <c r="U934"/>
      <c r="V934"/>
      <c r="W934"/>
      <c r="X934"/>
      <c r="Y934"/>
    </row>
    <row r="935" spans="1:28">
      <c r="H935" s="6">
        <v>3</v>
      </c>
      <c r="I935" s="7">
        <v>2.8018867924528301</v>
      </c>
      <c r="J935" s="7">
        <v>1.7102803738317758</v>
      </c>
      <c r="K935" s="7">
        <v>1.2692307692307692</v>
      </c>
      <c r="L935" s="7">
        <v>1.3076923076923077</v>
      </c>
      <c r="M935" s="7"/>
      <c r="N935">
        <v>0</v>
      </c>
      <c r="O935" s="7">
        <v>0</v>
      </c>
      <c r="P935" s="7">
        <v>1.2</v>
      </c>
      <c r="Q935"/>
      <c r="R935" s="6"/>
      <c r="S935"/>
      <c r="T935"/>
      <c r="U935"/>
      <c r="V935"/>
      <c r="W935"/>
      <c r="X935"/>
      <c r="Y935"/>
    </row>
    <row r="936" spans="1:28">
      <c r="A936"/>
      <c r="B936"/>
      <c r="C936"/>
      <c r="D936"/>
      <c r="E936"/>
      <c r="F936"/>
      <c r="G936"/>
      <c r="H936" s="6" t="s">
        <v>82</v>
      </c>
      <c r="I936" s="7">
        <v>2.7142857142857144</v>
      </c>
      <c r="J936" s="7">
        <v>2.5</v>
      </c>
      <c r="K936" s="7">
        <v>3</v>
      </c>
      <c r="L936" s="7"/>
      <c r="M936" s="7"/>
      <c r="N936"/>
      <c r="O936" s="7"/>
      <c r="P936" s="7">
        <v>0.5</v>
      </c>
      <c r="Q936"/>
      <c r="R936" s="6"/>
      <c r="S936"/>
      <c r="T936"/>
      <c r="U936"/>
      <c r="V936"/>
      <c r="W936"/>
      <c r="X936"/>
      <c r="Y936"/>
    </row>
    <row r="937" spans="1:28">
      <c r="A937"/>
      <c r="B937"/>
      <c r="C937"/>
      <c r="D937"/>
      <c r="E937"/>
      <c r="F937"/>
      <c r="G937"/>
      <c r="H937" s="6" t="s">
        <v>83</v>
      </c>
      <c r="I937" s="7">
        <v>5</v>
      </c>
      <c r="J937" s="7">
        <v>2</v>
      </c>
      <c r="K937" s="7">
        <v>1</v>
      </c>
      <c r="L937" s="7"/>
      <c r="M937" s="7"/>
      <c r="N937"/>
      <c r="O937" s="7"/>
      <c r="P937" s="7"/>
      <c r="Q937"/>
      <c r="R937" s="6"/>
      <c r="S937"/>
      <c r="T937"/>
      <c r="U937"/>
      <c r="V937"/>
      <c r="W937"/>
      <c r="X937"/>
      <c r="Y937"/>
    </row>
    <row r="938" spans="1:28">
      <c r="A938"/>
      <c r="B938"/>
      <c r="C938"/>
      <c r="D938"/>
      <c r="E938"/>
      <c r="F938"/>
      <c r="G938"/>
      <c r="H938" s="6" t="s">
        <v>38</v>
      </c>
      <c r="I938" s="7">
        <v>2.5981595092024539</v>
      </c>
      <c r="J938" s="7">
        <v>1.6486486486486487</v>
      </c>
      <c r="K938" s="7">
        <v>1.2375</v>
      </c>
      <c r="L938" s="7">
        <v>1.1282051282051282</v>
      </c>
      <c r="M938" s="7"/>
      <c r="N938">
        <v>0</v>
      </c>
      <c r="O938" s="7">
        <v>0.66666666666666663</v>
      </c>
      <c r="P938" s="7">
        <v>1.1521739130434783</v>
      </c>
      <c r="Q938"/>
      <c r="R938" s="6"/>
      <c r="S938"/>
      <c r="T938"/>
      <c r="U938"/>
      <c r="V938"/>
      <c r="W938"/>
      <c r="X938"/>
      <c r="Y938"/>
    </row>
    <row r="939" spans="1:28">
      <c r="A939"/>
      <c r="B939"/>
      <c r="C939"/>
      <c r="D939"/>
      <c r="E939"/>
      <c r="F939"/>
      <c r="G939"/>
      <c r="H939"/>
      <c r="I939"/>
      <c r="J939"/>
      <c r="K939"/>
      <c r="L939"/>
      <c r="M939"/>
      <c r="N939"/>
      <c r="O939"/>
      <c r="P939"/>
      <c r="Q939"/>
      <c r="R939"/>
      <c r="S939"/>
      <c r="T939"/>
      <c r="U939"/>
      <c r="V939"/>
      <c r="W939"/>
      <c r="X939"/>
    </row>
    <row r="940" spans="1:28">
      <c r="A940"/>
      <c r="B940"/>
      <c r="C940"/>
      <c r="D940"/>
      <c r="E940"/>
      <c r="F940"/>
      <c r="G940"/>
      <c r="H940"/>
      <c r="I940"/>
      <c r="J940"/>
      <c r="K940"/>
      <c r="L940"/>
      <c r="M940"/>
      <c r="N940"/>
      <c r="O940"/>
      <c r="P940"/>
      <c r="Q940"/>
      <c r="R940"/>
      <c r="S940"/>
      <c r="T940"/>
      <c r="U940"/>
      <c r="V940"/>
      <c r="W940"/>
      <c r="X940"/>
    </row>
    <row r="941" spans="1:28">
      <c r="A941"/>
      <c r="B941"/>
      <c r="C941"/>
      <c r="D941"/>
      <c r="E941"/>
      <c r="F941"/>
      <c r="G941"/>
      <c r="H941"/>
      <c r="I941"/>
      <c r="J941"/>
      <c r="K941"/>
      <c r="L941"/>
      <c r="M941"/>
      <c r="N941"/>
      <c r="O941"/>
      <c r="P941"/>
      <c r="Q941"/>
      <c r="R941"/>
      <c r="S941"/>
    </row>
    <row r="942" spans="1:28">
      <c r="A942"/>
      <c r="B942"/>
      <c r="C942"/>
      <c r="D942"/>
      <c r="E942"/>
      <c r="F942"/>
      <c r="G942"/>
      <c r="H942"/>
      <c r="I942"/>
      <c r="J942"/>
      <c r="K942"/>
      <c r="L942"/>
      <c r="M942"/>
      <c r="N942"/>
      <c r="O942"/>
      <c r="P942"/>
      <c r="Q942"/>
      <c r="R942"/>
      <c r="S942"/>
    </row>
    <row r="943" spans="1:28">
      <c r="A943"/>
      <c r="B943"/>
      <c r="C943"/>
      <c r="D943"/>
      <c r="E943"/>
      <c r="F943"/>
      <c r="G943"/>
      <c r="H943"/>
      <c r="I943"/>
      <c r="J943"/>
      <c r="K943"/>
      <c r="L943"/>
      <c r="M943"/>
      <c r="N943"/>
      <c r="O943"/>
      <c r="P943"/>
      <c r="Q943"/>
      <c r="R943"/>
      <c r="S943"/>
    </row>
    <row r="944" spans="1:28">
      <c r="A944"/>
      <c r="B944"/>
      <c r="C944"/>
      <c r="D944"/>
      <c r="E944"/>
      <c r="F944"/>
      <c r="G944"/>
      <c r="H944"/>
      <c r="I944"/>
      <c r="J944"/>
      <c r="K944"/>
      <c r="L944"/>
      <c r="M944"/>
      <c r="N944"/>
      <c r="O944"/>
      <c r="P944"/>
      <c r="Q944"/>
      <c r="R944"/>
      <c r="S944"/>
    </row>
    <row r="945" spans="1:19">
      <c r="A945"/>
      <c r="B945"/>
      <c r="C945"/>
      <c r="D945"/>
      <c r="E945"/>
      <c r="F945"/>
      <c r="G945"/>
      <c r="H945"/>
      <c r="I945"/>
      <c r="J945"/>
      <c r="K945"/>
      <c r="L945"/>
      <c r="M945"/>
      <c r="N945"/>
      <c r="O945"/>
      <c r="P945"/>
      <c r="Q945"/>
      <c r="R945"/>
      <c r="S945"/>
    </row>
    <row r="946" spans="1:19">
      <c r="A946"/>
      <c r="B946"/>
      <c r="C946"/>
      <c r="D946"/>
      <c r="E946"/>
      <c r="F946"/>
      <c r="G946"/>
      <c r="H946"/>
      <c r="I946"/>
      <c r="J946"/>
      <c r="K946"/>
      <c r="L946"/>
      <c r="M946"/>
      <c r="N946"/>
      <c r="O946"/>
      <c r="P946"/>
      <c r="Q946"/>
      <c r="R946"/>
      <c r="S946"/>
    </row>
    <row r="947" spans="1:19">
      <c r="A947"/>
      <c r="B947"/>
      <c r="C947"/>
      <c r="D947"/>
      <c r="E947"/>
      <c r="F947"/>
      <c r="G947"/>
      <c r="H947"/>
      <c r="I947"/>
      <c r="J947"/>
      <c r="K947"/>
      <c r="L947"/>
      <c r="M947"/>
      <c r="N947"/>
      <c r="O947"/>
      <c r="P947"/>
      <c r="Q947"/>
      <c r="R947"/>
      <c r="S947"/>
    </row>
    <row r="948" spans="1:19">
      <c r="A948"/>
      <c r="B948"/>
      <c r="C948"/>
      <c r="D948"/>
      <c r="E948"/>
      <c r="F948"/>
      <c r="G948"/>
      <c r="H948"/>
      <c r="I948"/>
      <c r="J948"/>
      <c r="K948"/>
      <c r="L948"/>
      <c r="M948"/>
      <c r="N948"/>
      <c r="O948"/>
      <c r="P948"/>
      <c r="Q948"/>
      <c r="R948"/>
      <c r="S948"/>
    </row>
    <row r="949" spans="1:19">
      <c r="A949"/>
      <c r="B949"/>
      <c r="C949"/>
      <c r="D949"/>
      <c r="E949"/>
      <c r="F949"/>
      <c r="G949"/>
      <c r="H949"/>
      <c r="I949"/>
      <c r="J949"/>
      <c r="K949"/>
      <c r="L949"/>
      <c r="M949"/>
      <c r="N949"/>
      <c r="O949"/>
      <c r="P949"/>
      <c r="Q949"/>
      <c r="R949"/>
      <c r="S949"/>
    </row>
    <row r="950" spans="1:19">
      <c r="A950"/>
      <c r="B950"/>
      <c r="C950"/>
      <c r="D950"/>
      <c r="E950"/>
      <c r="F950"/>
      <c r="G950"/>
      <c r="H950"/>
      <c r="I950"/>
      <c r="J950"/>
      <c r="K950"/>
      <c r="L950"/>
      <c r="M950"/>
      <c r="N950"/>
      <c r="O950"/>
      <c r="P950"/>
      <c r="Q950"/>
      <c r="R950"/>
      <c r="S950"/>
    </row>
    <row r="951" spans="1:19">
      <c r="A951"/>
      <c r="B951"/>
      <c r="C951"/>
      <c r="D951"/>
      <c r="E951"/>
      <c r="F951"/>
      <c r="G951"/>
      <c r="H951"/>
      <c r="I951"/>
      <c r="J951"/>
      <c r="K951"/>
      <c r="L951"/>
      <c r="M951"/>
      <c r="N951"/>
      <c r="O951"/>
      <c r="P951"/>
      <c r="Q951"/>
      <c r="R951"/>
      <c r="S951"/>
    </row>
    <row r="952" spans="1:19">
      <c r="A952"/>
      <c r="B952"/>
      <c r="C952"/>
      <c r="D952"/>
      <c r="E952"/>
      <c r="F952"/>
      <c r="G952"/>
      <c r="H952"/>
      <c r="I952"/>
      <c r="J952"/>
      <c r="K952"/>
      <c r="L952"/>
      <c r="M952"/>
      <c r="N952"/>
      <c r="O952"/>
      <c r="P952"/>
      <c r="Q952"/>
      <c r="R952"/>
      <c r="S952"/>
    </row>
    <row r="953" spans="1:19">
      <c r="A953"/>
      <c r="B953"/>
      <c r="C953"/>
      <c r="D953"/>
      <c r="E953"/>
      <c r="F953"/>
      <c r="G953"/>
      <c r="H953"/>
      <c r="I953"/>
      <c r="J953"/>
      <c r="K953"/>
      <c r="L953"/>
      <c r="M953"/>
      <c r="N953"/>
      <c r="O953"/>
      <c r="P953"/>
      <c r="Q953"/>
      <c r="R953"/>
      <c r="S953"/>
    </row>
    <row r="954" spans="1:19">
      <c r="A954"/>
      <c r="B954"/>
      <c r="C954"/>
      <c r="D954"/>
      <c r="E954"/>
      <c r="F954"/>
      <c r="G954"/>
      <c r="H954"/>
      <c r="I954"/>
      <c r="J954"/>
      <c r="K954"/>
      <c r="L954"/>
      <c r="M954"/>
      <c r="N954"/>
      <c r="O954"/>
      <c r="P954"/>
      <c r="Q954"/>
      <c r="R954"/>
      <c r="S954"/>
    </row>
    <row r="955" spans="1:19">
      <c r="A955"/>
      <c r="B955"/>
      <c r="C955"/>
      <c r="D955"/>
      <c r="E955"/>
      <c r="F955"/>
      <c r="G955"/>
      <c r="H955"/>
      <c r="I955"/>
      <c r="J955"/>
      <c r="K955"/>
      <c r="L955"/>
      <c r="M955"/>
      <c r="N955"/>
      <c r="O955"/>
      <c r="P955"/>
      <c r="Q955"/>
      <c r="R955"/>
      <c r="S955"/>
    </row>
    <row r="956" spans="1:19">
      <c r="A956"/>
      <c r="B956"/>
      <c r="C956"/>
      <c r="D956"/>
      <c r="E956"/>
      <c r="F956"/>
      <c r="G956"/>
      <c r="H956"/>
      <c r="I956"/>
      <c r="J956"/>
      <c r="K956"/>
      <c r="L956"/>
      <c r="M956"/>
      <c r="N956"/>
      <c r="O956"/>
      <c r="P956"/>
      <c r="Q956"/>
      <c r="R956"/>
      <c r="S956"/>
    </row>
    <row r="957" spans="1:19">
      <c r="A957"/>
      <c r="B957"/>
      <c r="C957"/>
      <c r="D957"/>
      <c r="E957"/>
      <c r="F957"/>
      <c r="G957"/>
      <c r="H957"/>
      <c r="I957"/>
      <c r="J957"/>
      <c r="K957"/>
      <c r="L957"/>
      <c r="M957"/>
      <c r="N957"/>
      <c r="O957"/>
      <c r="P957"/>
      <c r="Q957"/>
      <c r="R957"/>
      <c r="S957"/>
    </row>
    <row r="958" spans="1:19">
      <c r="A958"/>
      <c r="B958"/>
      <c r="C958"/>
      <c r="D958"/>
      <c r="E958"/>
      <c r="F958"/>
      <c r="G958"/>
      <c r="H958"/>
      <c r="I958"/>
      <c r="J958"/>
      <c r="K958"/>
      <c r="L958"/>
      <c r="M958"/>
      <c r="N958"/>
      <c r="O958"/>
      <c r="P958"/>
      <c r="Q958"/>
      <c r="R958"/>
      <c r="S958"/>
    </row>
    <row r="959" spans="1:19">
      <c r="A959"/>
      <c r="B959"/>
      <c r="C959"/>
      <c r="D959"/>
      <c r="E959"/>
      <c r="F959"/>
      <c r="G959"/>
      <c r="H959"/>
      <c r="I959"/>
      <c r="J959"/>
      <c r="K959"/>
      <c r="L959"/>
      <c r="M959"/>
      <c r="N959"/>
      <c r="O959"/>
      <c r="P959"/>
      <c r="Q959"/>
      <c r="R959"/>
      <c r="S959"/>
    </row>
    <row r="960" spans="1:19">
      <c r="A960"/>
      <c r="B960"/>
      <c r="C960"/>
      <c r="D960"/>
      <c r="E960"/>
      <c r="F960"/>
      <c r="G960"/>
      <c r="H960"/>
      <c r="I960"/>
      <c r="J960"/>
      <c r="K960"/>
      <c r="L960"/>
      <c r="M960"/>
      <c r="N960"/>
      <c r="O960"/>
      <c r="P960"/>
      <c r="Q960"/>
      <c r="R960"/>
      <c r="S960"/>
    </row>
    <row r="961" spans="1:19">
      <c r="A961"/>
      <c r="B961"/>
      <c r="C961"/>
      <c r="D961"/>
      <c r="E961"/>
      <c r="F961"/>
      <c r="G961"/>
      <c r="H961"/>
      <c r="I961"/>
      <c r="J961"/>
      <c r="K961"/>
      <c r="L961"/>
      <c r="M961"/>
      <c r="N961"/>
      <c r="O961"/>
      <c r="P961"/>
      <c r="Q961"/>
      <c r="R961"/>
      <c r="S961"/>
    </row>
    <row r="962" spans="1:19">
      <c r="A962"/>
      <c r="B962"/>
      <c r="C962"/>
      <c r="D962"/>
      <c r="E962"/>
      <c r="F962"/>
      <c r="G962"/>
      <c r="H962"/>
      <c r="I962"/>
      <c r="J962"/>
      <c r="K962"/>
      <c r="L962"/>
      <c r="M962"/>
      <c r="N962"/>
      <c r="O962"/>
      <c r="P962"/>
      <c r="Q962"/>
      <c r="R962"/>
      <c r="S962"/>
    </row>
    <row r="963" spans="1:19">
      <c r="A963"/>
      <c r="B963"/>
      <c r="C963"/>
      <c r="D963"/>
      <c r="E963"/>
      <c r="F963"/>
      <c r="G963"/>
      <c r="H963"/>
      <c r="I963"/>
      <c r="J963"/>
      <c r="K963"/>
      <c r="L963"/>
      <c r="M963"/>
      <c r="N963"/>
      <c r="O963"/>
      <c r="P963"/>
      <c r="Q963"/>
      <c r="R963"/>
      <c r="S963"/>
    </row>
    <row r="964" spans="1:19">
      <c r="A964"/>
      <c r="B964"/>
      <c r="C964"/>
      <c r="D964"/>
      <c r="E964"/>
      <c r="F964"/>
      <c r="G964"/>
      <c r="H964"/>
      <c r="I964"/>
      <c r="J964"/>
      <c r="K964"/>
      <c r="L964"/>
      <c r="M964"/>
      <c r="N964"/>
      <c r="O964"/>
      <c r="P964"/>
      <c r="Q964"/>
      <c r="R964"/>
      <c r="S964"/>
    </row>
    <row r="965" spans="1:19">
      <c r="A965"/>
      <c r="B965"/>
      <c r="C965"/>
      <c r="D965"/>
      <c r="E965"/>
      <c r="F965"/>
      <c r="G965"/>
      <c r="H965"/>
      <c r="I965"/>
      <c r="J965"/>
      <c r="K965"/>
      <c r="L965"/>
      <c r="M965"/>
      <c r="N965"/>
      <c r="O965"/>
      <c r="P965"/>
      <c r="Q965"/>
      <c r="R965"/>
      <c r="S965"/>
    </row>
    <row r="966" spans="1:19">
      <c r="A966"/>
      <c r="B966"/>
      <c r="C966"/>
      <c r="D966"/>
      <c r="E966"/>
      <c r="F966"/>
      <c r="G966"/>
      <c r="H966"/>
      <c r="I966"/>
      <c r="J966"/>
      <c r="K966"/>
      <c r="L966"/>
      <c r="M966"/>
      <c r="N966"/>
      <c r="O966"/>
      <c r="P966"/>
      <c r="Q966"/>
      <c r="R966"/>
      <c r="S966"/>
    </row>
    <row r="967" spans="1:19">
      <c r="A967"/>
      <c r="B967"/>
      <c r="C967"/>
      <c r="D967"/>
      <c r="E967"/>
      <c r="F967"/>
      <c r="G967"/>
      <c r="H967"/>
      <c r="I967"/>
      <c r="J967"/>
      <c r="K967"/>
      <c r="L967"/>
      <c r="M967"/>
      <c r="N967"/>
      <c r="O967"/>
      <c r="P967"/>
      <c r="Q967"/>
      <c r="R967"/>
      <c r="S967"/>
    </row>
    <row r="968" spans="1:19">
      <c r="A968"/>
      <c r="B968"/>
      <c r="C968"/>
      <c r="D968"/>
      <c r="E968"/>
      <c r="F968"/>
      <c r="G968"/>
      <c r="H968"/>
      <c r="I968"/>
      <c r="J968"/>
      <c r="K968"/>
      <c r="L968"/>
      <c r="M968"/>
      <c r="N968"/>
      <c r="O968"/>
      <c r="P968"/>
      <c r="Q968"/>
      <c r="R968"/>
      <c r="S968"/>
    </row>
    <row r="969" spans="1:19">
      <c r="A969"/>
      <c r="B969"/>
      <c r="C969"/>
      <c r="D969"/>
      <c r="E969"/>
      <c r="F969"/>
      <c r="G969"/>
      <c r="H969"/>
      <c r="I969"/>
      <c r="J969"/>
      <c r="K969"/>
      <c r="L969"/>
      <c r="M969"/>
      <c r="N969"/>
      <c r="O969"/>
      <c r="P969"/>
      <c r="Q969"/>
      <c r="R969"/>
      <c r="S969"/>
    </row>
    <row r="970" spans="1:19">
      <c r="A970"/>
      <c r="B970"/>
      <c r="C970"/>
      <c r="D970"/>
      <c r="E970"/>
      <c r="F970"/>
      <c r="G970"/>
      <c r="H970"/>
      <c r="I970"/>
      <c r="J970"/>
      <c r="K970"/>
      <c r="L970"/>
      <c r="M970"/>
      <c r="N970"/>
      <c r="O970"/>
      <c r="P970"/>
      <c r="Q970"/>
      <c r="R970"/>
      <c r="S970"/>
    </row>
    <row r="971" spans="1:19">
      <c r="A971"/>
      <c r="B971"/>
      <c r="C971"/>
      <c r="D971"/>
      <c r="E971"/>
      <c r="F971"/>
      <c r="G971"/>
      <c r="H971"/>
      <c r="I971"/>
      <c r="J971"/>
      <c r="K971"/>
      <c r="L971"/>
      <c r="M971"/>
      <c r="N971"/>
      <c r="O971"/>
      <c r="P971"/>
      <c r="Q971"/>
      <c r="R971"/>
      <c r="S971"/>
    </row>
    <row r="972" spans="1:19">
      <c r="A972"/>
      <c r="B972"/>
      <c r="C972"/>
      <c r="D972"/>
      <c r="E972"/>
      <c r="F972"/>
      <c r="G972"/>
      <c r="H972"/>
      <c r="I972"/>
      <c r="J972"/>
      <c r="K972"/>
      <c r="L972"/>
      <c r="M972"/>
      <c r="N972"/>
      <c r="O972"/>
      <c r="P972"/>
      <c r="Q972"/>
      <c r="R972"/>
      <c r="S972"/>
    </row>
    <row r="973" spans="1:19">
      <c r="A973"/>
      <c r="B973"/>
      <c r="C973"/>
      <c r="D973"/>
      <c r="E973"/>
      <c r="F973"/>
      <c r="G973"/>
      <c r="H973"/>
      <c r="I973"/>
      <c r="J973"/>
      <c r="K973"/>
      <c r="L973"/>
      <c r="M973"/>
      <c r="N973"/>
      <c r="O973"/>
      <c r="P973"/>
      <c r="Q973"/>
      <c r="R973"/>
      <c r="S973"/>
    </row>
    <row r="974" spans="1:19">
      <c r="A974"/>
      <c r="B974"/>
      <c r="C974"/>
      <c r="D974"/>
      <c r="E974"/>
      <c r="F974"/>
      <c r="G974"/>
      <c r="H974"/>
      <c r="I974"/>
      <c r="J974"/>
      <c r="K974"/>
      <c r="L974"/>
      <c r="M974"/>
      <c r="N974"/>
      <c r="O974"/>
      <c r="P974"/>
      <c r="Q974"/>
      <c r="R974"/>
      <c r="S974"/>
    </row>
    <row r="975" spans="1:19">
      <c r="A975"/>
      <c r="B975"/>
      <c r="C975"/>
      <c r="D975"/>
      <c r="E975"/>
      <c r="F975"/>
      <c r="G975"/>
      <c r="H975"/>
      <c r="I975"/>
      <c r="J975"/>
      <c r="K975"/>
      <c r="L975"/>
      <c r="M975"/>
      <c r="N975"/>
      <c r="O975"/>
      <c r="P975"/>
      <c r="Q975"/>
      <c r="R975"/>
      <c r="S975"/>
    </row>
    <row r="976" spans="1:19">
      <c r="A976"/>
      <c r="B976"/>
      <c r="C976"/>
      <c r="D976"/>
      <c r="E976"/>
      <c r="F976"/>
      <c r="G976"/>
      <c r="H976"/>
      <c r="I976"/>
      <c r="J976"/>
      <c r="K976"/>
      <c r="L976"/>
      <c r="M976"/>
      <c r="N976"/>
      <c r="O976"/>
      <c r="P976"/>
      <c r="Q976"/>
      <c r="R976"/>
      <c r="S976"/>
    </row>
    <row r="977" spans="1:19">
      <c r="A977"/>
      <c r="B977"/>
      <c r="C977"/>
      <c r="D977"/>
      <c r="E977"/>
      <c r="F977"/>
      <c r="G977"/>
      <c r="H977"/>
      <c r="I977"/>
      <c r="J977"/>
      <c r="K977"/>
      <c r="L977"/>
      <c r="M977"/>
      <c r="N977"/>
      <c r="O977"/>
      <c r="P977"/>
      <c r="Q977"/>
      <c r="R977"/>
      <c r="S977"/>
    </row>
    <row r="978" spans="1:19">
      <c r="A978"/>
      <c r="B978"/>
      <c r="C978"/>
      <c r="D978"/>
      <c r="E978"/>
      <c r="F978"/>
      <c r="G978"/>
      <c r="H978"/>
      <c r="I978"/>
      <c r="J978"/>
      <c r="K978"/>
      <c r="L978"/>
      <c r="M978"/>
      <c r="N978"/>
      <c r="O978"/>
      <c r="P978"/>
      <c r="Q978"/>
      <c r="R978"/>
      <c r="S978"/>
    </row>
    <row r="979" spans="1:19">
      <c r="A979"/>
      <c r="B979"/>
      <c r="C979"/>
      <c r="D979"/>
      <c r="E979"/>
      <c r="F979"/>
      <c r="G979"/>
      <c r="H979"/>
      <c r="I979"/>
      <c r="J979"/>
      <c r="K979"/>
      <c r="L979"/>
      <c r="M979"/>
      <c r="N979"/>
      <c r="O979"/>
      <c r="P979"/>
      <c r="Q979"/>
      <c r="R979"/>
      <c r="S979"/>
    </row>
    <row r="980" spans="1:19">
      <c r="A980"/>
      <c r="B980"/>
      <c r="C980"/>
      <c r="D980"/>
      <c r="E980"/>
      <c r="F980"/>
      <c r="G980"/>
      <c r="H980"/>
      <c r="I980"/>
      <c r="J980"/>
      <c r="K980"/>
      <c r="L980"/>
      <c r="M980"/>
      <c r="N980"/>
      <c r="O980"/>
      <c r="P980"/>
      <c r="Q980"/>
      <c r="R980"/>
      <c r="S980"/>
    </row>
    <row r="981" spans="1:19">
      <c r="A981"/>
      <c r="B981"/>
      <c r="C981"/>
      <c r="D981"/>
      <c r="E981"/>
      <c r="F981"/>
      <c r="G981"/>
      <c r="H981"/>
      <c r="I981"/>
      <c r="J981"/>
      <c r="K981"/>
      <c r="L981"/>
      <c r="M981"/>
      <c r="N981"/>
      <c r="O981"/>
      <c r="P981"/>
      <c r="Q981"/>
      <c r="R981"/>
      <c r="S981"/>
    </row>
    <row r="982" spans="1:19">
      <c r="A982"/>
      <c r="B982"/>
      <c r="C982"/>
      <c r="D982"/>
      <c r="E982"/>
      <c r="F982"/>
      <c r="G982"/>
      <c r="H982"/>
      <c r="I982"/>
      <c r="J982"/>
      <c r="K982"/>
      <c r="L982"/>
      <c r="M982"/>
      <c r="N982"/>
      <c r="O982"/>
      <c r="P982"/>
      <c r="Q982"/>
      <c r="R982"/>
      <c r="S982"/>
    </row>
    <row r="983" spans="1:19">
      <c r="A983"/>
      <c r="B983"/>
      <c r="C983"/>
      <c r="D983"/>
      <c r="E983"/>
      <c r="F983"/>
      <c r="G983"/>
      <c r="H983"/>
      <c r="I983"/>
      <c r="J983"/>
      <c r="K983"/>
      <c r="L983"/>
      <c r="M983"/>
      <c r="N983"/>
      <c r="O983"/>
      <c r="P983"/>
      <c r="Q983"/>
      <c r="R983"/>
      <c r="S983"/>
    </row>
    <row r="984" spans="1:19">
      <c r="A984"/>
      <c r="B984"/>
      <c r="C984"/>
      <c r="D984"/>
      <c r="E984"/>
      <c r="F984"/>
      <c r="G984"/>
      <c r="H984"/>
      <c r="I984"/>
      <c r="J984"/>
      <c r="K984"/>
      <c r="L984"/>
      <c r="M984"/>
      <c r="N984"/>
      <c r="O984"/>
      <c r="P984"/>
      <c r="Q984"/>
      <c r="R984"/>
      <c r="S984"/>
    </row>
    <row r="985" spans="1:19">
      <c r="A985"/>
      <c r="B985"/>
      <c r="C985"/>
      <c r="D985"/>
      <c r="E985"/>
      <c r="F985"/>
      <c r="G985"/>
      <c r="H985"/>
      <c r="I985"/>
      <c r="J985"/>
      <c r="K985"/>
      <c r="L985"/>
      <c r="M985"/>
      <c r="N985"/>
      <c r="O985"/>
      <c r="P985"/>
      <c r="Q985"/>
      <c r="R985"/>
      <c r="S985"/>
    </row>
    <row r="986" spans="1:19">
      <c r="A986"/>
      <c r="B986"/>
      <c r="C986"/>
      <c r="D986"/>
      <c r="E986"/>
      <c r="F986"/>
      <c r="G986"/>
      <c r="H986"/>
      <c r="I986"/>
      <c r="J986"/>
      <c r="K986"/>
      <c r="L986"/>
      <c r="M986"/>
      <c r="N986"/>
      <c r="O986"/>
      <c r="P986"/>
      <c r="Q986"/>
      <c r="R986"/>
    </row>
    <row r="987" spans="1:19">
      <c r="A987"/>
      <c r="B987"/>
      <c r="C987"/>
      <c r="D987"/>
      <c r="E987"/>
      <c r="F987"/>
      <c r="G987"/>
      <c r="H987"/>
      <c r="I987"/>
      <c r="J987"/>
      <c r="K987"/>
      <c r="L987"/>
      <c r="M987"/>
      <c r="N987"/>
      <c r="O987"/>
      <c r="P987"/>
      <c r="Q987"/>
      <c r="R987"/>
    </row>
    <row r="988" spans="1:19">
      <c r="A988"/>
      <c r="B988"/>
      <c r="C988"/>
      <c r="D988"/>
      <c r="E988"/>
      <c r="F988"/>
      <c r="G988"/>
      <c r="H988"/>
      <c r="I988"/>
      <c r="J988"/>
      <c r="K988"/>
      <c r="L988"/>
      <c r="M988"/>
      <c r="N988"/>
      <c r="O988"/>
      <c r="P988"/>
      <c r="Q988"/>
      <c r="R988"/>
    </row>
    <row r="989" spans="1:19">
      <c r="A989"/>
      <c r="B989"/>
      <c r="C989"/>
      <c r="D989"/>
      <c r="E989"/>
      <c r="F989"/>
      <c r="G989"/>
      <c r="H989"/>
      <c r="I989"/>
      <c r="J989"/>
      <c r="K989"/>
      <c r="L989"/>
      <c r="M989"/>
      <c r="N989"/>
      <c r="O989"/>
      <c r="P989"/>
      <c r="Q989"/>
      <c r="R989"/>
    </row>
    <row r="990" spans="1:19">
      <c r="A990"/>
      <c r="B990"/>
      <c r="C990"/>
      <c r="D990"/>
      <c r="E990"/>
      <c r="F990"/>
      <c r="G990"/>
      <c r="H990"/>
      <c r="I990"/>
      <c r="J990"/>
      <c r="K990"/>
      <c r="L990"/>
      <c r="M990"/>
      <c r="N990"/>
      <c r="O990"/>
      <c r="P990"/>
      <c r="Q990"/>
      <c r="R990"/>
    </row>
    <row r="991" spans="1:19">
      <c r="A991"/>
      <c r="B991"/>
      <c r="C991"/>
      <c r="D991"/>
      <c r="E991"/>
      <c r="F991"/>
      <c r="G991"/>
      <c r="H991"/>
      <c r="I991"/>
      <c r="J991"/>
      <c r="K991"/>
      <c r="L991"/>
      <c r="M991"/>
      <c r="N991"/>
      <c r="O991"/>
      <c r="P991"/>
      <c r="Q991"/>
      <c r="R991"/>
    </row>
    <row r="992" spans="1:19">
      <c r="A992"/>
      <c r="B992"/>
      <c r="C992"/>
      <c r="D992"/>
      <c r="E992"/>
      <c r="F992"/>
      <c r="G992"/>
      <c r="H992"/>
      <c r="I992"/>
      <c r="J992"/>
      <c r="K992"/>
      <c r="L992"/>
      <c r="M992"/>
      <c r="N992"/>
      <c r="O992"/>
      <c r="P992"/>
      <c r="Q992"/>
      <c r="R992"/>
    </row>
    <row r="993" spans="1:18">
      <c r="A993"/>
      <c r="B993"/>
      <c r="C993"/>
      <c r="D993"/>
      <c r="E993"/>
      <c r="F993"/>
      <c r="G993"/>
      <c r="H993"/>
      <c r="I993"/>
      <c r="J993"/>
      <c r="K993"/>
      <c r="L993"/>
      <c r="M993"/>
      <c r="N993"/>
      <c r="O993"/>
      <c r="P993"/>
      <c r="Q993"/>
      <c r="R993"/>
    </row>
    <row r="994" spans="1:18">
      <c r="A994"/>
      <c r="B994"/>
      <c r="C994"/>
      <c r="D994"/>
      <c r="E994"/>
      <c r="F994"/>
      <c r="G994"/>
      <c r="H994"/>
      <c r="I994"/>
      <c r="J994"/>
      <c r="K994"/>
      <c r="L994"/>
      <c r="M994"/>
      <c r="N994"/>
      <c r="O994"/>
      <c r="P994"/>
      <c r="Q994"/>
      <c r="R994"/>
    </row>
    <row r="995" spans="1:18">
      <c r="A995"/>
      <c r="B995"/>
      <c r="C995"/>
      <c r="D995"/>
      <c r="E995"/>
      <c r="F995"/>
      <c r="G995"/>
      <c r="H995"/>
      <c r="I995"/>
      <c r="J995"/>
      <c r="K995"/>
      <c r="L995"/>
      <c r="M995"/>
      <c r="N995"/>
      <c r="O995"/>
      <c r="P995"/>
      <c r="Q995"/>
      <c r="R995"/>
    </row>
    <row r="996" spans="1:18">
      <c r="A996"/>
      <c r="B996"/>
      <c r="C996"/>
      <c r="D996"/>
      <c r="E996"/>
      <c r="F996"/>
      <c r="G996"/>
      <c r="H996"/>
      <c r="I996"/>
      <c r="J996"/>
      <c r="K996"/>
      <c r="L996"/>
      <c r="M996"/>
      <c r="N996"/>
      <c r="O996"/>
      <c r="P996"/>
      <c r="Q996"/>
      <c r="R996"/>
    </row>
    <row r="997" spans="1:18">
      <c r="A997"/>
      <c r="B997"/>
      <c r="C997"/>
      <c r="D997"/>
      <c r="E997"/>
      <c r="F997"/>
      <c r="G997"/>
      <c r="H997"/>
      <c r="I997"/>
      <c r="J997"/>
      <c r="K997"/>
      <c r="L997"/>
      <c r="M997"/>
      <c r="N997"/>
      <c r="O997"/>
      <c r="P997"/>
      <c r="Q997"/>
      <c r="R997"/>
    </row>
    <row r="998" spans="1:18">
      <c r="A998"/>
      <c r="B998"/>
      <c r="C998"/>
      <c r="D998"/>
      <c r="E998"/>
      <c r="F998"/>
      <c r="G998"/>
      <c r="H998"/>
      <c r="I998"/>
      <c r="J998"/>
      <c r="K998"/>
      <c r="L998"/>
      <c r="M998"/>
      <c r="N998"/>
      <c r="O998"/>
      <c r="P998"/>
      <c r="Q998"/>
      <c r="R998"/>
    </row>
    <row r="999" spans="1:18">
      <c r="A999"/>
      <c r="B999"/>
      <c r="C999"/>
      <c r="D999"/>
      <c r="E999"/>
      <c r="F999"/>
      <c r="G999"/>
      <c r="H999"/>
      <c r="I999"/>
      <c r="J999"/>
      <c r="K999"/>
      <c r="L999"/>
      <c r="M999"/>
      <c r="N999"/>
      <c r="O999"/>
      <c r="P999"/>
      <c r="Q999"/>
      <c r="R999"/>
    </row>
    <row r="1000" spans="1:18">
      <c r="A1000"/>
      <c r="B1000"/>
      <c r="C1000"/>
      <c r="D1000"/>
      <c r="E1000"/>
      <c r="F1000"/>
      <c r="G1000"/>
      <c r="H1000"/>
      <c r="I1000"/>
      <c r="J1000"/>
      <c r="K1000"/>
      <c r="L1000"/>
      <c r="M1000"/>
      <c r="N1000"/>
      <c r="O1000"/>
      <c r="P1000"/>
      <c r="Q1000"/>
      <c r="R1000"/>
    </row>
    <row r="1001" spans="1:18">
      <c r="A1001"/>
      <c r="B1001"/>
      <c r="C1001"/>
      <c r="D1001"/>
      <c r="E1001"/>
      <c r="F1001"/>
      <c r="G1001"/>
      <c r="H1001"/>
      <c r="I1001"/>
      <c r="J1001"/>
      <c r="K1001"/>
      <c r="L1001"/>
      <c r="M1001"/>
      <c r="N1001"/>
      <c r="O1001"/>
      <c r="P1001"/>
      <c r="Q1001"/>
      <c r="R1001"/>
    </row>
    <row r="1002" spans="1:18">
      <c r="A1002"/>
      <c r="B1002"/>
      <c r="C1002"/>
      <c r="D1002"/>
      <c r="E1002"/>
      <c r="F1002"/>
      <c r="G1002"/>
      <c r="H1002"/>
      <c r="I1002"/>
      <c r="J1002"/>
      <c r="K1002"/>
      <c r="L1002"/>
      <c r="M1002"/>
      <c r="N1002"/>
      <c r="O1002"/>
      <c r="P1002"/>
      <c r="Q1002"/>
      <c r="R1002"/>
    </row>
    <row r="1003" spans="1:18">
      <c r="A1003"/>
      <c r="B1003"/>
      <c r="C1003"/>
      <c r="D1003"/>
      <c r="E1003"/>
      <c r="F1003"/>
      <c r="G1003"/>
      <c r="H1003"/>
      <c r="I1003"/>
      <c r="J1003"/>
      <c r="K1003"/>
      <c r="L1003"/>
      <c r="M1003"/>
      <c r="N1003"/>
      <c r="O1003"/>
      <c r="P1003"/>
      <c r="Q1003"/>
      <c r="R1003"/>
    </row>
    <row r="1004" spans="1:18">
      <c r="A1004"/>
      <c r="B1004"/>
      <c r="C1004"/>
      <c r="D1004"/>
      <c r="E1004"/>
      <c r="F1004"/>
      <c r="G1004"/>
      <c r="H1004"/>
      <c r="I1004"/>
      <c r="J1004"/>
      <c r="K1004"/>
      <c r="L1004"/>
      <c r="M1004"/>
      <c r="N1004"/>
      <c r="O1004"/>
      <c r="P1004"/>
      <c r="Q1004"/>
      <c r="R1004"/>
    </row>
    <row r="1005" spans="1:18">
      <c r="A1005"/>
      <c r="B1005"/>
      <c r="C1005"/>
      <c r="D1005"/>
      <c r="E1005"/>
      <c r="F1005"/>
      <c r="G1005"/>
      <c r="H1005"/>
      <c r="I1005"/>
      <c r="J1005"/>
      <c r="K1005"/>
      <c r="L1005"/>
      <c r="M1005"/>
      <c r="N1005"/>
      <c r="O1005"/>
      <c r="P1005"/>
      <c r="Q1005"/>
      <c r="R1005"/>
    </row>
    <row r="1006" spans="1:18">
      <c r="A1006"/>
      <c r="B1006"/>
      <c r="C1006"/>
      <c r="D1006"/>
      <c r="E1006"/>
      <c r="F1006"/>
      <c r="G1006"/>
      <c r="H1006"/>
      <c r="I1006"/>
      <c r="J1006"/>
      <c r="K1006"/>
      <c r="L1006"/>
      <c r="M1006"/>
      <c r="N1006"/>
      <c r="O1006"/>
      <c r="P1006"/>
      <c r="Q1006"/>
      <c r="R1006"/>
    </row>
    <row r="1007" spans="1:18">
      <c r="A1007"/>
      <c r="B1007"/>
      <c r="C1007"/>
      <c r="D1007"/>
      <c r="E1007"/>
      <c r="F1007"/>
      <c r="G1007"/>
      <c r="H1007"/>
      <c r="I1007"/>
      <c r="J1007"/>
      <c r="K1007"/>
      <c r="L1007"/>
      <c r="M1007"/>
      <c r="N1007"/>
      <c r="O1007"/>
      <c r="P1007"/>
      <c r="Q1007"/>
      <c r="R1007"/>
    </row>
    <row r="1008" spans="1:18">
      <c r="A1008"/>
      <c r="B1008"/>
      <c r="C1008"/>
      <c r="D1008"/>
      <c r="E1008"/>
      <c r="F1008"/>
      <c r="G1008"/>
      <c r="H1008"/>
      <c r="I1008"/>
      <c r="J1008"/>
      <c r="K1008"/>
      <c r="L1008"/>
      <c r="M1008"/>
      <c r="N1008"/>
      <c r="O1008"/>
      <c r="P1008"/>
      <c r="Q1008"/>
      <c r="R1008"/>
    </row>
    <row r="1009" spans="1:18">
      <c r="A1009"/>
      <c r="B1009"/>
      <c r="C1009"/>
      <c r="D1009"/>
      <c r="E1009"/>
      <c r="F1009"/>
      <c r="G1009"/>
      <c r="H1009"/>
      <c r="I1009"/>
      <c r="J1009"/>
      <c r="K1009"/>
      <c r="L1009"/>
      <c r="M1009"/>
      <c r="N1009"/>
      <c r="O1009"/>
      <c r="P1009"/>
      <c r="Q1009"/>
      <c r="R1009"/>
    </row>
    <row r="1010" spans="1:18">
      <c r="A1010"/>
      <c r="B1010"/>
      <c r="C1010"/>
      <c r="D1010"/>
      <c r="E1010"/>
      <c r="F1010"/>
      <c r="G1010"/>
      <c r="H1010"/>
      <c r="I1010"/>
      <c r="J1010"/>
      <c r="K1010"/>
      <c r="L1010"/>
      <c r="M1010"/>
      <c r="N1010"/>
      <c r="O1010"/>
      <c r="P1010"/>
      <c r="Q1010"/>
      <c r="R1010"/>
    </row>
    <row r="1011" spans="1:18">
      <c r="A1011"/>
      <c r="B1011"/>
      <c r="C1011"/>
      <c r="D1011"/>
      <c r="E1011"/>
      <c r="F1011"/>
      <c r="G1011"/>
      <c r="H1011"/>
      <c r="I1011"/>
      <c r="J1011"/>
      <c r="K1011"/>
      <c r="L1011"/>
      <c r="M1011"/>
      <c r="N1011"/>
      <c r="O1011"/>
      <c r="P1011"/>
      <c r="Q1011"/>
      <c r="R1011"/>
    </row>
    <row r="1012" spans="1:18">
      <c r="A1012"/>
      <c r="B1012"/>
      <c r="C1012"/>
      <c r="D1012"/>
      <c r="E1012"/>
      <c r="F1012"/>
      <c r="G1012"/>
      <c r="H1012"/>
      <c r="I1012"/>
      <c r="J1012"/>
      <c r="K1012"/>
      <c r="L1012"/>
      <c r="M1012"/>
      <c r="N1012"/>
      <c r="O1012"/>
      <c r="P1012"/>
      <c r="Q1012"/>
      <c r="R1012"/>
    </row>
    <row r="1013" spans="1:18">
      <c r="A1013"/>
      <c r="B1013"/>
      <c r="C1013"/>
      <c r="D1013"/>
      <c r="E1013"/>
      <c r="F1013"/>
      <c r="G1013"/>
      <c r="H1013"/>
      <c r="I1013"/>
      <c r="J1013"/>
      <c r="K1013"/>
      <c r="L1013"/>
      <c r="M1013"/>
      <c r="N1013"/>
      <c r="O1013"/>
      <c r="P1013"/>
      <c r="Q1013"/>
      <c r="R1013"/>
    </row>
    <row r="1014" spans="1:18">
      <c r="A1014"/>
      <c r="B1014"/>
      <c r="C1014"/>
      <c r="D1014"/>
      <c r="E1014"/>
      <c r="F1014"/>
      <c r="G1014"/>
      <c r="H1014"/>
      <c r="I1014"/>
      <c r="J1014"/>
      <c r="K1014"/>
      <c r="L1014"/>
      <c r="M1014"/>
      <c r="N1014"/>
      <c r="O1014"/>
      <c r="P1014"/>
      <c r="Q1014"/>
      <c r="R1014"/>
    </row>
    <row r="1015" spans="1:18">
      <c r="A1015"/>
      <c r="B1015"/>
      <c r="C1015"/>
      <c r="D1015"/>
      <c r="E1015"/>
      <c r="F1015"/>
      <c r="G1015"/>
      <c r="H1015"/>
      <c r="I1015"/>
      <c r="J1015"/>
      <c r="K1015"/>
      <c r="L1015"/>
      <c r="M1015"/>
      <c r="N1015"/>
      <c r="O1015"/>
      <c r="P1015"/>
      <c r="Q1015"/>
      <c r="R1015"/>
    </row>
    <row r="1016" spans="1:18">
      <c r="A1016"/>
      <c r="B1016"/>
      <c r="C1016"/>
      <c r="D1016"/>
      <c r="E1016"/>
      <c r="F1016"/>
      <c r="G1016"/>
      <c r="H1016"/>
      <c r="I1016"/>
      <c r="J1016"/>
      <c r="K1016"/>
      <c r="L1016"/>
      <c r="M1016"/>
      <c r="N1016"/>
      <c r="O1016"/>
      <c r="P1016"/>
      <c r="Q1016"/>
      <c r="R1016"/>
    </row>
    <row r="1017" spans="1:18">
      <c r="A1017"/>
      <c r="B1017"/>
      <c r="C1017"/>
      <c r="D1017"/>
      <c r="E1017"/>
      <c r="F1017"/>
      <c r="G1017"/>
      <c r="H1017"/>
      <c r="I1017"/>
      <c r="J1017"/>
      <c r="K1017"/>
      <c r="L1017"/>
      <c r="M1017"/>
      <c r="N1017"/>
      <c r="O1017"/>
      <c r="P1017"/>
      <c r="Q1017"/>
      <c r="R1017"/>
    </row>
    <row r="1018" spans="1:18">
      <c r="A1018"/>
      <c r="B1018"/>
      <c r="C1018"/>
      <c r="D1018"/>
      <c r="E1018"/>
      <c r="F1018"/>
      <c r="G1018"/>
      <c r="H1018"/>
      <c r="I1018"/>
      <c r="J1018"/>
      <c r="K1018"/>
      <c r="L1018"/>
      <c r="M1018"/>
      <c r="N1018"/>
      <c r="O1018"/>
      <c r="P1018"/>
      <c r="Q1018"/>
      <c r="R1018"/>
    </row>
    <row r="1019" spans="1:18">
      <c r="A1019"/>
      <c r="B1019"/>
      <c r="C1019"/>
      <c r="D1019"/>
      <c r="E1019"/>
      <c r="F1019"/>
      <c r="G1019"/>
      <c r="H1019"/>
      <c r="I1019"/>
      <c r="J1019"/>
      <c r="K1019"/>
      <c r="L1019"/>
      <c r="M1019"/>
      <c r="N1019"/>
      <c r="O1019"/>
      <c r="P1019"/>
      <c r="Q1019"/>
      <c r="R1019"/>
    </row>
    <row r="1020" spans="1:18">
      <c r="A1020"/>
      <c r="B1020"/>
      <c r="C1020"/>
      <c r="D1020"/>
      <c r="E1020"/>
      <c r="F1020"/>
      <c r="G1020"/>
      <c r="H1020"/>
      <c r="I1020"/>
      <c r="J1020"/>
      <c r="K1020"/>
      <c r="L1020"/>
      <c r="M1020"/>
      <c r="N1020"/>
      <c r="O1020"/>
      <c r="P1020"/>
      <c r="Q1020"/>
      <c r="R1020"/>
    </row>
    <row r="1021" spans="1:18">
      <c r="A1021"/>
      <c r="B1021"/>
      <c r="C1021"/>
      <c r="D1021"/>
      <c r="E1021"/>
      <c r="F1021"/>
      <c r="G1021"/>
      <c r="H1021"/>
      <c r="I1021"/>
      <c r="J1021"/>
      <c r="K1021"/>
      <c r="L1021"/>
      <c r="M1021"/>
      <c r="N1021"/>
      <c r="O1021"/>
      <c r="P1021"/>
      <c r="Q1021"/>
      <c r="R1021"/>
    </row>
    <row r="1022" spans="1:18">
      <c r="A1022"/>
      <c r="B1022"/>
      <c r="C1022"/>
      <c r="D1022"/>
      <c r="E1022"/>
      <c r="F1022"/>
      <c r="G1022"/>
      <c r="H1022"/>
      <c r="I1022"/>
      <c r="J1022"/>
      <c r="K1022"/>
      <c r="L1022"/>
      <c r="M1022"/>
      <c r="N1022"/>
      <c r="O1022"/>
      <c r="P1022"/>
      <c r="Q1022"/>
      <c r="R1022"/>
    </row>
    <row r="1023" spans="1:18">
      <c r="A1023"/>
      <c r="B1023"/>
      <c r="C1023"/>
      <c r="D1023"/>
      <c r="E1023"/>
      <c r="F1023"/>
      <c r="G1023"/>
      <c r="H1023"/>
      <c r="I1023"/>
      <c r="J1023"/>
      <c r="K1023"/>
      <c r="L1023"/>
      <c r="M1023"/>
      <c r="N1023"/>
      <c r="O1023"/>
      <c r="P1023"/>
      <c r="Q1023"/>
      <c r="R1023"/>
    </row>
    <row r="1024" spans="1:18">
      <c r="A1024"/>
      <c r="B1024"/>
      <c r="C1024"/>
      <c r="D1024"/>
      <c r="E1024"/>
      <c r="F1024"/>
      <c r="G1024"/>
      <c r="H1024"/>
      <c r="I1024"/>
      <c r="J1024"/>
      <c r="K1024"/>
      <c r="L1024"/>
      <c r="M1024"/>
      <c r="N1024"/>
      <c r="O1024"/>
      <c r="P1024"/>
      <c r="Q1024"/>
      <c r="R1024"/>
    </row>
    <row r="1025" spans="1:18">
      <c r="A1025"/>
      <c r="B1025"/>
      <c r="C1025"/>
      <c r="D1025"/>
      <c r="E1025"/>
      <c r="F1025"/>
      <c r="G1025"/>
      <c r="H1025"/>
      <c r="I1025"/>
      <c r="J1025"/>
      <c r="K1025"/>
      <c r="L1025"/>
      <c r="M1025"/>
      <c r="N1025"/>
      <c r="O1025"/>
      <c r="P1025"/>
      <c r="Q1025"/>
      <c r="R1025"/>
    </row>
    <row r="1026" spans="1:18">
      <c r="A1026"/>
      <c r="B1026"/>
      <c r="C1026"/>
      <c r="D1026"/>
      <c r="E1026"/>
      <c r="F1026"/>
      <c r="G1026"/>
      <c r="H1026"/>
      <c r="I1026"/>
      <c r="J1026"/>
      <c r="K1026"/>
      <c r="L1026"/>
      <c r="M1026"/>
      <c r="N1026"/>
      <c r="O1026"/>
      <c r="P1026"/>
      <c r="Q1026"/>
      <c r="R1026"/>
    </row>
    <row r="1027" spans="1:18">
      <c r="A1027"/>
      <c r="B1027"/>
      <c r="C1027"/>
      <c r="D1027"/>
      <c r="E1027"/>
      <c r="F1027"/>
      <c r="G1027"/>
      <c r="H1027"/>
      <c r="I1027"/>
      <c r="J1027"/>
      <c r="K1027"/>
      <c r="L1027"/>
      <c r="M1027"/>
      <c r="N1027"/>
      <c r="O1027"/>
      <c r="P1027"/>
      <c r="Q1027"/>
      <c r="R1027"/>
    </row>
    <row r="1028" spans="1:18">
      <c r="A1028"/>
      <c r="B1028"/>
      <c r="C1028"/>
      <c r="D1028"/>
      <c r="E1028"/>
      <c r="F1028"/>
      <c r="G1028"/>
      <c r="H1028"/>
      <c r="I1028"/>
      <c r="J1028"/>
      <c r="K1028"/>
      <c r="L1028"/>
      <c r="M1028"/>
      <c r="N1028"/>
      <c r="O1028"/>
      <c r="P1028"/>
      <c r="Q1028"/>
      <c r="R1028"/>
    </row>
    <row r="1029" spans="1:18">
      <c r="A1029"/>
      <c r="B1029"/>
      <c r="C1029"/>
      <c r="D1029"/>
      <c r="E1029"/>
      <c r="F1029"/>
      <c r="G1029"/>
      <c r="H1029"/>
      <c r="I1029"/>
      <c r="J1029"/>
      <c r="K1029"/>
      <c r="L1029"/>
      <c r="M1029"/>
      <c r="N1029"/>
      <c r="O1029"/>
      <c r="P1029"/>
      <c r="Q1029"/>
      <c r="R1029"/>
    </row>
    <row r="1030" spans="1:18">
      <c r="A1030"/>
      <c r="B1030"/>
      <c r="C1030"/>
      <c r="D1030"/>
      <c r="E1030"/>
      <c r="F1030"/>
      <c r="G1030"/>
      <c r="H1030"/>
      <c r="I1030"/>
      <c r="J1030"/>
      <c r="K1030"/>
      <c r="L1030"/>
      <c r="M1030"/>
      <c r="N1030"/>
      <c r="O1030"/>
      <c r="P1030"/>
      <c r="Q1030"/>
      <c r="R1030"/>
    </row>
    <row r="1031" spans="1:18">
      <c r="A1031"/>
      <c r="B1031"/>
      <c r="C1031"/>
      <c r="D1031"/>
      <c r="E1031"/>
      <c r="F1031"/>
      <c r="G1031"/>
      <c r="H1031"/>
      <c r="I1031"/>
      <c r="J1031"/>
      <c r="K1031"/>
      <c r="L1031"/>
      <c r="M1031"/>
      <c r="N1031"/>
      <c r="O1031"/>
      <c r="P1031"/>
      <c r="Q1031"/>
      <c r="R1031"/>
    </row>
    <row r="1032" spans="1:18">
      <c r="A1032"/>
      <c r="B1032"/>
      <c r="C1032"/>
      <c r="D1032"/>
      <c r="E1032"/>
      <c r="F1032"/>
      <c r="G1032"/>
      <c r="H1032"/>
      <c r="I1032"/>
      <c r="J1032"/>
      <c r="K1032"/>
      <c r="L1032"/>
      <c r="M1032"/>
      <c r="N1032"/>
      <c r="O1032"/>
      <c r="P1032"/>
      <c r="Q1032"/>
      <c r="R1032"/>
    </row>
    <row r="1033" spans="1:18">
      <c r="A1033"/>
      <c r="B1033"/>
      <c r="C1033"/>
      <c r="D1033"/>
      <c r="E1033"/>
      <c r="F1033"/>
      <c r="G1033"/>
      <c r="H1033"/>
      <c r="I1033"/>
      <c r="J1033"/>
      <c r="K1033"/>
      <c r="L1033"/>
      <c r="M1033"/>
      <c r="N1033"/>
      <c r="O1033"/>
      <c r="P1033"/>
      <c r="Q1033"/>
      <c r="R1033"/>
    </row>
    <row r="1034" spans="1:18">
      <c r="A1034"/>
      <c r="B1034"/>
      <c r="C1034"/>
      <c r="D1034"/>
      <c r="E1034"/>
      <c r="F1034"/>
      <c r="G1034"/>
      <c r="H1034"/>
      <c r="I1034"/>
      <c r="J1034"/>
      <c r="K1034"/>
      <c r="L1034"/>
      <c r="M1034"/>
      <c r="N1034"/>
      <c r="O1034"/>
      <c r="P1034"/>
      <c r="Q1034"/>
      <c r="R1034"/>
    </row>
    <row r="1035" spans="1:18">
      <c r="A1035"/>
      <c r="B1035"/>
      <c r="C1035"/>
      <c r="D1035"/>
      <c r="E1035"/>
      <c r="F1035"/>
      <c r="G1035"/>
      <c r="H1035"/>
      <c r="I1035"/>
      <c r="J1035"/>
      <c r="K1035"/>
      <c r="L1035"/>
      <c r="M1035"/>
      <c r="N1035"/>
      <c r="O1035"/>
      <c r="P1035"/>
      <c r="Q1035"/>
      <c r="R1035"/>
    </row>
    <row r="1036" spans="1:18">
      <c r="A1036"/>
      <c r="B1036"/>
      <c r="C1036"/>
      <c r="D1036"/>
      <c r="E1036"/>
      <c r="F1036"/>
      <c r="G1036"/>
      <c r="H1036"/>
      <c r="I1036"/>
      <c r="J1036"/>
      <c r="K1036"/>
      <c r="L1036"/>
      <c r="M1036"/>
      <c r="N1036"/>
      <c r="O1036"/>
      <c r="P1036"/>
      <c r="Q1036"/>
      <c r="R1036"/>
    </row>
    <row r="1037" spans="1:18">
      <c r="A1037"/>
      <c r="B1037"/>
      <c r="C1037"/>
      <c r="D1037"/>
      <c r="E1037"/>
      <c r="F1037"/>
      <c r="G1037"/>
      <c r="H1037"/>
      <c r="I1037"/>
      <c r="J1037"/>
      <c r="K1037"/>
      <c r="L1037"/>
      <c r="M1037"/>
      <c r="N1037"/>
      <c r="O1037"/>
      <c r="P1037"/>
      <c r="Q1037"/>
      <c r="R1037"/>
    </row>
    <row r="1038" spans="1:18">
      <c r="A1038"/>
      <c r="B1038"/>
      <c r="C1038"/>
      <c r="D1038"/>
      <c r="E1038"/>
      <c r="F1038"/>
      <c r="G1038"/>
      <c r="H1038"/>
      <c r="I1038"/>
      <c r="J1038"/>
      <c r="K1038"/>
      <c r="L1038"/>
      <c r="M1038"/>
      <c r="N1038"/>
      <c r="O1038"/>
      <c r="P1038"/>
      <c r="Q1038"/>
      <c r="R1038"/>
    </row>
    <row r="1039" spans="1:18">
      <c r="A1039"/>
      <c r="B1039"/>
      <c r="C1039"/>
      <c r="D1039"/>
      <c r="E1039"/>
      <c r="F1039"/>
      <c r="G1039"/>
      <c r="H1039"/>
      <c r="I1039"/>
      <c r="J1039"/>
      <c r="K1039"/>
      <c r="L1039"/>
      <c r="M1039"/>
      <c r="N1039"/>
      <c r="O1039"/>
      <c r="P1039"/>
      <c r="Q1039"/>
      <c r="R1039"/>
    </row>
    <row r="1040" spans="1:18">
      <c r="A1040"/>
      <c r="B1040"/>
      <c r="C1040"/>
      <c r="D1040"/>
      <c r="E1040"/>
      <c r="F1040"/>
      <c r="G1040"/>
      <c r="H1040"/>
      <c r="I1040"/>
      <c r="J1040"/>
      <c r="K1040"/>
      <c r="L1040"/>
      <c r="M1040"/>
      <c r="N1040"/>
      <c r="O1040"/>
      <c r="P1040"/>
      <c r="Q1040"/>
      <c r="R1040"/>
    </row>
    <row r="1041" spans="1:18">
      <c r="A1041"/>
      <c r="B1041"/>
      <c r="C1041"/>
      <c r="D1041"/>
      <c r="E1041"/>
      <c r="F1041"/>
      <c r="G1041"/>
      <c r="H1041"/>
      <c r="I1041"/>
      <c r="J1041"/>
      <c r="K1041"/>
      <c r="L1041"/>
      <c r="M1041"/>
      <c r="N1041"/>
      <c r="O1041"/>
      <c r="P1041"/>
      <c r="Q1041"/>
      <c r="R1041"/>
    </row>
    <row r="1042" spans="1:18">
      <c r="A1042"/>
      <c r="B1042"/>
      <c r="C1042"/>
      <c r="D1042"/>
      <c r="E1042"/>
      <c r="F1042"/>
      <c r="G1042"/>
      <c r="H1042"/>
      <c r="I1042"/>
      <c r="J1042"/>
      <c r="K1042"/>
      <c r="L1042"/>
      <c r="M1042"/>
      <c r="N1042"/>
      <c r="O1042"/>
      <c r="P1042"/>
      <c r="Q1042"/>
      <c r="R1042"/>
    </row>
    <row r="1043" spans="1:18">
      <c r="A1043"/>
      <c r="B1043"/>
      <c r="C1043"/>
      <c r="D1043"/>
      <c r="E1043"/>
      <c r="F1043"/>
      <c r="G1043"/>
      <c r="H1043"/>
      <c r="I1043"/>
      <c r="J1043"/>
      <c r="K1043"/>
      <c r="L1043"/>
      <c r="M1043"/>
      <c r="N1043"/>
      <c r="O1043"/>
      <c r="P1043"/>
      <c r="Q1043"/>
      <c r="R1043"/>
    </row>
    <row r="1044" spans="1:18">
      <c r="A1044"/>
      <c r="B1044"/>
      <c r="C1044"/>
      <c r="D1044"/>
      <c r="E1044"/>
      <c r="F1044"/>
      <c r="G1044"/>
      <c r="H1044"/>
      <c r="I1044"/>
      <c r="J1044"/>
      <c r="K1044"/>
      <c r="L1044"/>
      <c r="M1044"/>
      <c r="N1044"/>
      <c r="O1044"/>
      <c r="P1044"/>
      <c r="Q1044"/>
      <c r="R1044"/>
    </row>
    <row r="1045" spans="1:18">
      <c r="A1045"/>
      <c r="B1045"/>
      <c r="C1045"/>
      <c r="D1045"/>
      <c r="E1045"/>
      <c r="F1045"/>
      <c r="G1045"/>
      <c r="H1045"/>
      <c r="I1045"/>
      <c r="J1045"/>
      <c r="K1045"/>
      <c r="L1045"/>
      <c r="M1045"/>
      <c r="N1045"/>
      <c r="O1045"/>
      <c r="P1045"/>
      <c r="Q1045"/>
      <c r="R1045"/>
    </row>
    <row r="1046" spans="1:18">
      <c r="A1046"/>
      <c r="B1046"/>
      <c r="C1046"/>
      <c r="D1046"/>
      <c r="E1046"/>
      <c r="F1046"/>
      <c r="G1046"/>
      <c r="H1046"/>
      <c r="I1046"/>
      <c r="J1046"/>
      <c r="K1046"/>
      <c r="L1046"/>
      <c r="M1046"/>
      <c r="N1046"/>
      <c r="O1046"/>
      <c r="P1046"/>
      <c r="Q1046"/>
      <c r="R1046"/>
    </row>
    <row r="1047" spans="1:18">
      <c r="A1047"/>
      <c r="B1047"/>
      <c r="C1047"/>
      <c r="D1047"/>
      <c r="E1047"/>
      <c r="F1047"/>
      <c r="G1047"/>
      <c r="H1047"/>
      <c r="I1047"/>
      <c r="J1047"/>
      <c r="K1047"/>
      <c r="L1047"/>
      <c r="M1047"/>
      <c r="N1047"/>
      <c r="O1047"/>
      <c r="P1047"/>
      <c r="Q1047"/>
      <c r="R1047"/>
    </row>
    <row r="1048" spans="1:18">
      <c r="A1048"/>
      <c r="B1048"/>
      <c r="C1048"/>
      <c r="D1048"/>
      <c r="E1048"/>
      <c r="F1048"/>
      <c r="G1048"/>
      <c r="H1048"/>
      <c r="I1048"/>
      <c r="J1048"/>
      <c r="K1048"/>
      <c r="L1048"/>
      <c r="M1048"/>
      <c r="N1048"/>
      <c r="O1048"/>
      <c r="P1048"/>
      <c r="Q1048"/>
      <c r="R1048"/>
    </row>
    <row r="1049" spans="1:18">
      <c r="A1049"/>
      <c r="B1049"/>
      <c r="C1049"/>
      <c r="D1049"/>
      <c r="E1049"/>
      <c r="F1049"/>
      <c r="G1049"/>
      <c r="H1049"/>
      <c r="I1049"/>
      <c r="J1049"/>
      <c r="K1049"/>
      <c r="L1049"/>
      <c r="M1049"/>
      <c r="N1049"/>
      <c r="O1049"/>
      <c r="P1049"/>
      <c r="Q1049"/>
      <c r="R1049"/>
    </row>
    <row r="1050" spans="1:18">
      <c r="A1050"/>
      <c r="B1050"/>
      <c r="C1050"/>
      <c r="D1050"/>
      <c r="E1050"/>
      <c r="F1050"/>
      <c r="G1050"/>
      <c r="H1050"/>
      <c r="I1050"/>
      <c r="J1050"/>
      <c r="K1050"/>
      <c r="L1050"/>
      <c r="M1050"/>
      <c r="N1050"/>
      <c r="O1050"/>
      <c r="P1050"/>
      <c r="Q1050"/>
      <c r="R1050"/>
    </row>
    <row r="1051" spans="1:18">
      <c r="A1051"/>
      <c r="B1051"/>
      <c r="C1051"/>
      <c r="D1051"/>
      <c r="E1051"/>
      <c r="F1051"/>
      <c r="G1051"/>
      <c r="H1051"/>
      <c r="I1051"/>
      <c r="J1051"/>
      <c r="K1051"/>
      <c r="L1051"/>
      <c r="M1051"/>
      <c r="N1051"/>
      <c r="O1051"/>
      <c r="P1051"/>
      <c r="Q1051"/>
      <c r="R1051"/>
    </row>
    <row r="1052" spans="1:18">
      <c r="A1052"/>
      <c r="B1052"/>
      <c r="C1052"/>
      <c r="D1052"/>
      <c r="E1052"/>
      <c r="F1052"/>
      <c r="G1052"/>
      <c r="H1052"/>
      <c r="I1052"/>
      <c r="J1052"/>
      <c r="K1052"/>
      <c r="L1052"/>
      <c r="M1052"/>
      <c r="N1052"/>
      <c r="O1052"/>
      <c r="P1052"/>
      <c r="Q1052"/>
      <c r="R1052"/>
    </row>
    <row r="1053" spans="1:18">
      <c r="A1053"/>
      <c r="B1053"/>
      <c r="C1053"/>
      <c r="D1053"/>
      <c r="E1053"/>
      <c r="F1053"/>
      <c r="G1053"/>
      <c r="H1053"/>
      <c r="I1053"/>
      <c r="J1053"/>
      <c r="K1053"/>
      <c r="L1053"/>
      <c r="M1053"/>
      <c r="N1053"/>
      <c r="O1053"/>
      <c r="P1053"/>
      <c r="Q1053"/>
      <c r="R1053"/>
    </row>
    <row r="1054" spans="1:18">
      <c r="A1054"/>
      <c r="B1054"/>
      <c r="C1054"/>
      <c r="D1054"/>
      <c r="E1054"/>
      <c r="F1054"/>
      <c r="G1054"/>
      <c r="H1054"/>
      <c r="I1054"/>
      <c r="J1054"/>
      <c r="K1054"/>
      <c r="L1054"/>
      <c r="M1054"/>
      <c r="N1054"/>
      <c r="O1054"/>
      <c r="P1054"/>
      <c r="Q1054"/>
      <c r="R1054"/>
    </row>
    <row r="1055" spans="1:18">
      <c r="A1055"/>
      <c r="B1055"/>
      <c r="C1055"/>
      <c r="D1055"/>
      <c r="E1055"/>
      <c r="F1055"/>
      <c r="G1055"/>
      <c r="H1055"/>
      <c r="I1055"/>
      <c r="J1055"/>
      <c r="K1055"/>
      <c r="L1055"/>
      <c r="M1055"/>
      <c r="N1055"/>
      <c r="O1055"/>
      <c r="P1055"/>
      <c r="Q1055"/>
      <c r="R1055"/>
    </row>
    <row r="1056" spans="1:18">
      <c r="A1056"/>
      <c r="B1056"/>
      <c r="C1056"/>
      <c r="D1056"/>
      <c r="E1056"/>
      <c r="F1056"/>
      <c r="G1056"/>
      <c r="H1056"/>
      <c r="I1056"/>
      <c r="J1056"/>
      <c r="K1056"/>
      <c r="L1056"/>
      <c r="M1056"/>
      <c r="N1056"/>
      <c r="O1056"/>
      <c r="P1056"/>
      <c r="Q1056"/>
      <c r="R1056"/>
    </row>
    <row r="1057" spans="1:18">
      <c r="A1057"/>
      <c r="B1057"/>
      <c r="C1057"/>
      <c r="D1057"/>
      <c r="E1057"/>
      <c r="F1057"/>
      <c r="G1057"/>
      <c r="H1057"/>
      <c r="I1057"/>
      <c r="J1057"/>
      <c r="K1057"/>
      <c r="L1057"/>
      <c r="M1057"/>
      <c r="N1057"/>
      <c r="O1057"/>
      <c r="P1057"/>
      <c r="Q1057"/>
      <c r="R1057"/>
    </row>
    <row r="1058" spans="1:18">
      <c r="A1058"/>
      <c r="B1058"/>
      <c r="C1058"/>
      <c r="D1058"/>
      <c r="E1058"/>
      <c r="F1058"/>
      <c r="G1058"/>
      <c r="H1058"/>
      <c r="I1058"/>
      <c r="J1058"/>
      <c r="K1058"/>
      <c r="L1058"/>
      <c r="M1058"/>
      <c r="N1058"/>
      <c r="O1058"/>
      <c r="P1058"/>
      <c r="Q1058"/>
      <c r="R1058"/>
    </row>
    <row r="1059" spans="1:18">
      <c r="A1059"/>
      <c r="B1059"/>
      <c r="C1059"/>
      <c r="D1059"/>
      <c r="E1059"/>
      <c r="F1059"/>
      <c r="G1059"/>
      <c r="H1059"/>
      <c r="I1059"/>
      <c r="J1059"/>
      <c r="K1059"/>
      <c r="L1059"/>
      <c r="M1059"/>
      <c r="N1059"/>
      <c r="O1059"/>
      <c r="P1059"/>
      <c r="Q1059"/>
      <c r="R1059"/>
    </row>
    <row r="1060" spans="1:18">
      <c r="A1060"/>
      <c r="B1060"/>
      <c r="C1060"/>
      <c r="D1060"/>
      <c r="E1060"/>
      <c r="F1060"/>
      <c r="G1060"/>
      <c r="H1060"/>
      <c r="I1060"/>
      <c r="J1060"/>
      <c r="K1060"/>
      <c r="L1060"/>
      <c r="M1060"/>
      <c r="N1060"/>
      <c r="O1060"/>
      <c r="P1060"/>
      <c r="Q1060"/>
      <c r="R1060"/>
    </row>
    <row r="1061" spans="1:18">
      <c r="A1061"/>
      <c r="B1061"/>
      <c r="C1061"/>
      <c r="D1061"/>
      <c r="E1061"/>
      <c r="F1061"/>
      <c r="G1061"/>
      <c r="H1061"/>
      <c r="I1061"/>
      <c r="J1061"/>
      <c r="K1061"/>
      <c r="L1061"/>
      <c r="M1061"/>
      <c r="N1061"/>
      <c r="O1061"/>
      <c r="P1061"/>
      <c r="Q1061"/>
      <c r="R1061"/>
    </row>
    <row r="1062" spans="1:18">
      <c r="A1062"/>
      <c r="B1062"/>
      <c r="C1062"/>
      <c r="D1062"/>
      <c r="E1062"/>
      <c r="F1062"/>
      <c r="G1062"/>
      <c r="H1062"/>
      <c r="I1062"/>
      <c r="J1062"/>
      <c r="K1062"/>
      <c r="L1062"/>
      <c r="M1062"/>
      <c r="N1062"/>
      <c r="O1062"/>
      <c r="P1062"/>
      <c r="Q1062"/>
      <c r="R1062"/>
    </row>
    <row r="1063" spans="1:18">
      <c r="A1063"/>
      <c r="B1063"/>
      <c r="C1063"/>
      <c r="D1063"/>
      <c r="E1063"/>
      <c r="F1063"/>
      <c r="G1063"/>
      <c r="H1063"/>
      <c r="I1063"/>
      <c r="J1063"/>
      <c r="K1063"/>
      <c r="L1063"/>
      <c r="M1063"/>
      <c r="N1063"/>
      <c r="O1063"/>
      <c r="P1063"/>
      <c r="Q1063"/>
      <c r="R1063"/>
    </row>
    <row r="1064" spans="1:18">
      <c r="A1064"/>
      <c r="B1064"/>
      <c r="C1064"/>
      <c r="D1064"/>
      <c r="E1064"/>
      <c r="F1064"/>
      <c r="G1064"/>
      <c r="H1064"/>
      <c r="I1064"/>
      <c r="J1064"/>
      <c r="K1064"/>
      <c r="L1064"/>
      <c r="M1064"/>
      <c r="N1064"/>
      <c r="O1064"/>
      <c r="P1064"/>
      <c r="Q1064"/>
      <c r="R1064"/>
    </row>
    <row r="1065" spans="1:18">
      <c r="A1065"/>
      <c r="B1065"/>
      <c r="C1065"/>
      <c r="D1065"/>
      <c r="E1065"/>
      <c r="F1065"/>
      <c r="G1065"/>
      <c r="H1065"/>
      <c r="I1065"/>
      <c r="J1065"/>
      <c r="K1065"/>
      <c r="L1065"/>
      <c r="M1065"/>
      <c r="N1065"/>
      <c r="O1065"/>
      <c r="P1065"/>
      <c r="Q1065"/>
      <c r="R1065"/>
    </row>
    <row r="1066" spans="1:18">
      <c r="A1066"/>
      <c r="B1066"/>
      <c r="C1066"/>
      <c r="D1066"/>
      <c r="E1066"/>
      <c r="F1066"/>
      <c r="G1066"/>
      <c r="H1066"/>
      <c r="I1066"/>
      <c r="J1066"/>
      <c r="K1066"/>
      <c r="L1066"/>
      <c r="M1066"/>
      <c r="N1066"/>
      <c r="O1066"/>
      <c r="P1066"/>
      <c r="Q1066"/>
      <c r="R1066"/>
    </row>
    <row r="1067" spans="1:18">
      <c r="A1067"/>
      <c r="B1067"/>
      <c r="C1067"/>
      <c r="D1067"/>
      <c r="E1067"/>
      <c r="F1067"/>
      <c r="G1067"/>
      <c r="H1067"/>
      <c r="I1067"/>
      <c r="J1067"/>
      <c r="K1067"/>
      <c r="L1067"/>
      <c r="M1067"/>
      <c r="N1067"/>
      <c r="O1067"/>
      <c r="P1067"/>
      <c r="Q1067"/>
      <c r="R1067"/>
    </row>
    <row r="1068" spans="1:18">
      <c r="A1068"/>
      <c r="B1068"/>
      <c r="C1068"/>
      <c r="D1068"/>
      <c r="E1068"/>
      <c r="F1068"/>
      <c r="G1068"/>
      <c r="H1068"/>
      <c r="I1068"/>
      <c r="J1068"/>
      <c r="K1068"/>
      <c r="L1068"/>
      <c r="M1068"/>
      <c r="N1068"/>
      <c r="O1068"/>
      <c r="P1068"/>
      <c r="Q1068"/>
      <c r="R1068"/>
    </row>
    <row r="1069" spans="1:18">
      <c r="A1069"/>
      <c r="B1069"/>
      <c r="C1069"/>
      <c r="D1069"/>
      <c r="E1069"/>
      <c r="F1069"/>
      <c r="G1069"/>
      <c r="H1069"/>
      <c r="I1069"/>
      <c r="J1069"/>
      <c r="K1069"/>
      <c r="L1069"/>
      <c r="M1069"/>
      <c r="N1069"/>
      <c r="O1069"/>
      <c r="P1069"/>
      <c r="Q1069"/>
      <c r="R1069"/>
    </row>
    <row r="1070" spans="1:18">
      <c r="A1070"/>
      <c r="B1070"/>
      <c r="C1070"/>
      <c r="D1070"/>
      <c r="E1070"/>
      <c r="F1070"/>
      <c r="G1070"/>
      <c r="H1070"/>
      <c r="I1070"/>
      <c r="J1070"/>
      <c r="K1070"/>
      <c r="L1070"/>
      <c r="M1070"/>
      <c r="N1070"/>
      <c r="O1070"/>
      <c r="P1070"/>
      <c r="Q1070"/>
      <c r="R1070"/>
    </row>
    <row r="1071" spans="1:18">
      <c r="A1071"/>
      <c r="B1071"/>
      <c r="C1071"/>
      <c r="D1071"/>
      <c r="E1071"/>
      <c r="F1071"/>
      <c r="G1071"/>
      <c r="H1071"/>
      <c r="I1071"/>
      <c r="J1071"/>
      <c r="K1071"/>
      <c r="L1071"/>
      <c r="M1071"/>
      <c r="N1071"/>
      <c r="O1071"/>
      <c r="P1071"/>
      <c r="Q1071"/>
      <c r="R1071"/>
    </row>
    <row r="1072" spans="1:18">
      <c r="A1072"/>
      <c r="B1072"/>
      <c r="C1072"/>
      <c r="D1072"/>
      <c r="E1072"/>
      <c r="F1072"/>
      <c r="G1072"/>
      <c r="H1072"/>
      <c r="I1072"/>
      <c r="J1072"/>
      <c r="K1072"/>
      <c r="L1072"/>
      <c r="M1072"/>
      <c r="N1072"/>
      <c r="O1072"/>
      <c r="P1072"/>
      <c r="Q1072"/>
      <c r="R1072"/>
    </row>
    <row r="1073" spans="1:18">
      <c r="A1073"/>
      <c r="B1073"/>
      <c r="C1073"/>
      <c r="D1073"/>
      <c r="E1073"/>
      <c r="F1073"/>
      <c r="G1073"/>
      <c r="H1073"/>
      <c r="I1073"/>
      <c r="J1073"/>
      <c r="K1073"/>
      <c r="L1073"/>
      <c r="M1073"/>
      <c r="N1073"/>
      <c r="O1073"/>
      <c r="P1073"/>
      <c r="Q1073"/>
      <c r="R1073"/>
    </row>
    <row r="1074" spans="1:18">
      <c r="A1074"/>
      <c r="B1074"/>
      <c r="C1074"/>
      <c r="D1074"/>
      <c r="E1074"/>
      <c r="F1074"/>
      <c r="G1074"/>
      <c r="H1074"/>
      <c r="I1074"/>
      <c r="J1074"/>
      <c r="K1074"/>
      <c r="L1074"/>
      <c r="M1074"/>
      <c r="N1074"/>
      <c r="O1074"/>
      <c r="P1074"/>
      <c r="Q1074"/>
      <c r="R1074"/>
    </row>
    <row r="1075" spans="1:18">
      <c r="A1075"/>
      <c r="B1075"/>
      <c r="C1075"/>
      <c r="D1075"/>
      <c r="E1075"/>
      <c r="F1075"/>
      <c r="G1075"/>
      <c r="H1075"/>
      <c r="I1075"/>
      <c r="J1075"/>
      <c r="K1075"/>
      <c r="L1075"/>
      <c r="M1075"/>
      <c r="N1075"/>
      <c r="O1075"/>
      <c r="P1075"/>
      <c r="Q1075"/>
      <c r="R1075"/>
    </row>
    <row r="1076" spans="1:18">
      <c r="A1076"/>
      <c r="B1076"/>
      <c r="C1076"/>
      <c r="D1076"/>
      <c r="E1076"/>
      <c r="F1076"/>
      <c r="G1076"/>
      <c r="H1076"/>
      <c r="I1076"/>
      <c r="J1076"/>
      <c r="K1076"/>
      <c r="L1076"/>
      <c r="M1076"/>
      <c r="N1076"/>
      <c r="O1076"/>
      <c r="P1076"/>
      <c r="Q1076"/>
      <c r="R1076"/>
    </row>
    <row r="1077" spans="1:18">
      <c r="A1077"/>
      <c r="B1077"/>
      <c r="C1077"/>
      <c r="D1077"/>
      <c r="E1077"/>
      <c r="F1077"/>
      <c r="G1077"/>
      <c r="H1077"/>
      <c r="I1077"/>
      <c r="J1077"/>
      <c r="K1077"/>
      <c r="L1077"/>
      <c r="M1077"/>
      <c r="N1077"/>
      <c r="O1077"/>
      <c r="P1077"/>
      <c r="Q1077"/>
      <c r="R1077"/>
    </row>
    <row r="1078" spans="1:18">
      <c r="A1078"/>
      <c r="B1078"/>
      <c r="C1078"/>
      <c r="D1078"/>
      <c r="E1078"/>
      <c r="F1078"/>
      <c r="G1078"/>
      <c r="H1078"/>
      <c r="I1078"/>
      <c r="J1078"/>
      <c r="K1078"/>
      <c r="L1078"/>
      <c r="M1078"/>
      <c r="N1078"/>
      <c r="O1078"/>
      <c r="P1078"/>
      <c r="Q1078"/>
      <c r="R1078"/>
    </row>
    <row r="1079" spans="1:18">
      <c r="A1079"/>
      <c r="B1079"/>
      <c r="C1079"/>
      <c r="D1079"/>
      <c r="E1079"/>
      <c r="F1079"/>
      <c r="G1079"/>
      <c r="H1079"/>
      <c r="I1079"/>
      <c r="J1079"/>
      <c r="K1079"/>
      <c r="L1079"/>
      <c r="M1079"/>
      <c r="N1079"/>
      <c r="O1079"/>
      <c r="P1079"/>
      <c r="Q1079"/>
      <c r="R1079"/>
    </row>
    <row r="1080" spans="1:18">
      <c r="A1080"/>
      <c r="B1080"/>
      <c r="C1080"/>
      <c r="D1080"/>
      <c r="E1080"/>
      <c r="F1080"/>
      <c r="G1080"/>
      <c r="H1080"/>
      <c r="I1080"/>
      <c r="J1080"/>
      <c r="K1080"/>
      <c r="L1080"/>
      <c r="M1080"/>
      <c r="N1080"/>
      <c r="O1080"/>
      <c r="P1080"/>
      <c r="Q1080"/>
      <c r="R1080"/>
    </row>
    <row r="1081" spans="1:18">
      <c r="A1081"/>
      <c r="B1081"/>
      <c r="C1081"/>
      <c r="D1081"/>
      <c r="E1081"/>
      <c r="F1081"/>
      <c r="G1081"/>
      <c r="H1081"/>
      <c r="I1081"/>
      <c r="J1081"/>
      <c r="K1081"/>
      <c r="L1081"/>
      <c r="M1081"/>
      <c r="N1081"/>
      <c r="O1081"/>
      <c r="P1081"/>
      <c r="Q1081"/>
      <c r="R1081"/>
    </row>
    <row r="1082" spans="1:18">
      <c r="A1082"/>
      <c r="B1082"/>
      <c r="C1082"/>
      <c r="D1082"/>
      <c r="E1082"/>
      <c r="F1082"/>
      <c r="G1082"/>
      <c r="H1082"/>
      <c r="I1082"/>
      <c r="J1082"/>
      <c r="K1082"/>
      <c r="L1082"/>
      <c r="M1082"/>
      <c r="N1082"/>
      <c r="O1082"/>
      <c r="P1082"/>
      <c r="Q1082"/>
      <c r="R1082"/>
    </row>
    <row r="1083" spans="1:18">
      <c r="A1083"/>
      <c r="B1083"/>
      <c r="C1083"/>
      <c r="D1083"/>
      <c r="E1083"/>
      <c r="F1083"/>
      <c r="G1083"/>
      <c r="H1083"/>
      <c r="I1083"/>
      <c r="J1083"/>
      <c r="K1083"/>
      <c r="L1083"/>
      <c r="M1083"/>
      <c r="N1083"/>
      <c r="O1083"/>
      <c r="P1083"/>
      <c r="Q1083"/>
      <c r="R1083"/>
    </row>
    <row r="1084" spans="1:18">
      <c r="A1084"/>
      <c r="B1084"/>
      <c r="C1084"/>
      <c r="D1084"/>
      <c r="E1084"/>
      <c r="F1084"/>
      <c r="G1084"/>
      <c r="H1084"/>
      <c r="I1084"/>
      <c r="J1084"/>
      <c r="K1084"/>
      <c r="L1084"/>
      <c r="M1084"/>
      <c r="N1084"/>
      <c r="O1084"/>
      <c r="P1084"/>
      <c r="Q1084"/>
      <c r="R1084"/>
    </row>
    <row r="1085" spans="1:18">
      <c r="A1085"/>
      <c r="B1085"/>
      <c r="C1085"/>
      <c r="D1085"/>
      <c r="E1085"/>
      <c r="F1085"/>
      <c r="G1085"/>
      <c r="H1085"/>
      <c r="I1085"/>
      <c r="J1085"/>
      <c r="K1085"/>
      <c r="L1085"/>
      <c r="M1085"/>
      <c r="N1085"/>
      <c r="O1085"/>
      <c r="P1085"/>
      <c r="Q1085"/>
      <c r="R1085"/>
    </row>
    <row r="1086" spans="1:18">
      <c r="A1086"/>
      <c r="B1086"/>
      <c r="C1086"/>
      <c r="D1086"/>
      <c r="E1086"/>
      <c r="F1086"/>
      <c r="G1086"/>
      <c r="H1086"/>
      <c r="I1086"/>
      <c r="J1086"/>
      <c r="K1086"/>
      <c r="L1086"/>
      <c r="M1086"/>
      <c r="N1086"/>
      <c r="O1086"/>
      <c r="P1086"/>
      <c r="Q1086"/>
      <c r="R1086"/>
    </row>
    <row r="1087" spans="1:18">
      <c r="A1087"/>
      <c r="B1087"/>
      <c r="C1087"/>
      <c r="D1087"/>
      <c r="E1087"/>
      <c r="F1087"/>
      <c r="G1087"/>
      <c r="H1087"/>
      <c r="I1087"/>
      <c r="J1087"/>
      <c r="K1087"/>
      <c r="L1087"/>
      <c r="M1087"/>
      <c r="N1087"/>
      <c r="O1087"/>
      <c r="P1087"/>
      <c r="Q1087"/>
      <c r="R1087"/>
    </row>
    <row r="1088" spans="1:18">
      <c r="A1088"/>
      <c r="B1088"/>
      <c r="C1088"/>
      <c r="D1088"/>
      <c r="E1088"/>
      <c r="F1088"/>
      <c r="G1088"/>
      <c r="H1088"/>
      <c r="I1088"/>
      <c r="J1088"/>
      <c r="K1088"/>
      <c r="L1088"/>
      <c r="M1088"/>
      <c r="N1088"/>
      <c r="O1088"/>
      <c r="P1088"/>
      <c r="Q1088"/>
      <c r="R1088"/>
    </row>
    <row r="1089" spans="1:18">
      <c r="A1089"/>
      <c r="B1089"/>
      <c r="C1089"/>
      <c r="D1089"/>
      <c r="E1089"/>
      <c r="F1089"/>
      <c r="G1089"/>
      <c r="H1089"/>
      <c r="I1089"/>
      <c r="J1089"/>
      <c r="K1089"/>
      <c r="L1089"/>
      <c r="M1089"/>
      <c r="N1089"/>
      <c r="O1089"/>
      <c r="P1089"/>
      <c r="Q1089"/>
      <c r="R1089"/>
    </row>
    <row r="1090" spans="1:18">
      <c r="A1090"/>
      <c r="B1090"/>
      <c r="C1090"/>
      <c r="D1090"/>
      <c r="E1090"/>
      <c r="F1090"/>
      <c r="G1090"/>
      <c r="H1090"/>
      <c r="I1090"/>
      <c r="J1090"/>
      <c r="K1090"/>
      <c r="L1090"/>
      <c r="M1090"/>
      <c r="N1090"/>
      <c r="O1090"/>
      <c r="P1090"/>
      <c r="Q1090"/>
      <c r="R1090"/>
    </row>
    <row r="1091" spans="1:18">
      <c r="A1091"/>
      <c r="B1091"/>
      <c r="C1091"/>
      <c r="D1091"/>
      <c r="E1091"/>
      <c r="F1091"/>
      <c r="G1091"/>
      <c r="H1091"/>
      <c r="I1091"/>
      <c r="J1091"/>
      <c r="K1091"/>
      <c r="L1091"/>
      <c r="M1091"/>
      <c r="N1091"/>
      <c r="O1091"/>
      <c r="P1091"/>
      <c r="Q1091"/>
      <c r="R1091"/>
    </row>
    <row r="1092" spans="1:18">
      <c r="A1092"/>
      <c r="B1092"/>
      <c r="C1092"/>
      <c r="D1092"/>
      <c r="E1092"/>
      <c r="F1092"/>
      <c r="G1092"/>
      <c r="H1092"/>
      <c r="I1092"/>
      <c r="J1092"/>
      <c r="K1092"/>
      <c r="L1092"/>
      <c r="M1092"/>
      <c r="N1092"/>
      <c r="O1092"/>
      <c r="P1092"/>
      <c r="Q1092"/>
      <c r="R1092"/>
    </row>
    <row r="1093" spans="1:18">
      <c r="A1093"/>
      <c r="B1093"/>
      <c r="C1093"/>
      <c r="D1093"/>
      <c r="E1093"/>
      <c r="F1093"/>
      <c r="G1093"/>
      <c r="H1093"/>
      <c r="I1093"/>
      <c r="J1093"/>
      <c r="K1093"/>
      <c r="L1093"/>
      <c r="M1093"/>
      <c r="N1093"/>
      <c r="O1093"/>
      <c r="P1093"/>
      <c r="Q1093"/>
      <c r="R1093"/>
    </row>
    <row r="1094" spans="1:18">
      <c r="A1094"/>
      <c r="B1094"/>
      <c r="C1094"/>
      <c r="D1094"/>
      <c r="E1094"/>
      <c r="F1094"/>
      <c r="G1094"/>
      <c r="H1094"/>
      <c r="I1094"/>
      <c r="J1094"/>
      <c r="K1094"/>
      <c r="L1094"/>
      <c r="M1094"/>
      <c r="N1094"/>
      <c r="O1094"/>
      <c r="P1094"/>
      <c r="Q1094"/>
      <c r="R1094"/>
    </row>
    <row r="1095" spans="1:18">
      <c r="A1095"/>
      <c r="B1095"/>
      <c r="C1095"/>
      <c r="D1095"/>
      <c r="E1095"/>
      <c r="F1095"/>
      <c r="G1095"/>
      <c r="H1095"/>
      <c r="I1095"/>
      <c r="J1095"/>
      <c r="K1095"/>
      <c r="L1095"/>
      <c r="M1095"/>
      <c r="N1095"/>
      <c r="O1095"/>
      <c r="P1095"/>
      <c r="Q1095"/>
      <c r="R1095"/>
    </row>
    <row r="1096" spans="1:18">
      <c r="A1096"/>
      <c r="B1096"/>
      <c r="C1096"/>
      <c r="D1096"/>
      <c r="E1096"/>
      <c r="F1096"/>
      <c r="G1096"/>
      <c r="H1096"/>
      <c r="I1096"/>
      <c r="J1096"/>
      <c r="K1096"/>
      <c r="L1096"/>
      <c r="M1096"/>
      <c r="N1096"/>
      <c r="O1096"/>
      <c r="P1096"/>
      <c r="Q1096"/>
      <c r="R1096"/>
    </row>
    <row r="1097" spans="1:18">
      <c r="A1097"/>
      <c r="B1097"/>
      <c r="C1097"/>
      <c r="D1097"/>
      <c r="E1097"/>
      <c r="F1097"/>
      <c r="G1097"/>
      <c r="H1097"/>
      <c r="I1097"/>
      <c r="J1097"/>
      <c r="K1097"/>
      <c r="L1097"/>
      <c r="M1097"/>
      <c r="N1097"/>
      <c r="O1097"/>
      <c r="P1097"/>
      <c r="Q1097"/>
      <c r="R1097"/>
    </row>
    <row r="1098" spans="1:18">
      <c r="A1098"/>
      <c r="B1098"/>
      <c r="C1098"/>
      <c r="D1098"/>
      <c r="E1098"/>
      <c r="F1098"/>
      <c r="G1098"/>
      <c r="H1098"/>
      <c r="I1098"/>
      <c r="J1098"/>
      <c r="K1098"/>
      <c r="L1098"/>
      <c r="M1098"/>
      <c r="N1098"/>
      <c r="O1098"/>
      <c r="P1098"/>
      <c r="Q1098"/>
      <c r="R1098"/>
    </row>
    <row r="1099" spans="1:18">
      <c r="A1099"/>
      <c r="B1099"/>
      <c r="C1099"/>
      <c r="D1099"/>
      <c r="E1099"/>
      <c r="F1099"/>
      <c r="G1099"/>
      <c r="H1099"/>
      <c r="I1099"/>
      <c r="J1099"/>
      <c r="K1099"/>
      <c r="L1099"/>
      <c r="M1099"/>
      <c r="N1099"/>
      <c r="O1099"/>
      <c r="P1099"/>
      <c r="Q1099"/>
      <c r="R1099"/>
    </row>
    <row r="1100" spans="1:18">
      <c r="A1100"/>
      <c r="B1100"/>
      <c r="C1100"/>
      <c r="D1100"/>
      <c r="E1100"/>
      <c r="F1100"/>
      <c r="G1100"/>
      <c r="H1100"/>
      <c r="I1100"/>
      <c r="J1100"/>
      <c r="K1100"/>
      <c r="L1100"/>
      <c r="M1100"/>
      <c r="N1100"/>
      <c r="O1100"/>
      <c r="P1100"/>
      <c r="Q1100"/>
      <c r="R1100"/>
    </row>
    <row r="1101" spans="1:18">
      <c r="A1101"/>
      <c r="B1101"/>
      <c r="C1101"/>
      <c r="D1101"/>
      <c r="E1101"/>
      <c r="F1101"/>
      <c r="G1101"/>
      <c r="H1101"/>
      <c r="I1101"/>
      <c r="J1101"/>
      <c r="K1101"/>
      <c r="L1101"/>
      <c r="M1101"/>
      <c r="N1101"/>
      <c r="O1101"/>
      <c r="P1101"/>
      <c r="Q1101"/>
      <c r="R1101"/>
    </row>
    <row r="1102" spans="1:18">
      <c r="A1102"/>
      <c r="B1102"/>
      <c r="C1102"/>
      <c r="D1102"/>
      <c r="E1102"/>
      <c r="F1102"/>
      <c r="G1102"/>
      <c r="H1102"/>
      <c r="I1102"/>
      <c r="J1102"/>
      <c r="K1102"/>
      <c r="L1102"/>
      <c r="M1102"/>
      <c r="N1102"/>
      <c r="O1102"/>
      <c r="P1102"/>
      <c r="Q1102"/>
      <c r="R1102"/>
    </row>
    <row r="1103" spans="1:18">
      <c r="A1103"/>
      <c r="B1103"/>
      <c r="C1103"/>
      <c r="D1103"/>
      <c r="E1103"/>
      <c r="F1103"/>
      <c r="G1103"/>
      <c r="H1103"/>
      <c r="I1103"/>
      <c r="J1103"/>
      <c r="K1103"/>
      <c r="L1103"/>
      <c r="M1103"/>
      <c r="N1103"/>
      <c r="O1103"/>
      <c r="P1103"/>
      <c r="Q1103"/>
      <c r="R1103"/>
    </row>
    <row r="1104" spans="1:18">
      <c r="A1104"/>
      <c r="B1104"/>
      <c r="C1104"/>
      <c r="D1104"/>
      <c r="E1104"/>
      <c r="F1104"/>
      <c r="G1104"/>
      <c r="H1104"/>
      <c r="I1104"/>
      <c r="J1104"/>
      <c r="K1104"/>
      <c r="L1104"/>
      <c r="M1104"/>
      <c r="N1104"/>
      <c r="O1104"/>
      <c r="P1104"/>
      <c r="Q1104"/>
      <c r="R1104"/>
    </row>
    <row r="1105" spans="1:18">
      <c r="A1105"/>
      <c r="B1105"/>
      <c r="C1105"/>
      <c r="D1105"/>
      <c r="E1105"/>
      <c r="F1105"/>
      <c r="G1105"/>
      <c r="H1105"/>
      <c r="I1105"/>
      <c r="J1105"/>
      <c r="K1105"/>
      <c r="L1105"/>
      <c r="M1105"/>
      <c r="N1105"/>
      <c r="O1105"/>
      <c r="P1105"/>
      <c r="Q1105"/>
      <c r="R1105"/>
    </row>
    <row r="1106" spans="1:18">
      <c r="A1106"/>
      <c r="B1106"/>
      <c r="C1106"/>
      <c r="D1106"/>
      <c r="E1106"/>
      <c r="F1106"/>
      <c r="G1106"/>
      <c r="H1106"/>
      <c r="I1106"/>
      <c r="J1106"/>
      <c r="K1106"/>
      <c r="L1106"/>
      <c r="M1106"/>
      <c r="N1106"/>
      <c r="O1106"/>
      <c r="P1106"/>
      <c r="Q1106"/>
      <c r="R1106"/>
    </row>
    <row r="1107" spans="1:18">
      <c r="A1107"/>
      <c r="B1107"/>
      <c r="C1107"/>
      <c r="D1107"/>
      <c r="E1107"/>
      <c r="F1107"/>
      <c r="G1107"/>
      <c r="H1107"/>
      <c r="I1107"/>
      <c r="J1107"/>
      <c r="K1107"/>
      <c r="L1107"/>
      <c r="M1107"/>
      <c r="N1107"/>
      <c r="O1107"/>
      <c r="P1107"/>
      <c r="Q1107"/>
      <c r="R1107"/>
    </row>
    <row r="1108" spans="1:18">
      <c r="A1108"/>
      <c r="B1108"/>
      <c r="C1108"/>
      <c r="D1108"/>
      <c r="E1108"/>
      <c r="F1108"/>
      <c r="G1108"/>
      <c r="H1108"/>
      <c r="I1108"/>
      <c r="J1108"/>
      <c r="K1108"/>
      <c r="L1108"/>
      <c r="M1108"/>
      <c r="N1108"/>
      <c r="O1108"/>
      <c r="P1108"/>
      <c r="Q1108"/>
      <c r="R1108"/>
    </row>
    <row r="1109" spans="1:18">
      <c r="A1109"/>
      <c r="B1109"/>
      <c r="C1109"/>
      <c r="D1109"/>
      <c r="E1109"/>
      <c r="F1109"/>
      <c r="G1109"/>
      <c r="H1109"/>
      <c r="I1109"/>
      <c r="J1109"/>
      <c r="K1109"/>
      <c r="L1109"/>
      <c r="M1109"/>
      <c r="N1109"/>
      <c r="O1109"/>
      <c r="P1109"/>
      <c r="Q1109"/>
      <c r="R1109"/>
    </row>
    <row r="1110" spans="1:18">
      <c r="A1110"/>
      <c r="B1110"/>
      <c r="C1110"/>
      <c r="D1110"/>
      <c r="E1110"/>
      <c r="F1110"/>
      <c r="G1110"/>
      <c r="H1110"/>
      <c r="I1110"/>
      <c r="J1110"/>
      <c r="K1110"/>
      <c r="L1110"/>
      <c r="M1110"/>
      <c r="N1110"/>
      <c r="O1110"/>
      <c r="P1110"/>
      <c r="Q1110"/>
      <c r="R1110"/>
    </row>
    <row r="1111" spans="1:18">
      <c r="A1111"/>
      <c r="B1111"/>
      <c r="C1111"/>
      <c r="D1111"/>
      <c r="E1111"/>
      <c r="F1111"/>
      <c r="G1111"/>
      <c r="H1111"/>
      <c r="I1111"/>
      <c r="J1111"/>
      <c r="K1111"/>
      <c r="L1111"/>
      <c r="M1111"/>
      <c r="N1111"/>
      <c r="O1111"/>
      <c r="P1111"/>
      <c r="Q1111"/>
      <c r="R1111"/>
    </row>
    <row r="1112" spans="1:18">
      <c r="A1112"/>
      <c r="B1112"/>
      <c r="C1112"/>
      <c r="D1112"/>
      <c r="E1112"/>
      <c r="F1112"/>
      <c r="G1112"/>
      <c r="H1112"/>
      <c r="I1112"/>
      <c r="J1112"/>
      <c r="K1112"/>
      <c r="L1112"/>
      <c r="M1112"/>
      <c r="N1112"/>
      <c r="O1112"/>
      <c r="P1112"/>
      <c r="Q1112"/>
      <c r="R1112"/>
    </row>
    <row r="1113" spans="1:18">
      <c r="A1113"/>
      <c r="B1113"/>
      <c r="C1113"/>
      <c r="D1113"/>
      <c r="E1113"/>
      <c r="F1113"/>
      <c r="G1113"/>
      <c r="H1113"/>
      <c r="I1113"/>
      <c r="J1113"/>
      <c r="K1113"/>
      <c r="L1113"/>
      <c r="M1113"/>
      <c r="N1113"/>
      <c r="O1113"/>
      <c r="P1113"/>
      <c r="Q1113"/>
      <c r="R1113"/>
    </row>
    <row r="1114" spans="1:18">
      <c r="A1114"/>
      <c r="B1114"/>
      <c r="C1114"/>
      <c r="D1114"/>
      <c r="E1114"/>
      <c r="F1114"/>
      <c r="G1114"/>
      <c r="H1114"/>
      <c r="I1114"/>
      <c r="J1114"/>
      <c r="K1114"/>
      <c r="L1114"/>
      <c r="M1114"/>
      <c r="N1114"/>
      <c r="O1114"/>
      <c r="P1114"/>
      <c r="Q1114"/>
      <c r="R1114"/>
    </row>
    <row r="1115" spans="1:18">
      <c r="A1115"/>
      <c r="B1115"/>
      <c r="C1115"/>
      <c r="D1115"/>
      <c r="E1115"/>
      <c r="F1115"/>
      <c r="G1115"/>
      <c r="H1115"/>
      <c r="I1115"/>
      <c r="J1115"/>
      <c r="K1115"/>
      <c r="L1115"/>
      <c r="M1115"/>
      <c r="N1115"/>
      <c r="O1115"/>
      <c r="P1115"/>
      <c r="Q1115"/>
      <c r="R1115"/>
    </row>
    <row r="1116" spans="1:18">
      <c r="A1116"/>
      <c r="B1116"/>
      <c r="C1116"/>
      <c r="D1116"/>
      <c r="E1116"/>
      <c r="F1116"/>
      <c r="G1116"/>
      <c r="H1116"/>
      <c r="I1116"/>
      <c r="J1116"/>
      <c r="K1116"/>
      <c r="L1116"/>
      <c r="M1116"/>
      <c r="N1116"/>
      <c r="O1116"/>
      <c r="P1116"/>
      <c r="Q1116"/>
      <c r="R1116"/>
    </row>
    <row r="1117" spans="1:18">
      <c r="A1117"/>
      <c r="B1117"/>
      <c r="C1117"/>
      <c r="D1117"/>
      <c r="E1117"/>
      <c r="F1117"/>
      <c r="G1117"/>
      <c r="H1117"/>
      <c r="I1117"/>
      <c r="J1117"/>
      <c r="K1117"/>
      <c r="L1117"/>
      <c r="M1117"/>
      <c r="N1117"/>
      <c r="O1117"/>
      <c r="P1117"/>
      <c r="Q1117"/>
      <c r="R1117"/>
    </row>
    <row r="1118" spans="1:18">
      <c r="A1118"/>
      <c r="B1118"/>
      <c r="C1118"/>
      <c r="D1118"/>
      <c r="E1118"/>
      <c r="F1118"/>
      <c r="G1118"/>
      <c r="H1118"/>
      <c r="I1118"/>
      <c r="J1118"/>
      <c r="K1118"/>
      <c r="L1118"/>
      <c r="M1118"/>
      <c r="N1118"/>
      <c r="O1118"/>
      <c r="P1118"/>
      <c r="Q1118"/>
      <c r="R1118"/>
    </row>
    <row r="1119" spans="1:18">
      <c r="A1119"/>
      <c r="B1119"/>
      <c r="C1119"/>
      <c r="D1119"/>
      <c r="E1119"/>
      <c r="F1119"/>
      <c r="G1119"/>
      <c r="H1119"/>
      <c r="I1119"/>
      <c r="J1119"/>
      <c r="K1119"/>
      <c r="L1119"/>
      <c r="M1119"/>
      <c r="N1119"/>
      <c r="O1119"/>
      <c r="P1119"/>
      <c r="Q1119"/>
      <c r="R1119"/>
    </row>
    <row r="1120" spans="1:18">
      <c r="A1120"/>
      <c r="B1120"/>
      <c r="C1120"/>
      <c r="D1120"/>
      <c r="E1120"/>
      <c r="F1120"/>
      <c r="G1120"/>
      <c r="H1120"/>
      <c r="I1120"/>
      <c r="J1120"/>
      <c r="K1120"/>
      <c r="L1120"/>
      <c r="M1120"/>
      <c r="N1120"/>
      <c r="O1120"/>
      <c r="P1120"/>
      <c r="Q1120"/>
      <c r="R1120"/>
    </row>
    <row r="1121" spans="1:18">
      <c r="A1121"/>
      <c r="B1121"/>
      <c r="C1121"/>
      <c r="D1121"/>
      <c r="E1121"/>
      <c r="F1121"/>
      <c r="G1121"/>
      <c r="H1121"/>
      <c r="I1121"/>
      <c r="J1121"/>
      <c r="K1121"/>
      <c r="L1121"/>
      <c r="M1121"/>
      <c r="N1121"/>
      <c r="O1121"/>
      <c r="P1121"/>
      <c r="Q1121"/>
      <c r="R1121"/>
    </row>
    <row r="1122" spans="1:18">
      <c r="A1122"/>
      <c r="B1122"/>
      <c r="C1122"/>
      <c r="D1122"/>
      <c r="E1122"/>
      <c r="F1122"/>
      <c r="G1122"/>
      <c r="H1122"/>
      <c r="I1122"/>
      <c r="J1122"/>
      <c r="K1122"/>
      <c r="L1122"/>
      <c r="M1122"/>
      <c r="N1122"/>
      <c r="O1122"/>
      <c r="P1122"/>
      <c r="Q1122"/>
      <c r="R1122"/>
    </row>
    <row r="1123" spans="1:18">
      <c r="A1123"/>
      <c r="B1123"/>
      <c r="C1123"/>
      <c r="D1123"/>
      <c r="E1123"/>
      <c r="F1123"/>
      <c r="G1123"/>
      <c r="H1123"/>
      <c r="I1123"/>
      <c r="J1123"/>
      <c r="K1123"/>
      <c r="L1123"/>
      <c r="M1123"/>
      <c r="N1123"/>
      <c r="O1123"/>
      <c r="P1123"/>
      <c r="Q1123"/>
      <c r="R1123"/>
    </row>
    <row r="1124" spans="1:18">
      <c r="A1124"/>
      <c r="B1124"/>
      <c r="C1124"/>
      <c r="D1124"/>
      <c r="E1124"/>
      <c r="F1124"/>
      <c r="G1124"/>
      <c r="H1124"/>
      <c r="I1124"/>
      <c r="J1124"/>
      <c r="K1124"/>
      <c r="L1124"/>
      <c r="M1124"/>
      <c r="N1124"/>
      <c r="O1124"/>
      <c r="P1124"/>
      <c r="Q1124"/>
      <c r="R1124"/>
    </row>
    <row r="1125" spans="1:18">
      <c r="A1125"/>
      <c r="B1125"/>
      <c r="C1125"/>
      <c r="D1125"/>
      <c r="E1125"/>
      <c r="F1125"/>
      <c r="G1125"/>
      <c r="H1125"/>
      <c r="I1125"/>
      <c r="J1125"/>
      <c r="K1125"/>
      <c r="L1125"/>
      <c r="M1125"/>
      <c r="N1125"/>
      <c r="O1125"/>
      <c r="P1125"/>
      <c r="Q1125"/>
      <c r="R1125"/>
    </row>
    <row r="1126" spans="1:18">
      <c r="A1126"/>
      <c r="B1126"/>
      <c r="C1126"/>
      <c r="D1126"/>
      <c r="E1126"/>
      <c r="F1126"/>
      <c r="G1126"/>
      <c r="H1126"/>
      <c r="I1126"/>
      <c r="J1126"/>
      <c r="K1126"/>
      <c r="L1126"/>
      <c r="M1126"/>
      <c r="N1126"/>
      <c r="O1126"/>
      <c r="P1126"/>
      <c r="Q1126"/>
      <c r="R1126"/>
    </row>
    <row r="1127" spans="1:18">
      <c r="A1127"/>
      <c r="B1127"/>
      <c r="C1127"/>
      <c r="D1127"/>
      <c r="E1127"/>
      <c r="F1127"/>
      <c r="G1127"/>
      <c r="H1127"/>
      <c r="I1127"/>
      <c r="J1127"/>
      <c r="K1127"/>
      <c r="L1127"/>
      <c r="M1127"/>
      <c r="N1127"/>
      <c r="O1127"/>
      <c r="P1127"/>
      <c r="Q1127"/>
      <c r="R1127"/>
    </row>
    <row r="1128" spans="1:18">
      <c r="A1128"/>
      <c r="B1128"/>
      <c r="C1128"/>
      <c r="D1128"/>
      <c r="E1128"/>
      <c r="F1128"/>
      <c r="G1128"/>
      <c r="H1128"/>
      <c r="I1128"/>
      <c r="J1128"/>
      <c r="K1128"/>
      <c r="L1128"/>
      <c r="M1128"/>
      <c r="N1128"/>
      <c r="O1128"/>
      <c r="P1128"/>
      <c r="Q1128"/>
      <c r="R1128"/>
    </row>
    <row r="1129" spans="1:18">
      <c r="A1129"/>
      <c r="B1129"/>
      <c r="C1129"/>
      <c r="D1129"/>
      <c r="E1129"/>
      <c r="F1129"/>
      <c r="G1129"/>
      <c r="H1129"/>
      <c r="I1129"/>
      <c r="J1129"/>
      <c r="K1129"/>
      <c r="L1129"/>
      <c r="M1129"/>
      <c r="N1129"/>
      <c r="O1129"/>
      <c r="P1129"/>
      <c r="Q1129"/>
      <c r="R1129"/>
    </row>
    <row r="1130" spans="1:18">
      <c r="A1130"/>
      <c r="B1130"/>
      <c r="C1130"/>
      <c r="D1130"/>
      <c r="E1130"/>
      <c r="F1130"/>
      <c r="G1130"/>
      <c r="H1130"/>
      <c r="I1130"/>
      <c r="J1130"/>
      <c r="K1130"/>
      <c r="L1130"/>
      <c r="M1130"/>
      <c r="N1130"/>
      <c r="O1130"/>
      <c r="P1130"/>
      <c r="Q1130"/>
      <c r="R1130"/>
    </row>
    <row r="1131" spans="1:18">
      <c r="A1131"/>
      <c r="B1131"/>
      <c r="C1131"/>
      <c r="D1131"/>
      <c r="E1131"/>
      <c r="F1131"/>
      <c r="G1131"/>
      <c r="H1131"/>
      <c r="I1131"/>
      <c r="J1131"/>
      <c r="K1131"/>
      <c r="L1131"/>
      <c r="M1131"/>
      <c r="N1131"/>
      <c r="O1131"/>
      <c r="P1131"/>
      <c r="Q1131"/>
      <c r="R1131"/>
    </row>
    <row r="1132" spans="1:18">
      <c r="A1132"/>
      <c r="B1132"/>
      <c r="C1132"/>
      <c r="D1132"/>
      <c r="E1132"/>
      <c r="F1132"/>
      <c r="G1132"/>
      <c r="H1132"/>
      <c r="I1132"/>
      <c r="J1132"/>
      <c r="K1132"/>
      <c r="L1132"/>
      <c r="M1132"/>
      <c r="N1132"/>
      <c r="O1132"/>
      <c r="P1132"/>
      <c r="Q1132"/>
      <c r="R1132"/>
    </row>
    <row r="1133" spans="1:18">
      <c r="A1133"/>
      <c r="B1133"/>
      <c r="C1133"/>
      <c r="D1133"/>
      <c r="E1133"/>
      <c r="F1133"/>
      <c r="G1133"/>
      <c r="H1133"/>
      <c r="I1133"/>
      <c r="J1133"/>
      <c r="K1133"/>
      <c r="L1133"/>
      <c r="M1133"/>
      <c r="N1133"/>
      <c r="O1133"/>
      <c r="P1133"/>
      <c r="Q1133"/>
      <c r="R1133"/>
    </row>
    <row r="1134" spans="1:18">
      <c r="A1134"/>
      <c r="B1134"/>
      <c r="C1134"/>
      <c r="D1134"/>
      <c r="E1134"/>
      <c r="F1134"/>
      <c r="G1134"/>
      <c r="H1134"/>
      <c r="I1134"/>
      <c r="J1134"/>
      <c r="K1134"/>
      <c r="L1134"/>
      <c r="M1134"/>
      <c r="N1134"/>
      <c r="O1134"/>
      <c r="P1134"/>
      <c r="Q1134"/>
      <c r="R1134"/>
    </row>
    <row r="1135" spans="1:18">
      <c r="A1135"/>
      <c r="B1135"/>
      <c r="C1135"/>
      <c r="D1135"/>
      <c r="E1135"/>
      <c r="F1135"/>
      <c r="G1135"/>
      <c r="H1135"/>
      <c r="I1135"/>
      <c r="J1135"/>
      <c r="K1135"/>
      <c r="L1135"/>
      <c r="M1135"/>
      <c r="N1135"/>
      <c r="O1135"/>
      <c r="P1135"/>
      <c r="Q1135"/>
      <c r="R1135"/>
    </row>
    <row r="1136" spans="1:18">
      <c r="A1136"/>
      <c r="B1136"/>
      <c r="C1136"/>
      <c r="D1136"/>
      <c r="E1136"/>
      <c r="F1136"/>
      <c r="G1136"/>
      <c r="H1136"/>
      <c r="I1136"/>
      <c r="J1136"/>
      <c r="K1136"/>
      <c r="L1136"/>
      <c r="M1136"/>
      <c r="N1136"/>
      <c r="O1136"/>
      <c r="P1136"/>
      <c r="Q1136"/>
      <c r="R1136"/>
    </row>
    <row r="1137" spans="1:18">
      <c r="A1137"/>
      <c r="B1137"/>
      <c r="C1137"/>
      <c r="D1137"/>
      <c r="E1137"/>
      <c r="F1137"/>
      <c r="G1137"/>
      <c r="H1137"/>
      <c r="I1137"/>
      <c r="J1137"/>
      <c r="K1137"/>
      <c r="L1137"/>
      <c r="M1137"/>
      <c r="N1137"/>
      <c r="O1137"/>
      <c r="P1137"/>
      <c r="Q1137"/>
      <c r="R1137"/>
    </row>
    <row r="1138" spans="1:18">
      <c r="A1138"/>
      <c r="B1138"/>
      <c r="C1138"/>
      <c r="D1138"/>
      <c r="E1138"/>
      <c r="F1138"/>
      <c r="G1138"/>
      <c r="H1138"/>
      <c r="I1138"/>
      <c r="J1138"/>
      <c r="K1138"/>
      <c r="L1138"/>
      <c r="M1138"/>
      <c r="N1138"/>
      <c r="O1138"/>
      <c r="P1138"/>
      <c r="Q1138"/>
      <c r="R1138"/>
    </row>
    <row r="1139" spans="1:18">
      <c r="A1139"/>
      <c r="B1139"/>
      <c r="C1139"/>
      <c r="D1139"/>
      <c r="E1139"/>
      <c r="F1139"/>
      <c r="G1139"/>
      <c r="H1139"/>
      <c r="I1139"/>
      <c r="J1139"/>
      <c r="K1139"/>
      <c r="L1139"/>
      <c r="M1139"/>
      <c r="N1139"/>
      <c r="O1139"/>
      <c r="P1139"/>
      <c r="Q1139"/>
      <c r="R1139"/>
    </row>
    <row r="1140" spans="1:18">
      <c r="A1140"/>
      <c r="B1140"/>
      <c r="C1140"/>
      <c r="D1140"/>
      <c r="E1140"/>
      <c r="F1140"/>
      <c r="G1140"/>
      <c r="H1140"/>
      <c r="I1140"/>
      <c r="J1140"/>
      <c r="K1140"/>
      <c r="L1140"/>
      <c r="M1140"/>
      <c r="N1140"/>
      <c r="O1140"/>
      <c r="P1140"/>
      <c r="Q1140"/>
      <c r="R1140"/>
    </row>
    <row r="1141" spans="1:18">
      <c r="A1141"/>
      <c r="B1141"/>
      <c r="C1141"/>
      <c r="D1141"/>
      <c r="E1141"/>
      <c r="F1141"/>
      <c r="G1141"/>
      <c r="H1141"/>
      <c r="I1141"/>
      <c r="J1141"/>
      <c r="K1141"/>
      <c r="L1141"/>
      <c r="M1141"/>
      <c r="N1141"/>
      <c r="O1141"/>
      <c r="P1141"/>
      <c r="Q1141"/>
      <c r="R1141"/>
    </row>
    <row r="1142" spans="1:18">
      <c r="A1142"/>
      <c r="B1142"/>
      <c r="C1142"/>
      <c r="D1142"/>
      <c r="E1142"/>
      <c r="F1142"/>
      <c r="G1142"/>
      <c r="H1142"/>
      <c r="I1142"/>
      <c r="J1142"/>
      <c r="K1142"/>
      <c r="L1142"/>
      <c r="M1142"/>
      <c r="N1142"/>
      <c r="O1142"/>
      <c r="P1142"/>
      <c r="Q1142"/>
      <c r="R1142"/>
    </row>
    <row r="1143" spans="1:18">
      <c r="A1143"/>
      <c r="B1143"/>
      <c r="C1143"/>
      <c r="D1143"/>
      <c r="E1143"/>
      <c r="F1143"/>
      <c r="G1143"/>
      <c r="H1143"/>
      <c r="I1143"/>
      <c r="J1143"/>
      <c r="K1143"/>
      <c r="L1143"/>
      <c r="M1143"/>
      <c r="N1143"/>
      <c r="O1143"/>
      <c r="P1143"/>
      <c r="Q1143"/>
      <c r="R1143"/>
    </row>
    <row r="1144" spans="1:18">
      <c r="A1144"/>
      <c r="B1144"/>
      <c r="C1144"/>
      <c r="D1144"/>
      <c r="E1144"/>
      <c r="F1144"/>
      <c r="G1144"/>
      <c r="H1144"/>
      <c r="I1144"/>
      <c r="J1144"/>
      <c r="K1144"/>
      <c r="L1144"/>
      <c r="M1144"/>
      <c r="N1144"/>
      <c r="O1144"/>
      <c r="P1144"/>
      <c r="Q1144"/>
      <c r="R1144"/>
    </row>
    <row r="1145" spans="1:18">
      <c r="A1145"/>
      <c r="B1145"/>
      <c r="C1145"/>
      <c r="D1145"/>
      <c r="E1145"/>
      <c r="F1145"/>
      <c r="G1145"/>
      <c r="H1145"/>
      <c r="I1145"/>
      <c r="J1145"/>
      <c r="K1145"/>
      <c r="L1145"/>
      <c r="M1145"/>
      <c r="N1145"/>
      <c r="O1145"/>
      <c r="P1145"/>
      <c r="Q1145"/>
      <c r="R1145"/>
    </row>
    <row r="1146" spans="1:18">
      <c r="A1146"/>
      <c r="B1146"/>
      <c r="C1146"/>
      <c r="D1146"/>
      <c r="E1146"/>
      <c r="F1146"/>
      <c r="G1146"/>
      <c r="H1146"/>
      <c r="I1146"/>
      <c r="J1146"/>
      <c r="K1146"/>
      <c r="L1146"/>
      <c r="M1146"/>
      <c r="N1146"/>
      <c r="O1146"/>
      <c r="P1146"/>
      <c r="Q1146"/>
      <c r="R1146"/>
    </row>
    <row r="1147" spans="1:18">
      <c r="A1147"/>
      <c r="B1147"/>
      <c r="C1147"/>
      <c r="D1147"/>
      <c r="E1147"/>
      <c r="F1147"/>
      <c r="G1147"/>
      <c r="H1147"/>
      <c r="I1147"/>
      <c r="J1147"/>
      <c r="K1147"/>
      <c r="L1147"/>
      <c r="M1147"/>
      <c r="N1147"/>
      <c r="O1147"/>
      <c r="P1147"/>
      <c r="Q1147"/>
      <c r="R1147"/>
    </row>
    <row r="1148" spans="1:18">
      <c r="A1148"/>
      <c r="B1148"/>
      <c r="C1148"/>
      <c r="D1148"/>
      <c r="E1148"/>
      <c r="F1148"/>
      <c r="G1148"/>
      <c r="H1148"/>
      <c r="I1148"/>
      <c r="J1148"/>
      <c r="K1148"/>
      <c r="L1148"/>
      <c r="M1148"/>
      <c r="N1148"/>
      <c r="O1148"/>
      <c r="P1148"/>
      <c r="Q1148"/>
      <c r="R1148"/>
    </row>
    <row r="1149" spans="1:18">
      <c r="A1149"/>
      <c r="B1149"/>
      <c r="C1149"/>
      <c r="D1149"/>
      <c r="E1149"/>
      <c r="F1149"/>
      <c r="G1149"/>
      <c r="H1149"/>
      <c r="I1149"/>
      <c r="J1149"/>
      <c r="K1149"/>
      <c r="L1149"/>
      <c r="M1149"/>
      <c r="N1149"/>
      <c r="O1149"/>
      <c r="P1149"/>
      <c r="Q1149"/>
      <c r="R1149"/>
    </row>
    <row r="1150" spans="1:18">
      <c r="A1150"/>
      <c r="B1150"/>
      <c r="C1150"/>
      <c r="D1150"/>
      <c r="E1150"/>
      <c r="F1150"/>
      <c r="G1150"/>
      <c r="H1150"/>
      <c r="I1150"/>
      <c r="J1150"/>
      <c r="K1150"/>
      <c r="L1150"/>
      <c r="M1150"/>
      <c r="N1150"/>
      <c r="O1150"/>
      <c r="P1150"/>
      <c r="Q1150"/>
      <c r="R1150"/>
    </row>
    <row r="1151" spans="1:18">
      <c r="A1151"/>
      <c r="B1151"/>
      <c r="C1151"/>
      <c r="D1151"/>
      <c r="E1151"/>
      <c r="F1151"/>
      <c r="G1151"/>
      <c r="H1151"/>
      <c r="I1151"/>
      <c r="J1151"/>
      <c r="K1151"/>
      <c r="L1151"/>
      <c r="M1151"/>
      <c r="N1151"/>
      <c r="O1151"/>
      <c r="P1151"/>
      <c r="Q1151"/>
      <c r="R1151"/>
    </row>
    <row r="1152" spans="1:18">
      <c r="A1152"/>
      <c r="B1152"/>
      <c r="C1152"/>
      <c r="D1152"/>
      <c r="E1152"/>
      <c r="F1152"/>
      <c r="G1152"/>
      <c r="H1152"/>
      <c r="I1152"/>
      <c r="J1152"/>
      <c r="K1152"/>
      <c r="L1152"/>
      <c r="M1152"/>
      <c r="N1152"/>
      <c r="O1152"/>
      <c r="P1152"/>
      <c r="Q1152"/>
      <c r="R1152"/>
    </row>
    <row r="1153" spans="1:18">
      <c r="A1153"/>
      <c r="B1153"/>
      <c r="C1153"/>
      <c r="D1153"/>
      <c r="E1153"/>
      <c r="F1153"/>
      <c r="G1153"/>
      <c r="H1153"/>
      <c r="I1153"/>
      <c r="J1153"/>
      <c r="K1153"/>
      <c r="L1153"/>
      <c r="M1153"/>
      <c r="N1153"/>
      <c r="O1153"/>
      <c r="P1153"/>
      <c r="Q1153"/>
      <c r="R1153"/>
    </row>
    <row r="1154" spans="1:18">
      <c r="A1154"/>
      <c r="B1154"/>
      <c r="C1154"/>
      <c r="D1154"/>
      <c r="E1154"/>
      <c r="F1154"/>
      <c r="G1154"/>
      <c r="H1154"/>
      <c r="I1154"/>
      <c r="J1154"/>
      <c r="K1154"/>
      <c r="L1154"/>
      <c r="M1154"/>
      <c r="N1154"/>
      <c r="O1154"/>
      <c r="P1154"/>
      <c r="Q1154"/>
      <c r="R1154"/>
    </row>
    <row r="1155" spans="1:18">
      <c r="A1155"/>
      <c r="B1155"/>
      <c r="C1155"/>
      <c r="D1155"/>
      <c r="E1155"/>
      <c r="F1155"/>
      <c r="G1155"/>
      <c r="H1155"/>
      <c r="I1155"/>
      <c r="J1155"/>
      <c r="K1155"/>
      <c r="L1155"/>
      <c r="M1155"/>
      <c r="N1155"/>
      <c r="O1155"/>
      <c r="P1155"/>
      <c r="Q1155"/>
      <c r="R1155"/>
    </row>
    <row r="1156" spans="1:18">
      <c r="A1156"/>
      <c r="B1156"/>
      <c r="C1156"/>
      <c r="D1156"/>
      <c r="E1156"/>
      <c r="F1156"/>
      <c r="G1156"/>
      <c r="H1156"/>
      <c r="I1156"/>
      <c r="J1156"/>
      <c r="K1156"/>
      <c r="L1156"/>
      <c r="M1156"/>
      <c r="N1156"/>
      <c r="O1156"/>
      <c r="P1156"/>
      <c r="Q1156"/>
      <c r="R1156"/>
    </row>
    <row r="1157" spans="1:18">
      <c r="A1157"/>
      <c r="B1157"/>
      <c r="C1157"/>
      <c r="D1157"/>
      <c r="E1157"/>
      <c r="F1157"/>
      <c r="G1157"/>
      <c r="H1157"/>
      <c r="I1157"/>
      <c r="J1157"/>
      <c r="K1157"/>
      <c r="L1157"/>
      <c r="M1157"/>
      <c r="N1157"/>
      <c r="O1157"/>
      <c r="P1157"/>
      <c r="Q1157"/>
      <c r="R1157"/>
    </row>
    <row r="1158" spans="1:18">
      <c r="A1158"/>
      <c r="B1158"/>
      <c r="C1158"/>
      <c r="D1158"/>
      <c r="E1158"/>
      <c r="F1158"/>
      <c r="G1158"/>
      <c r="H1158"/>
      <c r="I1158"/>
      <c r="J1158"/>
      <c r="K1158"/>
      <c r="L1158"/>
      <c r="M1158"/>
      <c r="N1158"/>
      <c r="O1158"/>
      <c r="P1158"/>
      <c r="Q1158"/>
      <c r="R1158"/>
    </row>
    <row r="1159" spans="1:18">
      <c r="A1159"/>
      <c r="B1159"/>
      <c r="C1159"/>
      <c r="D1159"/>
      <c r="E1159"/>
      <c r="F1159"/>
      <c r="G1159"/>
      <c r="H1159"/>
      <c r="I1159"/>
      <c r="J1159"/>
      <c r="K1159"/>
      <c r="L1159"/>
      <c r="M1159"/>
      <c r="N1159"/>
      <c r="O1159"/>
      <c r="P1159"/>
      <c r="Q1159"/>
      <c r="R1159"/>
    </row>
    <row r="1160" spans="1:18">
      <c r="A1160"/>
      <c r="B1160"/>
      <c r="C1160"/>
      <c r="D1160"/>
      <c r="E1160"/>
      <c r="F1160"/>
      <c r="G1160"/>
      <c r="H1160"/>
      <c r="I1160"/>
      <c r="J1160"/>
      <c r="K1160"/>
      <c r="L1160"/>
      <c r="M1160"/>
      <c r="N1160"/>
      <c r="O1160"/>
      <c r="P1160"/>
      <c r="Q1160"/>
    </row>
    <row r="1161" spans="1:18">
      <c r="A1161"/>
      <c r="B1161"/>
      <c r="C1161"/>
      <c r="D1161"/>
      <c r="E1161"/>
      <c r="F1161"/>
      <c r="G1161"/>
      <c r="H1161"/>
      <c r="I1161"/>
      <c r="J1161"/>
      <c r="K1161"/>
      <c r="L1161"/>
      <c r="M1161"/>
      <c r="N1161"/>
      <c r="O1161"/>
      <c r="P1161"/>
      <c r="Q1161"/>
    </row>
    <row r="1162" spans="1:18">
      <c r="A1162"/>
      <c r="B1162"/>
      <c r="C1162"/>
      <c r="D1162"/>
      <c r="E1162"/>
      <c r="F1162"/>
      <c r="G1162"/>
      <c r="H1162"/>
      <c r="I1162"/>
      <c r="J1162"/>
      <c r="K1162"/>
      <c r="L1162"/>
      <c r="M1162"/>
      <c r="N1162"/>
      <c r="O1162"/>
      <c r="P1162"/>
      <c r="Q1162"/>
    </row>
    <row r="1163" spans="1:18">
      <c r="A1163"/>
      <c r="B1163"/>
      <c r="C1163"/>
      <c r="D1163"/>
      <c r="E1163"/>
      <c r="F1163"/>
      <c r="G1163"/>
      <c r="H1163"/>
      <c r="I1163"/>
      <c r="J1163"/>
      <c r="K1163"/>
      <c r="L1163"/>
    </row>
    <row r="1164" spans="1:18">
      <c r="A1164"/>
      <c r="B1164"/>
      <c r="C1164"/>
      <c r="D1164"/>
      <c r="E1164"/>
      <c r="F1164"/>
      <c r="G1164"/>
      <c r="H1164"/>
      <c r="I1164"/>
      <c r="J1164"/>
      <c r="K1164"/>
      <c r="L1164"/>
    </row>
    <row r="1165" spans="1:18">
      <c r="A1165"/>
      <c r="B1165"/>
      <c r="C1165"/>
      <c r="D1165"/>
      <c r="E1165"/>
      <c r="F1165"/>
      <c r="G1165"/>
      <c r="H1165"/>
      <c r="I1165"/>
      <c r="J1165"/>
      <c r="K1165"/>
      <c r="L1165"/>
    </row>
    <row r="1166" spans="1:18">
      <c r="A1166"/>
      <c r="B1166"/>
      <c r="C1166"/>
      <c r="D1166"/>
      <c r="E1166"/>
      <c r="F1166"/>
      <c r="G1166"/>
      <c r="H1166"/>
      <c r="I1166"/>
      <c r="J1166"/>
      <c r="K1166"/>
      <c r="L1166"/>
    </row>
    <row r="1167" spans="1:18">
      <c r="A1167"/>
      <c r="B1167"/>
      <c r="C1167"/>
      <c r="D1167"/>
      <c r="E1167"/>
      <c r="F1167"/>
      <c r="G1167"/>
      <c r="H1167"/>
      <c r="I1167"/>
      <c r="J1167"/>
      <c r="K1167"/>
      <c r="L1167"/>
    </row>
    <row r="1168" spans="1:18">
      <c r="A1168"/>
      <c r="B1168"/>
      <c r="C1168"/>
      <c r="D1168"/>
      <c r="E1168"/>
      <c r="F1168"/>
      <c r="G1168"/>
      <c r="H1168"/>
      <c r="I1168"/>
      <c r="J1168"/>
      <c r="K1168"/>
      <c r="L1168"/>
    </row>
    <row r="1169" spans="1:12">
      <c r="A1169"/>
      <c r="B1169"/>
      <c r="C1169"/>
      <c r="D1169"/>
      <c r="E1169"/>
      <c r="F1169"/>
      <c r="G1169"/>
      <c r="H1169"/>
      <c r="I1169"/>
      <c r="J1169"/>
      <c r="K1169"/>
      <c r="L1169"/>
    </row>
    <row r="1170" spans="1:12">
      <c r="A1170"/>
      <c r="B1170"/>
      <c r="C1170"/>
      <c r="D1170"/>
      <c r="E1170"/>
      <c r="F1170"/>
      <c r="G1170"/>
      <c r="H1170"/>
      <c r="I1170"/>
      <c r="J1170"/>
      <c r="K1170"/>
      <c r="L1170"/>
    </row>
    <row r="1171" spans="1:12">
      <c r="A1171"/>
      <c r="B1171"/>
      <c r="C1171"/>
      <c r="D1171"/>
      <c r="E1171"/>
      <c r="F1171"/>
      <c r="G1171"/>
      <c r="H1171"/>
      <c r="I1171"/>
      <c r="J1171"/>
      <c r="K1171"/>
      <c r="L1171"/>
    </row>
    <row r="1172" spans="1:12">
      <c r="A1172"/>
      <c r="B1172"/>
      <c r="C1172"/>
      <c r="D1172"/>
      <c r="E1172"/>
      <c r="F1172"/>
      <c r="G1172"/>
      <c r="H1172"/>
      <c r="I1172"/>
      <c r="J1172"/>
      <c r="K1172"/>
      <c r="L1172"/>
    </row>
    <row r="1173" spans="1:12">
      <c r="A1173"/>
      <c r="B1173"/>
      <c r="C1173"/>
      <c r="D1173"/>
      <c r="E1173"/>
      <c r="F1173"/>
      <c r="G1173"/>
      <c r="H1173"/>
      <c r="I1173"/>
      <c r="J1173"/>
      <c r="K1173"/>
      <c r="L1173"/>
    </row>
    <row r="1174" spans="1:12">
      <c r="A1174"/>
      <c r="B1174"/>
      <c r="C1174"/>
      <c r="D1174"/>
      <c r="E1174"/>
      <c r="F1174"/>
      <c r="G1174"/>
      <c r="H1174"/>
      <c r="I1174"/>
      <c r="J1174"/>
      <c r="K1174"/>
      <c r="L1174"/>
    </row>
    <row r="1175" spans="1:12">
      <c r="A1175"/>
      <c r="B1175"/>
      <c r="C1175"/>
      <c r="D1175"/>
      <c r="E1175"/>
      <c r="F1175"/>
      <c r="G1175"/>
      <c r="H1175"/>
      <c r="I1175"/>
      <c r="J1175"/>
      <c r="K1175"/>
      <c r="L1175"/>
    </row>
    <row r="1176" spans="1:12">
      <c r="A1176"/>
      <c r="B1176"/>
      <c r="C1176"/>
      <c r="D1176"/>
      <c r="E1176"/>
      <c r="F1176"/>
      <c r="G1176"/>
      <c r="H1176"/>
      <c r="I1176"/>
      <c r="J1176"/>
      <c r="K1176"/>
      <c r="L1176"/>
    </row>
    <row r="1177" spans="1:12">
      <c r="A1177"/>
      <c r="B1177"/>
      <c r="C1177"/>
      <c r="D1177"/>
      <c r="E1177"/>
      <c r="F1177"/>
      <c r="G1177"/>
      <c r="H1177"/>
      <c r="I1177"/>
      <c r="J1177"/>
      <c r="K1177"/>
      <c r="L1177"/>
    </row>
    <row r="1178" spans="1:12">
      <c r="A1178"/>
      <c r="B1178"/>
      <c r="C1178"/>
      <c r="D1178"/>
      <c r="E1178"/>
      <c r="F1178"/>
      <c r="G1178"/>
      <c r="H1178"/>
      <c r="I1178"/>
      <c r="J1178"/>
      <c r="K1178"/>
      <c r="L1178"/>
    </row>
    <row r="1179" spans="1:12">
      <c r="A1179"/>
      <c r="B1179"/>
      <c r="C1179"/>
      <c r="D1179"/>
      <c r="E1179"/>
      <c r="F1179"/>
      <c r="G1179"/>
      <c r="H1179"/>
      <c r="I1179"/>
      <c r="J1179"/>
      <c r="K1179"/>
      <c r="L1179"/>
    </row>
    <row r="1180" spans="1:12">
      <c r="A1180"/>
      <c r="B1180"/>
      <c r="C1180"/>
      <c r="D1180"/>
      <c r="E1180"/>
      <c r="F1180"/>
      <c r="G1180"/>
      <c r="H1180"/>
      <c r="I1180"/>
      <c r="J1180"/>
      <c r="K1180"/>
      <c r="L1180"/>
    </row>
    <row r="1181" spans="1:12">
      <c r="A1181"/>
      <c r="B1181"/>
      <c r="C1181"/>
      <c r="D1181"/>
      <c r="E1181"/>
      <c r="F1181"/>
      <c r="G1181"/>
      <c r="H1181"/>
      <c r="I1181"/>
      <c r="J1181"/>
      <c r="K1181"/>
      <c r="L1181"/>
    </row>
    <row r="1182" spans="1:12">
      <c r="A1182"/>
      <c r="B1182"/>
      <c r="C1182"/>
      <c r="D1182"/>
      <c r="E1182"/>
      <c r="F1182"/>
      <c r="G1182"/>
      <c r="H1182"/>
      <c r="I1182"/>
      <c r="J1182"/>
      <c r="K1182"/>
      <c r="L1182"/>
    </row>
    <row r="1183" spans="1:12">
      <c r="A1183"/>
      <c r="B1183"/>
      <c r="C1183"/>
      <c r="D1183"/>
      <c r="E1183"/>
      <c r="F1183"/>
      <c r="G1183"/>
      <c r="H1183"/>
      <c r="I1183"/>
      <c r="J1183"/>
      <c r="K1183"/>
      <c r="L1183"/>
    </row>
    <row r="1184" spans="1:12">
      <c r="A1184"/>
      <c r="B1184"/>
      <c r="C1184"/>
      <c r="D1184"/>
      <c r="E1184"/>
      <c r="F1184"/>
      <c r="G1184"/>
      <c r="H1184"/>
      <c r="I1184"/>
      <c r="J1184"/>
      <c r="K1184"/>
      <c r="L1184"/>
    </row>
    <row r="1185" spans="1:12">
      <c r="A1185"/>
      <c r="B1185"/>
      <c r="C1185"/>
      <c r="D1185"/>
      <c r="E1185"/>
      <c r="F1185"/>
      <c r="G1185"/>
      <c r="H1185"/>
      <c r="I1185"/>
      <c r="J1185"/>
      <c r="K1185"/>
      <c r="L1185"/>
    </row>
    <row r="1186" spans="1:12">
      <c r="A1186"/>
      <c r="B1186"/>
      <c r="C1186"/>
      <c r="D1186"/>
      <c r="E1186"/>
      <c r="F1186"/>
      <c r="G1186"/>
      <c r="H1186"/>
      <c r="I1186"/>
      <c r="J1186"/>
      <c r="K1186"/>
      <c r="L1186"/>
    </row>
    <row r="1187" spans="1:12">
      <c r="A1187"/>
      <c r="B1187"/>
      <c r="C1187"/>
      <c r="D1187"/>
      <c r="E1187"/>
      <c r="F1187"/>
      <c r="G1187"/>
      <c r="H1187"/>
      <c r="I1187"/>
      <c r="J1187"/>
      <c r="K1187"/>
      <c r="L1187"/>
    </row>
    <row r="1188" spans="1:12">
      <c r="A1188"/>
      <c r="B1188"/>
      <c r="C1188"/>
      <c r="D1188"/>
      <c r="E1188"/>
      <c r="F1188"/>
      <c r="G1188"/>
      <c r="H1188"/>
      <c r="I1188"/>
      <c r="J1188"/>
      <c r="K1188"/>
      <c r="L1188"/>
    </row>
    <row r="1189" spans="1:12">
      <c r="A1189"/>
      <c r="B1189"/>
      <c r="C1189"/>
      <c r="D1189"/>
      <c r="E1189"/>
      <c r="F1189"/>
      <c r="G1189"/>
      <c r="H1189"/>
      <c r="I1189"/>
      <c r="J1189"/>
      <c r="K1189"/>
      <c r="L1189"/>
    </row>
    <row r="1190" spans="1:12">
      <c r="A1190"/>
      <c r="B1190"/>
      <c r="C1190"/>
      <c r="D1190"/>
      <c r="E1190"/>
      <c r="F1190"/>
      <c r="G1190"/>
      <c r="H1190"/>
      <c r="I1190"/>
      <c r="J1190"/>
      <c r="K1190"/>
      <c r="L1190"/>
    </row>
    <row r="1191" spans="1:12">
      <c r="A1191"/>
      <c r="B1191"/>
      <c r="C1191"/>
      <c r="D1191"/>
      <c r="E1191"/>
      <c r="F1191"/>
      <c r="G1191"/>
      <c r="H1191"/>
      <c r="I1191"/>
      <c r="J1191"/>
      <c r="K1191"/>
      <c r="L1191"/>
    </row>
    <row r="1192" spans="1:12">
      <c r="A1192"/>
      <c r="B1192"/>
      <c r="C1192"/>
      <c r="D1192"/>
      <c r="E1192"/>
      <c r="F1192"/>
      <c r="G1192"/>
      <c r="H1192"/>
      <c r="I1192"/>
      <c r="J1192"/>
      <c r="K1192"/>
      <c r="L1192"/>
    </row>
    <row r="1193" spans="1:12">
      <c r="A1193"/>
      <c r="B1193"/>
      <c r="C1193"/>
      <c r="D1193"/>
      <c r="E1193"/>
      <c r="F1193"/>
      <c r="G1193"/>
      <c r="H1193"/>
      <c r="I1193"/>
      <c r="J1193"/>
      <c r="K1193"/>
      <c r="L1193"/>
    </row>
    <row r="1194" spans="1:12">
      <c r="A1194"/>
      <c r="B1194"/>
      <c r="C1194"/>
      <c r="D1194"/>
      <c r="E1194"/>
      <c r="F1194"/>
      <c r="G1194"/>
      <c r="H1194"/>
      <c r="I1194"/>
      <c r="J1194"/>
      <c r="K1194"/>
      <c r="L1194"/>
    </row>
    <row r="1195" spans="1:12">
      <c r="A1195"/>
      <c r="B1195"/>
      <c r="C1195"/>
      <c r="D1195"/>
      <c r="E1195"/>
      <c r="F1195"/>
      <c r="G1195"/>
      <c r="H1195"/>
      <c r="I1195"/>
      <c r="J1195"/>
      <c r="K1195"/>
      <c r="L1195"/>
    </row>
    <row r="1196" spans="1:12">
      <c r="A1196"/>
      <c r="B1196"/>
      <c r="C1196"/>
      <c r="D1196"/>
      <c r="E1196"/>
      <c r="F1196"/>
      <c r="G1196"/>
      <c r="H1196"/>
      <c r="I1196"/>
      <c r="J1196"/>
      <c r="K1196"/>
      <c r="L1196"/>
    </row>
    <row r="1197" spans="1:12">
      <c r="A1197"/>
      <c r="B1197"/>
      <c r="C1197"/>
      <c r="D1197"/>
      <c r="E1197"/>
      <c r="F1197"/>
      <c r="G1197"/>
      <c r="H1197"/>
      <c r="I1197"/>
      <c r="J1197"/>
      <c r="K1197"/>
      <c r="L1197"/>
    </row>
    <row r="1198" spans="1:12">
      <c r="A1198"/>
      <c r="B1198"/>
      <c r="C1198"/>
      <c r="D1198"/>
      <c r="E1198"/>
      <c r="F1198"/>
      <c r="G1198"/>
      <c r="H1198"/>
      <c r="I1198"/>
      <c r="J1198"/>
      <c r="K1198"/>
      <c r="L1198"/>
    </row>
    <row r="1199" spans="1:12">
      <c r="A1199"/>
      <c r="B1199"/>
      <c r="C1199"/>
      <c r="D1199"/>
      <c r="E1199"/>
      <c r="F1199"/>
      <c r="G1199"/>
      <c r="H1199"/>
      <c r="I1199"/>
      <c r="J1199"/>
      <c r="K1199"/>
      <c r="L1199"/>
    </row>
    <row r="1200" spans="1:12">
      <c r="A1200"/>
      <c r="B1200"/>
      <c r="C1200"/>
      <c r="D1200"/>
      <c r="E1200"/>
      <c r="F1200"/>
      <c r="G1200"/>
      <c r="H1200"/>
      <c r="I1200"/>
      <c r="J1200"/>
      <c r="K1200"/>
      <c r="L1200"/>
    </row>
    <row r="1201" spans="1:12">
      <c r="A1201"/>
      <c r="B1201"/>
      <c r="C1201"/>
      <c r="D1201"/>
      <c r="E1201"/>
      <c r="F1201"/>
      <c r="G1201"/>
      <c r="H1201"/>
      <c r="I1201"/>
      <c r="J1201"/>
      <c r="K1201"/>
      <c r="L1201"/>
    </row>
    <row r="1202" spans="1:12">
      <c r="A1202"/>
      <c r="B1202"/>
      <c r="C1202"/>
      <c r="D1202"/>
      <c r="E1202"/>
      <c r="F1202"/>
      <c r="G1202"/>
      <c r="H1202"/>
      <c r="I1202"/>
      <c r="J1202"/>
      <c r="K1202"/>
      <c r="L1202"/>
    </row>
    <row r="1203" spans="1:12">
      <c r="A1203"/>
      <c r="B1203"/>
      <c r="C1203"/>
      <c r="D1203"/>
      <c r="E1203"/>
      <c r="F1203"/>
      <c r="G1203"/>
      <c r="H1203"/>
      <c r="I1203"/>
      <c r="J1203"/>
      <c r="K1203"/>
      <c r="L1203"/>
    </row>
    <row r="1204" spans="1:12">
      <c r="A1204"/>
      <c r="B1204"/>
      <c r="C1204"/>
      <c r="D1204"/>
      <c r="E1204"/>
      <c r="F1204"/>
      <c r="G1204"/>
      <c r="H1204"/>
      <c r="I1204"/>
      <c r="J1204"/>
      <c r="K1204"/>
      <c r="L1204"/>
    </row>
    <row r="1205" spans="1:12">
      <c r="A1205"/>
      <c r="B1205"/>
      <c r="C1205"/>
      <c r="D1205"/>
      <c r="E1205"/>
      <c r="F1205"/>
      <c r="G1205"/>
      <c r="H1205"/>
      <c r="I1205"/>
      <c r="J1205"/>
      <c r="K1205"/>
      <c r="L1205"/>
    </row>
    <row r="1206" spans="1:12">
      <c r="A1206"/>
      <c r="B1206"/>
      <c r="C1206"/>
      <c r="D1206"/>
      <c r="E1206"/>
      <c r="F1206"/>
      <c r="G1206"/>
      <c r="H1206"/>
      <c r="I1206"/>
      <c r="J1206"/>
      <c r="K1206"/>
      <c r="L1206"/>
    </row>
    <row r="1207" spans="1:12">
      <c r="A1207"/>
      <c r="B1207"/>
      <c r="C1207"/>
      <c r="D1207"/>
      <c r="E1207"/>
      <c r="F1207"/>
      <c r="G1207"/>
      <c r="H1207"/>
      <c r="I1207"/>
      <c r="J1207"/>
      <c r="K1207"/>
      <c r="L1207"/>
    </row>
    <row r="1208" spans="1:12">
      <c r="A1208"/>
      <c r="B1208"/>
      <c r="C1208"/>
      <c r="D1208"/>
      <c r="E1208"/>
      <c r="F1208"/>
      <c r="G1208"/>
      <c r="H1208"/>
      <c r="I1208"/>
      <c r="J1208"/>
      <c r="K1208"/>
      <c r="L1208"/>
    </row>
    <row r="1209" spans="1:12">
      <c r="A1209"/>
      <c r="B1209"/>
      <c r="C1209"/>
      <c r="D1209"/>
      <c r="E1209"/>
      <c r="F1209"/>
      <c r="G1209"/>
      <c r="H1209"/>
      <c r="I1209"/>
      <c r="J1209"/>
      <c r="K1209"/>
      <c r="L1209"/>
    </row>
    <row r="1210" spans="1:12">
      <c r="A1210"/>
      <c r="B1210"/>
      <c r="C1210"/>
      <c r="D1210"/>
      <c r="E1210"/>
      <c r="F1210"/>
      <c r="G1210"/>
      <c r="H1210"/>
      <c r="I1210"/>
      <c r="J1210"/>
      <c r="K1210"/>
      <c r="L1210"/>
    </row>
    <row r="1211" spans="1:12">
      <c r="A1211"/>
      <c r="B1211"/>
      <c r="C1211"/>
      <c r="D1211"/>
      <c r="E1211"/>
      <c r="F1211"/>
      <c r="G1211"/>
      <c r="H1211"/>
      <c r="I1211"/>
      <c r="J1211"/>
      <c r="K1211"/>
      <c r="L1211"/>
    </row>
    <row r="1212" spans="1:12">
      <c r="A1212"/>
      <c r="B1212"/>
      <c r="C1212"/>
      <c r="D1212"/>
      <c r="E1212"/>
      <c r="F1212"/>
      <c r="G1212"/>
      <c r="H1212"/>
      <c r="I1212"/>
      <c r="J1212"/>
      <c r="K1212"/>
      <c r="L1212"/>
    </row>
    <row r="1213" spans="1:12">
      <c r="A1213"/>
      <c r="B1213"/>
      <c r="C1213"/>
      <c r="D1213"/>
      <c r="E1213"/>
      <c r="F1213"/>
      <c r="G1213"/>
      <c r="H1213"/>
      <c r="I1213"/>
      <c r="J1213"/>
      <c r="K1213"/>
      <c r="L1213"/>
    </row>
    <row r="1214" spans="1:12">
      <c r="A1214"/>
      <c r="B1214"/>
      <c r="C1214"/>
      <c r="D1214"/>
      <c r="E1214"/>
      <c r="F1214"/>
      <c r="G1214"/>
      <c r="H1214"/>
      <c r="I1214"/>
      <c r="J1214"/>
      <c r="K1214"/>
      <c r="L1214"/>
    </row>
    <row r="1215" spans="1:12">
      <c r="A1215"/>
      <c r="B1215"/>
      <c r="C1215"/>
      <c r="D1215"/>
      <c r="E1215"/>
      <c r="F1215"/>
      <c r="G1215"/>
      <c r="H1215"/>
      <c r="I1215"/>
      <c r="J1215"/>
      <c r="K1215"/>
      <c r="L1215"/>
    </row>
    <row r="1216" spans="1:12">
      <c r="A1216"/>
      <c r="B1216"/>
      <c r="C1216"/>
      <c r="D1216"/>
      <c r="E1216"/>
      <c r="F1216"/>
      <c r="G1216"/>
      <c r="H1216"/>
      <c r="I1216"/>
      <c r="J1216"/>
      <c r="K1216"/>
      <c r="L1216"/>
    </row>
    <row r="1217" spans="1:12">
      <c r="A1217"/>
      <c r="B1217"/>
      <c r="C1217"/>
      <c r="D1217"/>
      <c r="E1217"/>
      <c r="F1217"/>
      <c r="G1217"/>
      <c r="H1217"/>
      <c r="I1217"/>
      <c r="J1217"/>
      <c r="K1217"/>
      <c r="L1217"/>
    </row>
    <row r="1218" spans="1:12">
      <c r="A1218"/>
      <c r="B1218"/>
      <c r="C1218"/>
      <c r="D1218"/>
      <c r="E1218"/>
      <c r="F1218"/>
      <c r="G1218"/>
      <c r="H1218"/>
      <c r="I1218"/>
      <c r="J1218"/>
      <c r="K1218"/>
      <c r="L1218"/>
    </row>
    <row r="1219" spans="1:12">
      <c r="A1219"/>
      <c r="B1219"/>
      <c r="C1219"/>
      <c r="D1219"/>
      <c r="E1219"/>
      <c r="F1219"/>
      <c r="G1219"/>
      <c r="H1219"/>
      <c r="I1219"/>
      <c r="J1219"/>
      <c r="K1219"/>
      <c r="L1219"/>
    </row>
    <row r="1220" spans="1:12">
      <c r="A1220"/>
      <c r="B1220"/>
      <c r="C1220"/>
      <c r="D1220"/>
      <c r="E1220"/>
      <c r="F1220"/>
      <c r="G1220"/>
      <c r="H1220"/>
      <c r="I1220"/>
      <c r="J1220"/>
      <c r="K1220"/>
      <c r="L1220"/>
    </row>
    <row r="1221" spans="1:12">
      <c r="A1221"/>
      <c r="B1221"/>
      <c r="C1221"/>
      <c r="D1221"/>
      <c r="E1221"/>
      <c r="F1221"/>
      <c r="G1221"/>
      <c r="H1221"/>
      <c r="I1221"/>
      <c r="J1221"/>
      <c r="K1221"/>
      <c r="L1221"/>
    </row>
    <row r="1222" spans="1:12">
      <c r="A1222"/>
      <c r="B1222"/>
      <c r="C1222"/>
      <c r="D1222"/>
      <c r="E1222"/>
      <c r="F1222"/>
      <c r="G1222"/>
      <c r="H1222"/>
      <c r="I1222"/>
      <c r="J1222"/>
      <c r="K1222"/>
      <c r="L1222"/>
    </row>
    <row r="1223" spans="1:12">
      <c r="A1223"/>
      <c r="B1223"/>
      <c r="C1223"/>
      <c r="D1223"/>
      <c r="E1223"/>
      <c r="F1223"/>
      <c r="G1223"/>
      <c r="H1223"/>
      <c r="I1223"/>
      <c r="J1223"/>
      <c r="K1223"/>
      <c r="L1223"/>
    </row>
    <row r="1224" spans="1:12">
      <c r="A1224"/>
      <c r="B1224"/>
      <c r="C1224"/>
      <c r="D1224"/>
      <c r="E1224"/>
      <c r="F1224"/>
      <c r="G1224"/>
      <c r="H1224"/>
      <c r="I1224"/>
      <c r="J1224"/>
      <c r="K1224"/>
      <c r="L1224"/>
    </row>
    <row r="1225" spans="1:12">
      <c r="A1225"/>
      <c r="B1225"/>
      <c r="C1225"/>
      <c r="D1225"/>
      <c r="E1225"/>
      <c r="F1225"/>
      <c r="G1225"/>
      <c r="H1225"/>
      <c r="I1225"/>
      <c r="J1225"/>
      <c r="K1225"/>
      <c r="L1225"/>
    </row>
    <row r="1226" spans="1:12">
      <c r="A1226"/>
      <c r="B1226"/>
      <c r="C1226"/>
      <c r="D1226"/>
      <c r="E1226"/>
      <c r="F1226"/>
      <c r="G1226"/>
      <c r="H1226"/>
      <c r="I1226"/>
      <c r="J1226"/>
      <c r="K1226"/>
      <c r="L1226"/>
    </row>
    <row r="1227" spans="1:12">
      <c r="A1227"/>
      <c r="B1227"/>
      <c r="C1227"/>
      <c r="D1227"/>
      <c r="E1227"/>
      <c r="F1227"/>
      <c r="G1227"/>
      <c r="H1227"/>
      <c r="I1227"/>
      <c r="J1227"/>
      <c r="K1227"/>
      <c r="L1227"/>
    </row>
    <row r="1228" spans="1:12">
      <c r="A1228"/>
      <c r="B1228"/>
      <c r="C1228"/>
      <c r="D1228"/>
      <c r="E1228"/>
      <c r="F1228"/>
      <c r="G1228"/>
      <c r="H1228"/>
      <c r="I1228"/>
      <c r="J1228"/>
      <c r="K1228"/>
      <c r="L1228"/>
    </row>
    <row r="1229" spans="1:12">
      <c r="A1229"/>
      <c r="B1229"/>
      <c r="C1229"/>
      <c r="D1229"/>
      <c r="E1229"/>
      <c r="F1229"/>
      <c r="G1229"/>
      <c r="H1229"/>
      <c r="I1229"/>
      <c r="J1229"/>
      <c r="K1229"/>
      <c r="L1229"/>
    </row>
    <row r="1230" spans="1:12">
      <c r="A1230"/>
      <c r="B1230"/>
      <c r="C1230"/>
      <c r="D1230"/>
      <c r="E1230"/>
      <c r="F1230"/>
      <c r="G1230"/>
      <c r="H1230"/>
      <c r="I1230"/>
      <c r="J1230"/>
      <c r="K1230"/>
      <c r="L1230"/>
    </row>
    <row r="1231" spans="1:12">
      <c r="A1231"/>
      <c r="B1231"/>
      <c r="C1231"/>
      <c r="D1231"/>
      <c r="E1231"/>
      <c r="F1231"/>
      <c r="G1231"/>
      <c r="H1231"/>
      <c r="I1231"/>
      <c r="J1231"/>
      <c r="K1231"/>
      <c r="L1231"/>
    </row>
    <row r="1232" spans="1:12">
      <c r="A1232"/>
      <c r="B1232"/>
      <c r="C1232"/>
      <c r="D1232"/>
      <c r="E1232"/>
      <c r="F1232"/>
      <c r="G1232"/>
      <c r="H1232"/>
      <c r="I1232"/>
      <c r="J1232"/>
      <c r="K1232"/>
      <c r="L1232"/>
    </row>
    <row r="1233" spans="1:12">
      <c r="A1233"/>
      <c r="B1233"/>
      <c r="C1233"/>
      <c r="D1233"/>
      <c r="E1233"/>
      <c r="F1233"/>
      <c r="G1233"/>
      <c r="H1233"/>
      <c r="I1233"/>
      <c r="J1233"/>
      <c r="K1233"/>
      <c r="L1233"/>
    </row>
    <row r="1234" spans="1:12">
      <c r="A1234"/>
      <c r="B1234"/>
      <c r="C1234"/>
      <c r="D1234"/>
      <c r="E1234"/>
      <c r="F1234"/>
      <c r="G1234"/>
      <c r="H1234"/>
      <c r="I1234"/>
      <c r="J1234"/>
      <c r="K1234"/>
      <c r="L1234"/>
    </row>
    <row r="1235" spans="1:12">
      <c r="A1235"/>
      <c r="B1235"/>
      <c r="C1235"/>
      <c r="D1235"/>
      <c r="E1235"/>
      <c r="F1235"/>
      <c r="G1235"/>
      <c r="H1235"/>
      <c r="I1235"/>
      <c r="J1235"/>
      <c r="K1235"/>
      <c r="L1235"/>
    </row>
    <row r="1236" spans="1:12">
      <c r="A1236"/>
      <c r="B1236"/>
      <c r="C1236"/>
      <c r="D1236"/>
      <c r="E1236"/>
      <c r="F1236"/>
      <c r="G1236"/>
      <c r="H1236"/>
      <c r="I1236"/>
      <c r="J1236"/>
      <c r="K1236"/>
      <c r="L1236"/>
    </row>
    <row r="1237" spans="1:12">
      <c r="A1237"/>
      <c r="B1237"/>
      <c r="C1237"/>
      <c r="D1237"/>
      <c r="E1237"/>
      <c r="F1237"/>
      <c r="G1237"/>
      <c r="H1237"/>
      <c r="I1237"/>
      <c r="J1237"/>
      <c r="K1237"/>
      <c r="L1237"/>
    </row>
    <row r="1238" spans="1:12">
      <c r="A1238"/>
      <c r="B1238"/>
      <c r="C1238"/>
      <c r="D1238"/>
      <c r="E1238"/>
      <c r="F1238"/>
      <c r="G1238"/>
      <c r="H1238"/>
      <c r="I1238"/>
      <c r="J1238"/>
      <c r="K1238"/>
      <c r="L1238"/>
    </row>
    <row r="1239" spans="1:12">
      <c r="A1239"/>
      <c r="B1239"/>
      <c r="C1239"/>
      <c r="D1239"/>
      <c r="E1239"/>
      <c r="F1239"/>
      <c r="G1239"/>
      <c r="H1239"/>
      <c r="I1239"/>
      <c r="J1239"/>
      <c r="K1239"/>
      <c r="L1239"/>
    </row>
    <row r="1240" spans="1:12">
      <c r="A1240"/>
      <c r="B1240"/>
      <c r="C1240"/>
      <c r="D1240"/>
      <c r="E1240"/>
      <c r="F1240"/>
      <c r="G1240"/>
      <c r="H1240"/>
      <c r="I1240"/>
      <c r="J1240"/>
      <c r="K1240"/>
      <c r="L1240"/>
    </row>
    <row r="1241" spans="1:12">
      <c r="A1241"/>
      <c r="B1241"/>
      <c r="C1241"/>
      <c r="D1241"/>
      <c r="E1241"/>
      <c r="F1241"/>
      <c r="G1241"/>
      <c r="H1241"/>
      <c r="I1241"/>
      <c r="J1241"/>
      <c r="K1241"/>
      <c r="L1241"/>
    </row>
    <row r="1242" spans="1:12">
      <c r="A1242"/>
      <c r="B1242"/>
      <c r="C1242"/>
      <c r="D1242"/>
      <c r="E1242"/>
      <c r="F1242"/>
      <c r="G1242"/>
      <c r="H1242"/>
      <c r="I1242"/>
      <c r="J1242"/>
      <c r="K1242"/>
      <c r="L1242"/>
    </row>
    <row r="1243" spans="1:12">
      <c r="A1243"/>
      <c r="B1243"/>
      <c r="C1243"/>
      <c r="D1243"/>
      <c r="E1243"/>
      <c r="F1243"/>
      <c r="G1243"/>
      <c r="H1243"/>
      <c r="I1243"/>
      <c r="J1243"/>
      <c r="K1243"/>
      <c r="L1243"/>
    </row>
    <row r="1244" spans="1:12">
      <c r="A1244"/>
      <c r="B1244"/>
      <c r="C1244"/>
      <c r="D1244"/>
      <c r="E1244"/>
      <c r="F1244"/>
      <c r="G1244"/>
      <c r="H1244"/>
      <c r="I1244"/>
      <c r="J1244"/>
      <c r="K1244"/>
      <c r="L1244"/>
    </row>
    <row r="1245" spans="1:12">
      <c r="A1245"/>
      <c r="B1245"/>
      <c r="C1245"/>
      <c r="D1245"/>
      <c r="E1245"/>
      <c r="F1245"/>
      <c r="G1245"/>
      <c r="H1245"/>
      <c r="I1245"/>
      <c r="J1245"/>
      <c r="K1245"/>
      <c r="L1245"/>
    </row>
    <row r="1246" spans="1:12">
      <c r="A1246"/>
      <c r="B1246"/>
      <c r="C1246"/>
      <c r="D1246"/>
      <c r="E1246"/>
      <c r="F1246"/>
      <c r="G1246"/>
      <c r="H1246"/>
      <c r="I1246"/>
      <c r="J1246"/>
      <c r="K1246"/>
      <c r="L1246"/>
    </row>
    <row r="1247" spans="1:12">
      <c r="A1247"/>
      <c r="B1247"/>
      <c r="C1247"/>
      <c r="D1247"/>
      <c r="E1247"/>
      <c r="F1247"/>
      <c r="G1247"/>
      <c r="H1247"/>
      <c r="I1247"/>
      <c r="J1247"/>
      <c r="K1247"/>
      <c r="L1247"/>
    </row>
    <row r="1248" spans="1:12">
      <c r="A1248"/>
      <c r="B1248"/>
      <c r="C1248"/>
      <c r="D1248"/>
      <c r="E1248"/>
      <c r="F1248"/>
      <c r="G1248"/>
      <c r="H1248"/>
      <c r="I1248"/>
      <c r="J1248"/>
      <c r="K1248"/>
      <c r="L1248"/>
    </row>
    <row r="1249" spans="1:12">
      <c r="A1249"/>
      <c r="B1249"/>
      <c r="C1249"/>
      <c r="D1249"/>
      <c r="E1249"/>
      <c r="F1249"/>
      <c r="G1249"/>
      <c r="H1249"/>
      <c r="I1249"/>
      <c r="J1249"/>
      <c r="K1249"/>
      <c r="L1249"/>
    </row>
    <row r="1250" spans="1:12">
      <c r="A1250"/>
      <c r="B1250"/>
      <c r="C1250"/>
      <c r="D1250"/>
      <c r="E1250"/>
      <c r="F1250"/>
      <c r="G1250"/>
      <c r="H1250"/>
      <c r="I1250"/>
      <c r="J1250"/>
      <c r="K1250"/>
      <c r="L1250"/>
    </row>
    <row r="1251" spans="1:12">
      <c r="A1251"/>
      <c r="B1251"/>
      <c r="C1251"/>
      <c r="D1251"/>
      <c r="E1251"/>
      <c r="F1251"/>
      <c r="G1251"/>
      <c r="H1251"/>
      <c r="I1251"/>
      <c r="J1251"/>
      <c r="K1251"/>
      <c r="L1251"/>
    </row>
    <row r="1252" spans="1:12">
      <c r="A1252"/>
      <c r="B1252"/>
      <c r="C1252"/>
      <c r="D1252"/>
      <c r="E1252"/>
      <c r="F1252"/>
      <c r="G1252"/>
      <c r="H1252"/>
      <c r="I1252"/>
      <c r="J1252"/>
      <c r="K1252"/>
      <c r="L1252"/>
    </row>
    <row r="1253" spans="1:12">
      <c r="A1253"/>
      <c r="B1253"/>
      <c r="C1253"/>
      <c r="D1253"/>
      <c r="E1253"/>
      <c r="F1253"/>
      <c r="G1253"/>
      <c r="H1253"/>
      <c r="I1253"/>
      <c r="J1253"/>
      <c r="K1253"/>
      <c r="L1253"/>
    </row>
    <row r="1254" spans="1:12">
      <c r="A1254"/>
      <c r="B1254"/>
      <c r="C1254"/>
      <c r="D1254"/>
      <c r="E1254"/>
      <c r="F1254"/>
      <c r="G1254"/>
      <c r="H1254"/>
      <c r="I1254"/>
      <c r="J1254"/>
      <c r="K1254"/>
      <c r="L1254"/>
    </row>
    <row r="1255" spans="1:12">
      <c r="A1255"/>
      <c r="B1255"/>
      <c r="C1255"/>
      <c r="D1255"/>
      <c r="E1255"/>
      <c r="F1255"/>
      <c r="G1255"/>
      <c r="H1255"/>
      <c r="I1255"/>
      <c r="J1255"/>
      <c r="K1255"/>
      <c r="L1255"/>
    </row>
    <row r="1256" spans="1:12">
      <c r="A1256"/>
      <c r="B1256"/>
      <c r="C1256"/>
      <c r="D1256"/>
      <c r="E1256"/>
      <c r="F1256"/>
      <c r="G1256"/>
      <c r="H1256"/>
      <c r="I1256"/>
      <c r="J1256"/>
      <c r="K1256"/>
      <c r="L1256"/>
    </row>
    <row r="1257" spans="1:12">
      <c r="A1257"/>
      <c r="B1257"/>
      <c r="C1257"/>
      <c r="D1257"/>
      <c r="E1257"/>
      <c r="F1257"/>
      <c r="G1257"/>
      <c r="H1257"/>
      <c r="I1257"/>
      <c r="J1257"/>
      <c r="K1257"/>
      <c r="L1257"/>
    </row>
    <row r="1258" spans="1:12">
      <c r="A1258"/>
      <c r="B1258"/>
      <c r="C1258"/>
      <c r="D1258"/>
      <c r="E1258"/>
      <c r="F1258"/>
      <c r="G1258"/>
      <c r="H1258"/>
      <c r="I1258"/>
      <c r="J1258"/>
      <c r="K1258"/>
      <c r="L1258"/>
    </row>
    <row r="1259" spans="1:12">
      <c r="A1259"/>
      <c r="B1259"/>
      <c r="C1259"/>
      <c r="D1259"/>
      <c r="E1259"/>
      <c r="F1259"/>
      <c r="G1259"/>
      <c r="H1259"/>
      <c r="I1259"/>
      <c r="J1259"/>
      <c r="K1259"/>
      <c r="L1259"/>
    </row>
    <row r="1260" spans="1:12">
      <c r="A1260"/>
      <c r="B1260"/>
      <c r="C1260"/>
      <c r="D1260"/>
      <c r="E1260"/>
      <c r="F1260"/>
      <c r="G1260"/>
      <c r="H1260"/>
      <c r="I1260"/>
      <c r="J1260"/>
      <c r="K1260"/>
      <c r="L1260"/>
    </row>
    <row r="1261" spans="1:12">
      <c r="A1261"/>
      <c r="B1261"/>
      <c r="C1261"/>
      <c r="D1261"/>
      <c r="E1261"/>
      <c r="F1261"/>
      <c r="G1261"/>
      <c r="H1261"/>
      <c r="I1261"/>
      <c r="J1261"/>
      <c r="K1261"/>
      <c r="L1261"/>
    </row>
    <row r="1262" spans="1:12">
      <c r="A1262"/>
      <c r="B1262"/>
      <c r="C1262"/>
      <c r="D1262"/>
      <c r="E1262"/>
      <c r="F1262"/>
      <c r="G1262"/>
      <c r="H1262"/>
      <c r="I1262"/>
      <c r="J1262"/>
      <c r="K1262"/>
      <c r="L1262"/>
    </row>
    <row r="1263" spans="1:12">
      <c r="A1263"/>
      <c r="B1263"/>
      <c r="C1263"/>
      <c r="D1263"/>
      <c r="E1263"/>
      <c r="F1263"/>
      <c r="G1263"/>
      <c r="H1263"/>
      <c r="I1263"/>
      <c r="J1263"/>
      <c r="K1263"/>
      <c r="L1263"/>
    </row>
    <row r="1264" spans="1:12">
      <c r="A1264"/>
      <c r="B1264"/>
      <c r="C1264"/>
      <c r="D1264"/>
      <c r="E1264"/>
      <c r="F1264"/>
      <c r="G1264"/>
    </row>
    <row r="1265" spans="1:7">
      <c r="A1265"/>
      <c r="B1265"/>
      <c r="C1265"/>
      <c r="D1265"/>
      <c r="E1265"/>
      <c r="F1265"/>
      <c r="G1265"/>
    </row>
    <row r="1266" spans="1:7">
      <c r="A1266"/>
      <c r="B1266"/>
      <c r="C1266"/>
      <c r="D1266"/>
      <c r="E1266"/>
      <c r="F1266"/>
      <c r="G1266"/>
    </row>
    <row r="1267" spans="1:7">
      <c r="A1267"/>
      <c r="B1267"/>
      <c r="C1267"/>
      <c r="D1267"/>
      <c r="E1267"/>
      <c r="F1267"/>
      <c r="G1267"/>
    </row>
    <row r="1268" spans="1:7">
      <c r="A1268"/>
      <c r="B1268"/>
      <c r="C1268"/>
      <c r="D1268"/>
      <c r="E1268"/>
      <c r="F1268"/>
      <c r="G1268"/>
    </row>
    <row r="1269" spans="1:7">
      <c r="A1269"/>
      <c r="B1269"/>
      <c r="C1269"/>
      <c r="D1269"/>
      <c r="E1269"/>
      <c r="F1269"/>
      <c r="G1269"/>
    </row>
    <row r="1270" spans="1:7">
      <c r="A1270"/>
      <c r="B1270"/>
      <c r="C1270"/>
      <c r="D1270"/>
      <c r="E1270"/>
      <c r="F1270"/>
      <c r="G1270"/>
    </row>
    <row r="1271" spans="1:7">
      <c r="A1271"/>
      <c r="B1271"/>
      <c r="C1271"/>
      <c r="D1271"/>
      <c r="E1271"/>
      <c r="F1271"/>
      <c r="G1271"/>
    </row>
    <row r="1272" spans="1:7">
      <c r="A1272"/>
      <c r="B1272"/>
      <c r="C1272"/>
      <c r="D1272"/>
      <c r="E1272"/>
      <c r="F1272"/>
      <c r="G1272"/>
    </row>
    <row r="1273" spans="1:7">
      <c r="A1273"/>
      <c r="B1273"/>
      <c r="C1273"/>
      <c r="D1273"/>
      <c r="E1273"/>
      <c r="F1273"/>
      <c r="G1273"/>
    </row>
    <row r="1274" spans="1:7">
      <c r="A1274"/>
      <c r="B1274"/>
      <c r="C1274"/>
      <c r="D1274"/>
      <c r="E1274"/>
      <c r="F1274"/>
      <c r="G1274"/>
    </row>
    <row r="1275" spans="1:7">
      <c r="A1275"/>
      <c r="B1275"/>
      <c r="C1275"/>
      <c r="D1275"/>
      <c r="E1275"/>
      <c r="F1275"/>
      <c r="G1275"/>
    </row>
    <row r="1276" spans="1:7">
      <c r="A1276"/>
      <c r="B1276"/>
      <c r="C1276"/>
      <c r="D1276"/>
      <c r="E1276"/>
      <c r="F1276"/>
      <c r="G1276"/>
    </row>
    <row r="1277" spans="1:7">
      <c r="A1277"/>
      <c r="B1277"/>
      <c r="C1277"/>
      <c r="D1277"/>
      <c r="E1277"/>
      <c r="F1277"/>
      <c r="G1277"/>
    </row>
    <row r="1278" spans="1:7">
      <c r="A1278"/>
      <c r="B1278"/>
      <c r="C1278"/>
      <c r="D1278"/>
      <c r="E1278"/>
      <c r="F1278"/>
      <c r="G1278"/>
    </row>
    <row r="1279" spans="1:7">
      <c r="A1279"/>
      <c r="B1279"/>
      <c r="C1279"/>
      <c r="D1279"/>
      <c r="E1279"/>
      <c r="F1279"/>
      <c r="G1279"/>
    </row>
    <row r="1280" spans="1:7">
      <c r="A1280"/>
      <c r="B1280"/>
      <c r="C1280"/>
      <c r="D1280"/>
      <c r="E1280"/>
      <c r="F1280"/>
      <c r="G1280"/>
    </row>
    <row r="1281" spans="1:7">
      <c r="A1281"/>
      <c r="B1281"/>
      <c r="C1281"/>
      <c r="D1281"/>
      <c r="E1281"/>
      <c r="F1281"/>
      <c r="G1281"/>
    </row>
    <row r="1282" spans="1:7">
      <c r="A1282"/>
      <c r="B1282"/>
      <c r="C1282"/>
      <c r="D1282"/>
      <c r="E1282"/>
      <c r="F1282"/>
      <c r="G1282"/>
    </row>
    <row r="1283" spans="1:7">
      <c r="A1283"/>
      <c r="B1283"/>
      <c r="C1283"/>
      <c r="D1283"/>
      <c r="E1283"/>
      <c r="F1283"/>
      <c r="G1283"/>
    </row>
    <row r="1284" spans="1:7">
      <c r="A1284"/>
      <c r="B1284"/>
      <c r="C1284"/>
      <c r="D1284"/>
      <c r="E1284"/>
      <c r="F1284"/>
      <c r="G1284"/>
    </row>
    <row r="1285" spans="1:7">
      <c r="A1285"/>
      <c r="B1285"/>
      <c r="C1285"/>
      <c r="D1285"/>
      <c r="E1285"/>
      <c r="F1285"/>
      <c r="G1285"/>
    </row>
    <row r="1286" spans="1:7">
      <c r="A1286"/>
      <c r="B1286"/>
      <c r="C1286"/>
      <c r="D1286"/>
      <c r="E1286"/>
      <c r="F1286"/>
      <c r="G1286"/>
    </row>
    <row r="1287" spans="1:7">
      <c r="A1287"/>
      <c r="B1287"/>
      <c r="C1287"/>
      <c r="D1287"/>
      <c r="E1287"/>
      <c r="F1287"/>
      <c r="G1287"/>
    </row>
    <row r="1288" spans="1:7">
      <c r="A1288"/>
      <c r="B1288"/>
      <c r="C1288"/>
      <c r="D1288"/>
      <c r="E1288"/>
      <c r="F1288"/>
      <c r="G1288"/>
    </row>
    <row r="1289" spans="1:7">
      <c r="A1289"/>
      <c r="B1289"/>
      <c r="C1289"/>
      <c r="D1289"/>
      <c r="E1289"/>
      <c r="F1289"/>
      <c r="G1289"/>
    </row>
    <row r="1290" spans="1:7">
      <c r="A1290"/>
      <c r="B1290"/>
      <c r="C1290"/>
      <c r="D1290"/>
      <c r="E1290"/>
      <c r="F1290"/>
      <c r="G1290"/>
    </row>
    <row r="1291" spans="1:7">
      <c r="A1291"/>
      <c r="B1291"/>
      <c r="C1291"/>
      <c r="D1291"/>
      <c r="E1291"/>
      <c r="F1291"/>
      <c r="G1291"/>
    </row>
    <row r="1292" spans="1:7">
      <c r="A1292"/>
      <c r="B1292"/>
      <c r="C1292"/>
      <c r="D1292"/>
      <c r="E1292"/>
      <c r="F1292"/>
      <c r="G1292"/>
    </row>
    <row r="1293" spans="1:7">
      <c r="A1293"/>
      <c r="B1293"/>
      <c r="C1293"/>
      <c r="D1293"/>
      <c r="E1293"/>
      <c r="F1293"/>
      <c r="G1293"/>
    </row>
    <row r="1294" spans="1:7">
      <c r="A1294"/>
      <c r="B1294"/>
      <c r="C1294"/>
      <c r="D1294"/>
      <c r="E1294"/>
      <c r="F1294"/>
      <c r="G1294"/>
    </row>
    <row r="1295" spans="1:7">
      <c r="A1295"/>
      <c r="B1295"/>
      <c r="C1295"/>
      <c r="D1295"/>
      <c r="E1295"/>
      <c r="F1295"/>
      <c r="G1295"/>
    </row>
    <row r="1296" spans="1:7">
      <c r="A1296"/>
      <c r="B1296"/>
      <c r="C1296"/>
      <c r="D1296"/>
      <c r="E1296"/>
      <c r="F1296"/>
      <c r="G1296"/>
    </row>
    <row r="1297" spans="1:7">
      <c r="A1297"/>
      <c r="B1297"/>
      <c r="C1297"/>
      <c r="D1297"/>
      <c r="E1297"/>
      <c r="F1297"/>
      <c r="G1297"/>
    </row>
    <row r="1298" spans="1:7">
      <c r="A1298"/>
      <c r="B1298"/>
      <c r="C1298"/>
      <c r="D1298"/>
      <c r="E1298"/>
      <c r="F1298"/>
      <c r="G1298"/>
    </row>
    <row r="1299" spans="1:7">
      <c r="A1299"/>
      <c r="B1299"/>
      <c r="C1299"/>
      <c r="D1299"/>
      <c r="E1299"/>
      <c r="F1299"/>
      <c r="G1299"/>
    </row>
    <row r="1300" spans="1:7">
      <c r="A1300"/>
      <c r="B1300"/>
      <c r="C1300"/>
      <c r="D1300"/>
      <c r="E1300"/>
      <c r="F1300"/>
      <c r="G1300"/>
    </row>
    <row r="1301" spans="1:7">
      <c r="A1301"/>
      <c r="B1301"/>
      <c r="C1301"/>
      <c r="D1301"/>
      <c r="E1301"/>
      <c r="F1301"/>
      <c r="G1301"/>
    </row>
    <row r="1302" spans="1:7">
      <c r="A1302"/>
      <c r="B1302"/>
      <c r="C1302"/>
      <c r="D1302"/>
      <c r="E1302"/>
      <c r="F1302"/>
      <c r="G1302"/>
    </row>
    <row r="1303" spans="1:7">
      <c r="A1303"/>
      <c r="B1303"/>
      <c r="C1303"/>
      <c r="D1303"/>
      <c r="E1303"/>
      <c r="F1303"/>
      <c r="G1303"/>
    </row>
    <row r="1304" spans="1:7">
      <c r="A1304"/>
      <c r="B1304"/>
      <c r="C1304"/>
      <c r="D1304"/>
      <c r="E1304"/>
      <c r="F1304"/>
      <c r="G1304"/>
    </row>
    <row r="1305" spans="1:7">
      <c r="A1305"/>
      <c r="B1305"/>
      <c r="C1305"/>
      <c r="D1305"/>
      <c r="E1305"/>
      <c r="F1305"/>
      <c r="G1305"/>
    </row>
    <row r="1306" spans="1:7">
      <c r="A1306"/>
      <c r="B1306"/>
      <c r="C1306"/>
      <c r="D1306"/>
      <c r="E1306"/>
      <c r="F1306"/>
      <c r="G1306"/>
    </row>
    <row r="1307" spans="1:7">
      <c r="A1307"/>
      <c r="B1307"/>
      <c r="C1307"/>
      <c r="D1307"/>
      <c r="E1307"/>
      <c r="F1307"/>
      <c r="G1307"/>
    </row>
    <row r="1308" spans="1:7">
      <c r="A1308"/>
      <c r="B1308"/>
      <c r="C1308"/>
      <c r="D1308"/>
      <c r="E1308"/>
      <c r="F1308"/>
      <c r="G1308"/>
    </row>
    <row r="1309" spans="1:7">
      <c r="A1309"/>
      <c r="B1309"/>
      <c r="C1309"/>
      <c r="D1309"/>
      <c r="E1309"/>
      <c r="F1309"/>
      <c r="G1309"/>
    </row>
    <row r="1310" spans="1:7">
      <c r="A1310"/>
      <c r="B1310"/>
      <c r="C1310"/>
      <c r="D1310"/>
      <c r="E1310"/>
      <c r="F1310"/>
      <c r="G1310"/>
    </row>
    <row r="1311" spans="1:7">
      <c r="A1311"/>
      <c r="B1311"/>
      <c r="C1311"/>
      <c r="D1311"/>
      <c r="E1311"/>
      <c r="F1311"/>
      <c r="G1311"/>
    </row>
    <row r="1312" spans="1:7">
      <c r="A1312"/>
      <c r="B1312"/>
      <c r="C1312"/>
      <c r="D1312"/>
      <c r="E1312"/>
      <c r="F1312"/>
      <c r="G1312"/>
    </row>
    <row r="1313" spans="1:7">
      <c r="A1313"/>
      <c r="B1313"/>
      <c r="C1313"/>
      <c r="D1313"/>
      <c r="E1313"/>
      <c r="F1313"/>
      <c r="G1313"/>
    </row>
    <row r="1314" spans="1:7">
      <c r="A1314"/>
      <c r="B1314"/>
      <c r="C1314"/>
      <c r="D1314"/>
      <c r="E1314"/>
      <c r="F1314"/>
      <c r="G1314"/>
    </row>
    <row r="1315" spans="1:7">
      <c r="A1315"/>
      <c r="B1315"/>
      <c r="C1315"/>
      <c r="D1315"/>
      <c r="E1315"/>
      <c r="F1315"/>
      <c r="G1315"/>
    </row>
    <row r="1316" spans="1:7">
      <c r="A1316"/>
      <c r="B1316"/>
      <c r="C1316"/>
      <c r="D1316"/>
      <c r="E1316"/>
      <c r="F1316"/>
      <c r="G1316"/>
    </row>
    <row r="1317" spans="1:7">
      <c r="A1317"/>
      <c r="B1317"/>
      <c r="C1317"/>
      <c r="D1317"/>
      <c r="E1317"/>
      <c r="F1317"/>
      <c r="G1317"/>
    </row>
    <row r="1318" spans="1:7">
      <c r="A1318"/>
      <c r="B1318"/>
      <c r="C1318"/>
      <c r="D1318"/>
      <c r="E1318"/>
      <c r="F1318"/>
      <c r="G1318"/>
    </row>
    <row r="1319" spans="1:7">
      <c r="A1319"/>
      <c r="B1319"/>
      <c r="C1319"/>
      <c r="D1319"/>
      <c r="E1319"/>
      <c r="F1319"/>
      <c r="G1319"/>
    </row>
    <row r="1320" spans="1:7">
      <c r="A1320"/>
      <c r="B1320"/>
      <c r="C1320"/>
      <c r="D1320"/>
      <c r="E1320"/>
      <c r="F1320"/>
      <c r="G1320"/>
    </row>
    <row r="1321" spans="1:7">
      <c r="A1321"/>
      <c r="B1321"/>
      <c r="C1321"/>
      <c r="D1321"/>
      <c r="E1321"/>
      <c r="F1321"/>
      <c r="G1321"/>
    </row>
    <row r="1322" spans="1:7">
      <c r="A1322"/>
      <c r="B1322"/>
      <c r="C1322"/>
      <c r="D1322"/>
      <c r="E1322"/>
      <c r="F1322"/>
      <c r="G1322"/>
    </row>
    <row r="1323" spans="1:7">
      <c r="A1323"/>
      <c r="B1323"/>
      <c r="C1323"/>
      <c r="D1323"/>
      <c r="E1323"/>
      <c r="F1323"/>
      <c r="G1323"/>
    </row>
    <row r="1324" spans="1:7">
      <c r="A1324"/>
      <c r="B1324"/>
      <c r="C1324"/>
      <c r="D1324"/>
      <c r="E1324"/>
      <c r="F1324"/>
      <c r="G1324"/>
    </row>
    <row r="1325" spans="1:7">
      <c r="A1325"/>
      <c r="B1325"/>
      <c r="C1325"/>
      <c r="D1325"/>
      <c r="E1325"/>
      <c r="F1325"/>
      <c r="G1325"/>
    </row>
    <row r="1326" spans="1:7">
      <c r="A1326"/>
      <c r="B1326"/>
      <c r="C1326"/>
      <c r="D1326"/>
      <c r="E1326"/>
      <c r="F1326"/>
      <c r="G1326"/>
    </row>
    <row r="1327" spans="1:7">
      <c r="A1327"/>
      <c r="B1327"/>
      <c r="C1327"/>
      <c r="D1327"/>
      <c r="E1327"/>
      <c r="F1327"/>
      <c r="G1327"/>
    </row>
    <row r="1328" spans="1:7">
      <c r="A1328"/>
      <c r="B1328"/>
      <c r="C1328"/>
      <c r="D1328"/>
      <c r="E1328"/>
      <c r="F1328"/>
      <c r="G1328"/>
    </row>
    <row r="1329" spans="1:7">
      <c r="A1329"/>
      <c r="B1329"/>
      <c r="C1329"/>
      <c r="D1329"/>
      <c r="E1329"/>
      <c r="F1329"/>
      <c r="G1329"/>
    </row>
    <row r="1330" spans="1:7">
      <c r="A1330"/>
      <c r="B1330"/>
      <c r="C1330"/>
      <c r="D1330"/>
      <c r="E1330"/>
      <c r="F1330"/>
      <c r="G1330"/>
    </row>
    <row r="1331" spans="1:7">
      <c r="A1331"/>
      <c r="B1331"/>
      <c r="C1331"/>
      <c r="D1331"/>
      <c r="E1331"/>
      <c r="F1331"/>
      <c r="G1331"/>
    </row>
    <row r="1332" spans="1:7">
      <c r="A1332"/>
      <c r="B1332"/>
      <c r="C1332"/>
      <c r="D1332"/>
      <c r="E1332"/>
      <c r="F1332"/>
      <c r="G1332"/>
    </row>
    <row r="1333" spans="1:7">
      <c r="A1333"/>
      <c r="B1333"/>
      <c r="C1333"/>
      <c r="D1333"/>
      <c r="E1333"/>
      <c r="F1333"/>
      <c r="G1333"/>
    </row>
    <row r="1334" spans="1:7">
      <c r="A1334"/>
      <c r="B1334"/>
      <c r="C1334"/>
      <c r="D1334"/>
      <c r="E1334"/>
      <c r="F1334"/>
      <c r="G1334"/>
    </row>
    <row r="1335" spans="1:7">
      <c r="A1335"/>
      <c r="B1335"/>
      <c r="C1335"/>
      <c r="D1335"/>
      <c r="E1335"/>
      <c r="F1335"/>
      <c r="G1335"/>
    </row>
    <row r="1336" spans="1:7">
      <c r="A1336"/>
      <c r="B1336"/>
      <c r="C1336"/>
      <c r="D1336"/>
      <c r="E1336"/>
      <c r="F1336"/>
      <c r="G1336"/>
    </row>
    <row r="1337" spans="1:7">
      <c r="A1337"/>
      <c r="B1337"/>
      <c r="C1337"/>
      <c r="D1337"/>
      <c r="E1337"/>
      <c r="F1337"/>
      <c r="G1337"/>
    </row>
    <row r="1338" spans="1:7">
      <c r="A1338"/>
      <c r="B1338"/>
      <c r="C1338"/>
      <c r="D1338"/>
      <c r="E1338"/>
      <c r="F1338"/>
      <c r="G1338"/>
    </row>
    <row r="1339" spans="1:7">
      <c r="A1339"/>
      <c r="B1339"/>
      <c r="C1339"/>
      <c r="D1339"/>
      <c r="E1339"/>
      <c r="F1339"/>
      <c r="G1339"/>
    </row>
    <row r="1340" spans="1:7">
      <c r="A1340"/>
      <c r="B1340"/>
      <c r="C1340"/>
      <c r="D1340"/>
      <c r="E1340"/>
      <c r="F1340"/>
      <c r="G1340"/>
    </row>
    <row r="1341" spans="1:7">
      <c r="A1341"/>
      <c r="B1341"/>
      <c r="C1341"/>
      <c r="D1341"/>
      <c r="E1341"/>
      <c r="F1341"/>
      <c r="G1341"/>
    </row>
    <row r="1342" spans="1:7">
      <c r="A1342"/>
      <c r="B1342"/>
      <c r="C1342"/>
      <c r="D1342"/>
      <c r="E1342"/>
      <c r="F1342"/>
      <c r="G1342"/>
    </row>
    <row r="1343" spans="1:7">
      <c r="A1343"/>
      <c r="B1343"/>
      <c r="C1343"/>
      <c r="D1343"/>
      <c r="E1343"/>
      <c r="F1343"/>
      <c r="G1343"/>
    </row>
    <row r="1344" spans="1:7">
      <c r="A1344"/>
      <c r="B1344"/>
      <c r="C1344"/>
      <c r="D1344"/>
      <c r="E1344"/>
      <c r="F1344"/>
      <c r="G1344"/>
    </row>
    <row r="1345" spans="1:7">
      <c r="A1345"/>
      <c r="B1345"/>
      <c r="C1345"/>
      <c r="D1345"/>
      <c r="E1345"/>
      <c r="F1345"/>
      <c r="G1345"/>
    </row>
    <row r="1346" spans="1:7">
      <c r="A1346"/>
      <c r="B1346"/>
      <c r="C1346"/>
      <c r="D1346"/>
      <c r="E1346"/>
      <c r="F1346"/>
      <c r="G1346"/>
    </row>
    <row r="1347" spans="1:7">
      <c r="A1347"/>
      <c r="B1347"/>
      <c r="C1347"/>
      <c r="D1347"/>
      <c r="E1347"/>
      <c r="F1347"/>
      <c r="G1347"/>
    </row>
    <row r="1348" spans="1:7">
      <c r="A1348"/>
      <c r="B1348"/>
      <c r="C1348"/>
      <c r="D1348"/>
      <c r="E1348"/>
      <c r="F1348"/>
      <c r="G1348"/>
    </row>
    <row r="1349" spans="1:7">
      <c r="A1349"/>
      <c r="B1349"/>
      <c r="C1349"/>
      <c r="D1349"/>
      <c r="E1349"/>
      <c r="F1349"/>
      <c r="G1349"/>
    </row>
    <row r="1350" spans="1:7">
      <c r="A1350"/>
      <c r="B1350"/>
      <c r="C1350"/>
      <c r="D1350"/>
      <c r="E1350"/>
      <c r="F1350"/>
      <c r="G1350"/>
    </row>
    <row r="1351" spans="1:7">
      <c r="A1351"/>
      <c r="B1351"/>
      <c r="C1351"/>
      <c r="D1351"/>
      <c r="E1351"/>
      <c r="F1351"/>
      <c r="G1351"/>
    </row>
    <row r="1352" spans="1:7">
      <c r="A1352"/>
      <c r="B1352"/>
      <c r="C1352"/>
      <c r="D1352"/>
      <c r="E1352"/>
      <c r="F1352"/>
      <c r="G1352"/>
    </row>
    <row r="1353" spans="1:7">
      <c r="A1353"/>
      <c r="B1353"/>
      <c r="C1353"/>
      <c r="D1353"/>
      <c r="E1353"/>
      <c r="F1353"/>
      <c r="G1353"/>
    </row>
    <row r="1354" spans="1:7">
      <c r="A1354"/>
      <c r="B1354"/>
      <c r="C1354"/>
      <c r="D1354"/>
      <c r="E1354"/>
      <c r="F1354"/>
      <c r="G1354"/>
    </row>
    <row r="1355" spans="1:7">
      <c r="A1355"/>
      <c r="B1355"/>
      <c r="C1355"/>
      <c r="D1355"/>
      <c r="E1355"/>
      <c r="F1355"/>
      <c r="G1355"/>
    </row>
    <row r="1356" spans="1:7">
      <c r="A1356"/>
      <c r="B1356"/>
      <c r="C1356"/>
      <c r="D1356"/>
      <c r="E1356"/>
      <c r="F1356"/>
      <c r="G1356"/>
    </row>
    <row r="1357" spans="1:7">
      <c r="A1357"/>
      <c r="B1357"/>
      <c r="C1357"/>
      <c r="D1357"/>
      <c r="E1357"/>
      <c r="F1357"/>
      <c r="G1357"/>
    </row>
    <row r="1358" spans="1:7">
      <c r="A1358"/>
      <c r="B1358"/>
      <c r="C1358"/>
      <c r="D1358"/>
      <c r="E1358"/>
      <c r="F1358"/>
      <c r="G1358"/>
    </row>
    <row r="1359" spans="1:7">
      <c r="A1359"/>
      <c r="B1359"/>
      <c r="C1359"/>
      <c r="D1359"/>
      <c r="E1359"/>
      <c r="F1359"/>
      <c r="G1359"/>
    </row>
    <row r="1360" spans="1:7">
      <c r="A1360"/>
      <c r="B1360"/>
      <c r="C1360"/>
      <c r="D1360"/>
      <c r="E1360"/>
      <c r="F1360"/>
      <c r="G1360"/>
    </row>
    <row r="1361" spans="1:7">
      <c r="A1361"/>
      <c r="B1361"/>
      <c r="C1361"/>
      <c r="D1361"/>
      <c r="E1361"/>
      <c r="F1361"/>
      <c r="G1361"/>
    </row>
    <row r="1362" spans="1:7">
      <c r="A1362"/>
      <c r="B1362"/>
      <c r="C1362"/>
      <c r="D1362"/>
      <c r="E1362"/>
      <c r="F1362"/>
      <c r="G1362"/>
    </row>
    <row r="1363" spans="1:7">
      <c r="A1363"/>
      <c r="B1363"/>
      <c r="C1363"/>
      <c r="D1363"/>
      <c r="E1363"/>
      <c r="F1363"/>
      <c r="G1363"/>
    </row>
    <row r="1364" spans="1:7">
      <c r="A1364"/>
      <c r="B1364"/>
      <c r="C1364"/>
      <c r="D1364"/>
      <c r="E1364"/>
      <c r="F1364"/>
      <c r="G1364"/>
    </row>
    <row r="1365" spans="1:7">
      <c r="A1365"/>
      <c r="B1365"/>
      <c r="C1365"/>
      <c r="D1365"/>
      <c r="E1365"/>
      <c r="F1365"/>
      <c r="G1365"/>
    </row>
    <row r="1366" spans="1:7">
      <c r="A1366"/>
      <c r="B1366"/>
      <c r="C1366"/>
      <c r="D1366"/>
      <c r="E1366"/>
      <c r="F1366"/>
      <c r="G1366"/>
    </row>
    <row r="1367" spans="1:7">
      <c r="A1367"/>
      <c r="B1367"/>
      <c r="C1367"/>
      <c r="D1367"/>
      <c r="E1367"/>
      <c r="F1367"/>
      <c r="G1367"/>
    </row>
    <row r="1368" spans="1:7">
      <c r="A1368"/>
      <c r="B1368"/>
      <c r="C1368"/>
      <c r="D1368"/>
      <c r="E1368"/>
      <c r="F1368"/>
      <c r="G1368"/>
    </row>
    <row r="1369" spans="1:7">
      <c r="A1369"/>
      <c r="B1369"/>
      <c r="C1369"/>
      <c r="D1369"/>
      <c r="E1369"/>
      <c r="F1369"/>
      <c r="G1369"/>
    </row>
    <row r="1370" spans="1:7">
      <c r="A1370"/>
      <c r="B1370"/>
      <c r="C1370"/>
      <c r="D1370"/>
      <c r="E1370"/>
      <c r="F1370"/>
      <c r="G1370"/>
    </row>
    <row r="1371" spans="1:7">
      <c r="A1371"/>
      <c r="B1371"/>
      <c r="C1371"/>
      <c r="D1371"/>
      <c r="E1371"/>
      <c r="F1371"/>
      <c r="G1371"/>
    </row>
    <row r="1372" spans="1:7">
      <c r="A1372"/>
      <c r="B1372"/>
      <c r="C1372"/>
      <c r="D1372"/>
      <c r="E1372"/>
      <c r="F1372"/>
      <c r="G1372"/>
    </row>
    <row r="1373" spans="1:7">
      <c r="A1373"/>
      <c r="B1373"/>
      <c r="C1373"/>
      <c r="D1373"/>
      <c r="E1373"/>
      <c r="F1373"/>
      <c r="G1373"/>
    </row>
    <row r="1374" spans="1:7">
      <c r="A1374"/>
      <c r="B1374"/>
      <c r="C1374"/>
      <c r="D1374"/>
      <c r="E1374"/>
      <c r="F1374"/>
      <c r="G1374"/>
    </row>
    <row r="1375" spans="1:7">
      <c r="A1375"/>
      <c r="B1375"/>
      <c r="C1375"/>
      <c r="D1375"/>
      <c r="E1375"/>
      <c r="F1375"/>
      <c r="G1375"/>
    </row>
    <row r="1376" spans="1:7">
      <c r="A1376"/>
      <c r="B1376"/>
      <c r="C1376"/>
      <c r="D1376"/>
      <c r="E1376"/>
      <c r="F1376"/>
      <c r="G1376"/>
    </row>
    <row r="1377" spans="1:7">
      <c r="A1377"/>
      <c r="B1377"/>
      <c r="C1377"/>
      <c r="D1377"/>
      <c r="E1377"/>
      <c r="F1377"/>
      <c r="G1377"/>
    </row>
    <row r="1378" spans="1:7">
      <c r="A1378"/>
      <c r="B1378"/>
      <c r="C1378"/>
      <c r="D1378"/>
      <c r="E1378"/>
      <c r="F1378"/>
      <c r="G1378"/>
    </row>
    <row r="1379" spans="1:7">
      <c r="A1379"/>
      <c r="B1379"/>
      <c r="C1379"/>
      <c r="D1379"/>
      <c r="E1379"/>
      <c r="F1379"/>
      <c r="G1379"/>
    </row>
    <row r="1380" spans="1:7">
      <c r="A1380"/>
      <c r="B1380"/>
      <c r="C1380"/>
      <c r="D1380"/>
      <c r="E1380"/>
      <c r="F1380"/>
      <c r="G1380"/>
    </row>
    <row r="1381" spans="1:7">
      <c r="A1381"/>
      <c r="B1381"/>
      <c r="C1381"/>
      <c r="D1381"/>
      <c r="E1381"/>
      <c r="F1381"/>
      <c r="G1381"/>
    </row>
    <row r="1382" spans="1:7">
      <c r="A1382"/>
      <c r="B1382"/>
      <c r="C1382"/>
      <c r="D1382"/>
      <c r="E1382"/>
      <c r="F1382"/>
      <c r="G1382"/>
    </row>
    <row r="1383" spans="1:7">
      <c r="A1383"/>
      <c r="B1383"/>
      <c r="C1383"/>
      <c r="D1383"/>
      <c r="E1383"/>
      <c r="F1383"/>
      <c r="G1383"/>
    </row>
    <row r="1384" spans="1:7">
      <c r="A1384"/>
      <c r="B1384"/>
      <c r="C1384"/>
      <c r="D1384"/>
      <c r="E1384"/>
      <c r="F1384"/>
      <c r="G1384"/>
    </row>
    <row r="1385" spans="1:7">
      <c r="A1385"/>
      <c r="B1385"/>
      <c r="C1385"/>
      <c r="D1385"/>
      <c r="E1385"/>
      <c r="F1385"/>
      <c r="G1385"/>
    </row>
    <row r="1386" spans="1:7">
      <c r="A1386"/>
      <c r="B1386"/>
      <c r="C1386"/>
      <c r="D1386"/>
      <c r="E1386"/>
      <c r="F1386"/>
      <c r="G1386"/>
    </row>
    <row r="1387" spans="1:7">
      <c r="A1387"/>
      <c r="B1387"/>
      <c r="C1387"/>
      <c r="D1387"/>
      <c r="E1387"/>
      <c r="F1387"/>
      <c r="G1387"/>
    </row>
    <row r="1388" spans="1:7">
      <c r="A1388"/>
      <c r="B1388"/>
      <c r="C1388"/>
      <c r="D1388"/>
      <c r="E1388"/>
      <c r="F1388"/>
      <c r="G1388"/>
    </row>
    <row r="1389" spans="1:7">
      <c r="A1389"/>
      <c r="B1389"/>
      <c r="C1389"/>
      <c r="D1389"/>
      <c r="E1389"/>
      <c r="F1389"/>
      <c r="G1389"/>
    </row>
    <row r="1390" spans="1:7">
      <c r="A1390"/>
      <c r="B1390"/>
      <c r="C1390"/>
      <c r="D1390"/>
      <c r="E1390"/>
      <c r="F1390"/>
      <c r="G1390"/>
    </row>
    <row r="1391" spans="1:7">
      <c r="A1391"/>
      <c r="B1391"/>
      <c r="C1391"/>
      <c r="D1391"/>
      <c r="E1391"/>
      <c r="F1391"/>
      <c r="G1391"/>
    </row>
    <row r="1392" spans="1:7">
      <c r="A1392"/>
      <c r="B1392"/>
      <c r="C1392"/>
      <c r="D1392"/>
      <c r="E1392"/>
      <c r="F1392"/>
      <c r="G1392"/>
    </row>
    <row r="1393" spans="1:7">
      <c r="A1393"/>
      <c r="B1393"/>
      <c r="C1393"/>
      <c r="D1393"/>
      <c r="E1393"/>
      <c r="F1393"/>
      <c r="G1393"/>
    </row>
    <row r="1394" spans="1:7">
      <c r="A1394"/>
      <c r="B1394"/>
      <c r="C1394"/>
      <c r="D1394"/>
      <c r="E1394"/>
      <c r="F1394"/>
      <c r="G1394"/>
    </row>
    <row r="1395" spans="1:7">
      <c r="A1395"/>
      <c r="B1395"/>
      <c r="C1395"/>
      <c r="D1395"/>
      <c r="E1395"/>
      <c r="F1395"/>
      <c r="G1395"/>
    </row>
    <row r="1396" spans="1:7">
      <c r="A1396"/>
      <c r="B1396"/>
      <c r="C1396"/>
      <c r="D1396"/>
      <c r="E1396"/>
      <c r="F1396"/>
      <c r="G1396"/>
    </row>
    <row r="1397" spans="1:7">
      <c r="A1397"/>
      <c r="B1397"/>
      <c r="C1397"/>
      <c r="D1397"/>
      <c r="E1397"/>
      <c r="F1397"/>
      <c r="G1397"/>
    </row>
    <row r="1398" spans="1:7">
      <c r="A1398"/>
      <c r="B1398"/>
      <c r="C1398"/>
      <c r="D1398"/>
      <c r="E1398"/>
      <c r="F1398"/>
      <c r="G1398"/>
    </row>
    <row r="1399" spans="1:7">
      <c r="A1399"/>
      <c r="B1399"/>
      <c r="C1399"/>
      <c r="D1399"/>
      <c r="E1399"/>
      <c r="F1399"/>
      <c r="G1399"/>
    </row>
    <row r="1400" spans="1:7">
      <c r="A1400"/>
      <c r="B1400"/>
      <c r="C1400"/>
      <c r="D1400"/>
      <c r="E1400"/>
      <c r="F1400"/>
      <c r="G1400"/>
    </row>
    <row r="1401" spans="1:7">
      <c r="A1401"/>
      <c r="B1401"/>
      <c r="C1401"/>
      <c r="D1401"/>
      <c r="E1401"/>
      <c r="F1401"/>
      <c r="G1401"/>
    </row>
    <row r="1402" spans="1:7">
      <c r="A1402"/>
      <c r="B1402"/>
      <c r="C1402"/>
      <c r="D1402"/>
      <c r="E1402"/>
      <c r="F1402"/>
      <c r="G1402"/>
    </row>
    <row r="1403" spans="1:7">
      <c r="A1403"/>
      <c r="B1403"/>
      <c r="C1403"/>
      <c r="D1403"/>
      <c r="E1403"/>
      <c r="F1403"/>
      <c r="G1403"/>
    </row>
    <row r="1404" spans="1:7">
      <c r="A1404"/>
      <c r="B1404"/>
      <c r="C1404"/>
      <c r="D1404"/>
      <c r="E1404"/>
      <c r="F1404"/>
      <c r="G1404"/>
    </row>
    <row r="1405" spans="1:7">
      <c r="A1405"/>
      <c r="B1405"/>
      <c r="C1405"/>
      <c r="D1405"/>
      <c r="E1405"/>
      <c r="F1405"/>
      <c r="G1405"/>
    </row>
    <row r="1406" spans="1:7">
      <c r="A1406"/>
      <c r="B1406"/>
      <c r="C1406"/>
      <c r="D1406"/>
      <c r="E1406"/>
      <c r="F1406"/>
      <c r="G1406"/>
    </row>
    <row r="1407" spans="1:7">
      <c r="A1407"/>
      <c r="B1407"/>
      <c r="C1407"/>
      <c r="D1407"/>
      <c r="E1407"/>
      <c r="F1407"/>
      <c r="G1407"/>
    </row>
    <row r="1408" spans="1:7">
      <c r="A1408"/>
      <c r="B1408"/>
      <c r="C1408"/>
      <c r="D1408"/>
      <c r="E1408"/>
      <c r="F1408"/>
      <c r="G1408"/>
    </row>
    <row r="1409" spans="1:7">
      <c r="A1409"/>
      <c r="B1409"/>
      <c r="C1409"/>
      <c r="D1409"/>
      <c r="E1409"/>
      <c r="F1409"/>
      <c r="G1409"/>
    </row>
    <row r="1410" spans="1:7">
      <c r="A1410"/>
      <c r="B1410"/>
      <c r="C1410"/>
      <c r="D1410"/>
      <c r="E1410"/>
      <c r="F1410"/>
      <c r="G1410"/>
    </row>
    <row r="1411" spans="1:7">
      <c r="A1411"/>
      <c r="B1411"/>
      <c r="C1411"/>
      <c r="D1411"/>
      <c r="E1411"/>
      <c r="F1411"/>
      <c r="G1411"/>
    </row>
    <row r="1412" spans="1:7">
      <c r="A1412"/>
      <c r="B1412"/>
      <c r="C1412"/>
      <c r="D1412"/>
      <c r="E1412"/>
      <c r="F1412"/>
      <c r="G1412"/>
    </row>
    <row r="1413" spans="1:7">
      <c r="A1413"/>
      <c r="B1413"/>
      <c r="C1413"/>
      <c r="D1413"/>
      <c r="E1413"/>
      <c r="F1413"/>
      <c r="G1413"/>
    </row>
    <row r="1414" spans="1:7">
      <c r="A1414"/>
      <c r="B1414"/>
      <c r="C1414"/>
      <c r="D1414"/>
      <c r="E1414"/>
      <c r="F1414"/>
      <c r="G1414"/>
    </row>
    <row r="1415" spans="1:7">
      <c r="A1415"/>
      <c r="B1415"/>
      <c r="C1415"/>
      <c r="D1415"/>
      <c r="E1415"/>
      <c r="F1415"/>
      <c r="G1415"/>
    </row>
    <row r="1416" spans="1:7">
      <c r="A1416"/>
      <c r="B1416"/>
      <c r="C1416"/>
      <c r="D1416"/>
      <c r="E1416"/>
      <c r="F1416"/>
      <c r="G1416"/>
    </row>
    <row r="1417" spans="1:7">
      <c r="A1417"/>
      <c r="B1417"/>
      <c r="C1417"/>
      <c r="D1417"/>
      <c r="E1417"/>
      <c r="F1417"/>
      <c r="G1417"/>
    </row>
    <row r="1418" spans="1:7">
      <c r="A1418"/>
      <c r="B1418"/>
      <c r="C1418"/>
      <c r="D1418"/>
      <c r="E1418"/>
      <c r="F1418"/>
      <c r="G1418"/>
    </row>
    <row r="1419" spans="1:7">
      <c r="A1419"/>
      <c r="B1419"/>
      <c r="C1419"/>
      <c r="D1419"/>
      <c r="E1419"/>
      <c r="F1419"/>
      <c r="G1419"/>
    </row>
    <row r="1420" spans="1:7">
      <c r="A1420"/>
      <c r="B1420"/>
      <c r="C1420"/>
      <c r="D1420"/>
      <c r="E1420"/>
      <c r="F1420"/>
      <c r="G1420"/>
    </row>
    <row r="1421" spans="1:7">
      <c r="A1421"/>
      <c r="B1421"/>
      <c r="C1421"/>
      <c r="D1421"/>
      <c r="E1421"/>
      <c r="F1421"/>
      <c r="G1421"/>
    </row>
    <row r="1422" spans="1:7">
      <c r="A1422"/>
      <c r="B1422"/>
      <c r="C1422"/>
      <c r="D1422"/>
      <c r="E1422"/>
      <c r="F1422"/>
      <c r="G1422"/>
    </row>
    <row r="1423" spans="1:7">
      <c r="A1423"/>
      <c r="B1423"/>
      <c r="C1423"/>
      <c r="D1423"/>
      <c r="E1423"/>
      <c r="F1423"/>
      <c r="G1423"/>
    </row>
    <row r="1424" spans="1:7">
      <c r="A1424"/>
      <c r="B1424"/>
      <c r="C1424"/>
      <c r="D1424"/>
      <c r="E1424"/>
      <c r="F1424"/>
      <c r="G1424"/>
    </row>
    <row r="1425" spans="1:7">
      <c r="A1425"/>
      <c r="B1425"/>
      <c r="C1425"/>
      <c r="D1425"/>
      <c r="E1425"/>
      <c r="F1425"/>
      <c r="G1425"/>
    </row>
    <row r="1426" spans="1:7">
      <c r="A1426"/>
      <c r="B1426"/>
      <c r="C1426"/>
      <c r="D1426"/>
      <c r="E1426"/>
      <c r="F1426"/>
      <c r="G1426"/>
    </row>
    <row r="1427" spans="1:7">
      <c r="A1427"/>
      <c r="B1427"/>
      <c r="C1427"/>
      <c r="D1427"/>
      <c r="E1427"/>
      <c r="F1427"/>
      <c r="G1427"/>
    </row>
    <row r="1428" spans="1:7">
      <c r="A1428"/>
      <c r="B1428"/>
      <c r="C1428"/>
      <c r="D1428"/>
      <c r="E1428"/>
      <c r="F1428"/>
      <c r="G1428"/>
    </row>
    <row r="1429" spans="1:7">
      <c r="A1429"/>
      <c r="B1429"/>
      <c r="C1429"/>
      <c r="D1429"/>
      <c r="E1429"/>
      <c r="F1429"/>
      <c r="G1429"/>
    </row>
    <row r="1430" spans="1:7">
      <c r="A1430"/>
      <c r="B1430"/>
      <c r="C1430"/>
      <c r="D1430"/>
      <c r="E1430"/>
      <c r="F1430"/>
      <c r="G1430"/>
    </row>
    <row r="1431" spans="1:7">
      <c r="A1431"/>
      <c r="B1431"/>
      <c r="C1431"/>
      <c r="D1431"/>
      <c r="E1431"/>
      <c r="F1431"/>
      <c r="G1431"/>
    </row>
    <row r="1432" spans="1:7">
      <c r="A1432"/>
      <c r="B1432"/>
      <c r="C1432"/>
      <c r="D1432"/>
      <c r="E1432"/>
      <c r="F1432"/>
      <c r="G1432"/>
    </row>
    <row r="1433" spans="1:7">
      <c r="A1433"/>
      <c r="B1433"/>
      <c r="C1433"/>
      <c r="D1433"/>
      <c r="E1433"/>
      <c r="F1433"/>
      <c r="G1433"/>
    </row>
    <row r="1434" spans="1:7">
      <c r="A1434"/>
      <c r="B1434"/>
      <c r="C1434"/>
      <c r="D1434"/>
      <c r="E1434"/>
      <c r="F1434"/>
      <c r="G1434"/>
    </row>
    <row r="1435" spans="1:7">
      <c r="A1435"/>
      <c r="B1435"/>
      <c r="C1435"/>
      <c r="D1435"/>
      <c r="E1435"/>
      <c r="F1435"/>
      <c r="G1435"/>
    </row>
    <row r="1436" spans="1:7">
      <c r="A1436"/>
      <c r="B1436"/>
      <c r="C1436"/>
      <c r="D1436"/>
      <c r="E1436"/>
      <c r="F1436"/>
      <c r="G1436"/>
    </row>
    <row r="1437" spans="1:7">
      <c r="A1437"/>
      <c r="B1437"/>
      <c r="C1437"/>
      <c r="D1437"/>
      <c r="E1437"/>
      <c r="F1437"/>
      <c r="G1437"/>
    </row>
    <row r="1438" spans="1:7">
      <c r="A1438"/>
      <c r="B1438"/>
      <c r="C1438"/>
      <c r="D1438"/>
      <c r="E1438"/>
      <c r="F1438"/>
      <c r="G1438"/>
    </row>
    <row r="1439" spans="1:7">
      <c r="A1439"/>
      <c r="B1439"/>
      <c r="C1439"/>
      <c r="D1439"/>
      <c r="E1439"/>
      <c r="F1439"/>
      <c r="G1439"/>
    </row>
    <row r="1440" spans="1:7">
      <c r="A1440"/>
      <c r="B1440"/>
      <c r="C1440"/>
      <c r="D1440"/>
      <c r="E1440"/>
      <c r="F1440"/>
      <c r="G1440"/>
    </row>
    <row r="1441" spans="1:7">
      <c r="A1441"/>
      <c r="B1441"/>
      <c r="C1441"/>
      <c r="D1441"/>
      <c r="E1441"/>
      <c r="F1441"/>
      <c r="G1441"/>
    </row>
    <row r="1442" spans="1:7">
      <c r="A1442"/>
      <c r="B1442"/>
      <c r="C1442"/>
      <c r="D1442"/>
      <c r="E1442"/>
      <c r="F1442"/>
      <c r="G1442"/>
    </row>
    <row r="1443" spans="1:7">
      <c r="A1443"/>
      <c r="B1443"/>
      <c r="C1443"/>
      <c r="D1443"/>
      <c r="E1443"/>
      <c r="F1443"/>
      <c r="G1443"/>
    </row>
    <row r="1444" spans="1:7">
      <c r="A1444"/>
      <c r="B1444"/>
      <c r="C1444"/>
      <c r="D1444"/>
      <c r="E1444"/>
      <c r="F1444"/>
      <c r="G1444"/>
    </row>
    <row r="1445" spans="1:7">
      <c r="A1445"/>
      <c r="B1445"/>
      <c r="C1445"/>
      <c r="D1445"/>
      <c r="E1445"/>
      <c r="F1445"/>
      <c r="G1445"/>
    </row>
    <row r="1446" spans="1:7">
      <c r="A1446"/>
      <c r="B1446"/>
      <c r="C1446"/>
      <c r="D1446"/>
      <c r="E1446"/>
      <c r="F1446"/>
      <c r="G1446"/>
    </row>
    <row r="1447" spans="1:7">
      <c r="A1447"/>
      <c r="B1447"/>
      <c r="C1447"/>
      <c r="D1447"/>
      <c r="E1447"/>
      <c r="F1447"/>
      <c r="G1447"/>
    </row>
    <row r="1448" spans="1:7">
      <c r="A1448"/>
      <c r="B1448"/>
      <c r="C1448"/>
      <c r="D1448"/>
      <c r="E1448"/>
      <c r="F1448"/>
      <c r="G1448"/>
    </row>
    <row r="1449" spans="1:7">
      <c r="A1449"/>
      <c r="B1449"/>
      <c r="C1449"/>
      <c r="D1449"/>
      <c r="E1449"/>
      <c r="F1449"/>
      <c r="G1449"/>
    </row>
    <row r="1450" spans="1:7">
      <c r="A1450"/>
      <c r="B1450"/>
      <c r="C1450"/>
      <c r="D1450"/>
      <c r="E1450"/>
      <c r="F1450"/>
      <c r="G1450"/>
    </row>
    <row r="1451" spans="1:7">
      <c r="A1451"/>
      <c r="B1451"/>
      <c r="C1451"/>
      <c r="D1451"/>
      <c r="E1451"/>
      <c r="F1451"/>
      <c r="G1451"/>
    </row>
    <row r="1452" spans="1:7">
      <c r="A1452"/>
      <c r="B1452"/>
      <c r="C1452"/>
      <c r="D1452"/>
      <c r="E1452"/>
      <c r="F1452"/>
      <c r="G1452"/>
    </row>
    <row r="1453" spans="1:7">
      <c r="A1453"/>
      <c r="B1453"/>
      <c r="C1453"/>
      <c r="D1453"/>
      <c r="E1453"/>
      <c r="F1453"/>
      <c r="G1453"/>
    </row>
    <row r="1454" spans="1:7">
      <c r="A1454"/>
      <c r="B1454"/>
      <c r="C1454"/>
      <c r="D1454"/>
      <c r="E1454"/>
      <c r="F1454"/>
      <c r="G1454"/>
    </row>
    <row r="1455" spans="1:7">
      <c r="A1455"/>
      <c r="B1455"/>
      <c r="C1455"/>
      <c r="D1455"/>
      <c r="E1455"/>
      <c r="F1455"/>
      <c r="G1455"/>
    </row>
    <row r="1456" spans="1:7">
      <c r="A1456"/>
      <c r="B1456"/>
      <c r="C1456"/>
      <c r="D1456"/>
      <c r="E1456"/>
      <c r="F1456"/>
      <c r="G1456"/>
    </row>
    <row r="1457" spans="1:7">
      <c r="A1457"/>
      <c r="B1457"/>
      <c r="C1457"/>
      <c r="D1457"/>
      <c r="E1457"/>
      <c r="F1457"/>
      <c r="G1457"/>
    </row>
    <row r="1458" spans="1:7">
      <c r="A1458"/>
      <c r="B1458"/>
      <c r="C1458"/>
      <c r="D1458"/>
      <c r="E1458"/>
      <c r="F1458"/>
      <c r="G1458"/>
    </row>
    <row r="1459" spans="1:7">
      <c r="A1459"/>
      <c r="B1459"/>
      <c r="C1459"/>
      <c r="D1459"/>
      <c r="E1459"/>
      <c r="F1459"/>
      <c r="G1459"/>
    </row>
    <row r="1460" spans="1:7">
      <c r="A1460"/>
      <c r="B1460"/>
      <c r="C1460"/>
      <c r="D1460"/>
      <c r="E1460"/>
      <c r="F1460"/>
      <c r="G1460"/>
    </row>
    <row r="1461" spans="1:7">
      <c r="A1461"/>
      <c r="B1461"/>
      <c r="C1461"/>
      <c r="D1461"/>
      <c r="E1461"/>
      <c r="F1461"/>
      <c r="G1461"/>
    </row>
    <row r="1462" spans="1:7">
      <c r="A1462"/>
      <c r="B1462"/>
      <c r="C1462"/>
      <c r="D1462"/>
      <c r="E1462"/>
      <c r="F1462"/>
      <c r="G1462"/>
    </row>
    <row r="1463" spans="1:7">
      <c r="A1463"/>
      <c r="B1463"/>
      <c r="C1463"/>
      <c r="D1463"/>
      <c r="E1463"/>
      <c r="F1463"/>
      <c r="G1463"/>
    </row>
    <row r="1464" spans="1:7">
      <c r="A1464"/>
      <c r="B1464"/>
      <c r="C1464"/>
      <c r="D1464"/>
      <c r="E1464"/>
      <c r="F1464"/>
      <c r="G1464"/>
    </row>
    <row r="1465" spans="1:7">
      <c r="A1465"/>
      <c r="B1465"/>
      <c r="C1465"/>
      <c r="D1465"/>
      <c r="E1465"/>
      <c r="F1465"/>
      <c r="G1465"/>
    </row>
    <row r="1466" spans="1:7">
      <c r="A1466"/>
      <c r="B1466"/>
      <c r="C1466"/>
      <c r="D1466"/>
      <c r="E1466"/>
      <c r="F1466"/>
      <c r="G1466"/>
    </row>
    <row r="1467" spans="1:7">
      <c r="A1467"/>
      <c r="B1467"/>
      <c r="C1467"/>
      <c r="D1467"/>
      <c r="E1467"/>
      <c r="F1467"/>
      <c r="G1467"/>
    </row>
    <row r="1468" spans="1:7">
      <c r="A1468"/>
      <c r="B1468"/>
      <c r="C1468"/>
      <c r="D1468"/>
      <c r="E1468"/>
      <c r="F1468"/>
      <c r="G1468"/>
    </row>
    <row r="1469" spans="1:7">
      <c r="A1469"/>
      <c r="B1469"/>
      <c r="C1469"/>
      <c r="D1469"/>
      <c r="E1469"/>
      <c r="F1469"/>
      <c r="G1469"/>
    </row>
    <row r="1470" spans="1:7">
      <c r="A1470"/>
      <c r="B1470"/>
      <c r="C1470"/>
      <c r="D1470"/>
      <c r="E1470"/>
      <c r="F1470"/>
      <c r="G1470"/>
    </row>
    <row r="1471" spans="1:7">
      <c r="A1471"/>
      <c r="B1471"/>
      <c r="C1471"/>
      <c r="D1471"/>
      <c r="E1471"/>
      <c r="F1471"/>
      <c r="G1471"/>
    </row>
    <row r="1472" spans="1:7">
      <c r="A1472"/>
      <c r="B1472"/>
      <c r="C1472"/>
      <c r="D1472"/>
      <c r="E1472"/>
      <c r="F1472"/>
      <c r="G1472"/>
    </row>
    <row r="1473" spans="1:7">
      <c r="A1473"/>
      <c r="B1473"/>
      <c r="C1473"/>
      <c r="D1473"/>
      <c r="E1473"/>
      <c r="F1473"/>
      <c r="G1473"/>
    </row>
    <row r="1474" spans="1:7">
      <c r="A1474"/>
      <c r="B1474"/>
      <c r="C1474"/>
      <c r="D1474"/>
      <c r="E1474"/>
      <c r="F1474"/>
      <c r="G1474"/>
    </row>
    <row r="1475" spans="1:7">
      <c r="A1475"/>
      <c r="B1475"/>
      <c r="C1475"/>
      <c r="D1475"/>
      <c r="E1475"/>
      <c r="F1475"/>
      <c r="G1475"/>
    </row>
    <row r="1476" spans="1:7">
      <c r="A1476"/>
      <c r="B1476"/>
      <c r="C1476"/>
      <c r="D1476"/>
      <c r="E1476"/>
      <c r="F1476"/>
      <c r="G1476"/>
    </row>
    <row r="1477" spans="1:7">
      <c r="A1477"/>
      <c r="B1477"/>
      <c r="C1477"/>
      <c r="D1477"/>
      <c r="E1477"/>
      <c r="F1477"/>
      <c r="G1477"/>
    </row>
    <row r="1478" spans="1:7">
      <c r="A1478"/>
      <c r="B1478"/>
      <c r="C1478"/>
      <c r="D1478"/>
      <c r="E1478"/>
      <c r="F1478"/>
      <c r="G1478"/>
    </row>
    <row r="1479" spans="1:7">
      <c r="A1479"/>
      <c r="B1479"/>
      <c r="C1479"/>
      <c r="D1479"/>
      <c r="E1479"/>
      <c r="F1479"/>
      <c r="G1479"/>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6955-0DE4-3346-81E4-4EE716765D5C}">
  <dimension ref="A1:L658"/>
  <sheetViews>
    <sheetView workbookViewId="0">
      <selection activeCell="E29" sqref="E29"/>
    </sheetView>
  </sheetViews>
  <sheetFormatPr baseColWidth="10" defaultRowHeight="16"/>
  <cols>
    <col min="1" max="1" width="8.6640625" bestFit="1" customWidth="1"/>
    <col min="2" max="2" width="9.33203125" bestFit="1" customWidth="1"/>
    <col min="3" max="3" width="10.6640625" bestFit="1" customWidth="1"/>
    <col min="4" max="4" width="8.1640625" bestFit="1" customWidth="1"/>
    <col min="5" max="5" width="8.6640625" bestFit="1" customWidth="1"/>
    <col min="6" max="6" width="8.83203125" bestFit="1" customWidth="1"/>
    <col min="7" max="7" width="10.5" bestFit="1" customWidth="1"/>
    <col min="8" max="8" width="9" bestFit="1" customWidth="1"/>
    <col min="9" max="9" width="13.33203125" bestFit="1" customWidth="1"/>
    <col min="10" max="10" width="10" bestFit="1" customWidth="1"/>
    <col min="11" max="12" width="0" hidden="1" customWidth="1"/>
  </cols>
  <sheetData>
    <row r="1" spans="1:12">
      <c r="A1" t="s">
        <v>90</v>
      </c>
      <c r="B1" t="s">
        <v>63</v>
      </c>
      <c r="C1" t="s">
        <v>91</v>
      </c>
      <c r="D1" t="s">
        <v>0</v>
      </c>
      <c r="E1" t="s">
        <v>1</v>
      </c>
      <c r="F1" t="s">
        <v>3</v>
      </c>
      <c r="G1" t="s">
        <v>105</v>
      </c>
      <c r="H1" t="s">
        <v>35</v>
      </c>
      <c r="I1" t="s">
        <v>72</v>
      </c>
      <c r="J1" t="s">
        <v>79</v>
      </c>
      <c r="K1" t="s">
        <v>80</v>
      </c>
      <c r="L1" t="s">
        <v>81</v>
      </c>
    </row>
    <row r="2" spans="1:12">
      <c r="A2" t="s">
        <v>25</v>
      </c>
      <c r="B2">
        <v>256</v>
      </c>
      <c r="C2" t="s">
        <v>116</v>
      </c>
      <c r="D2" s="9">
        <v>46063</v>
      </c>
      <c r="E2">
        <v>262</v>
      </c>
      <c r="F2" t="s">
        <v>9</v>
      </c>
      <c r="G2">
        <v>3</v>
      </c>
      <c r="H2" t="s">
        <v>4</v>
      </c>
      <c r="I2">
        <v>21</v>
      </c>
      <c r="J2">
        <v>1</v>
      </c>
      <c r="K2">
        <f>IF(Convert_to_Games[[#This Row],[Total Score]]&gt;9, 1, 0)</f>
        <v>1</v>
      </c>
      <c r="L2">
        <f>IF(Convert_to_Games[[#This Row],[DD]]=0, 0, IF(L1 = "Cons DD", Convert_to_Games[[#This Row],[DD]], L1+L1))</f>
        <v>1</v>
      </c>
    </row>
    <row r="3" spans="1:12">
      <c r="A3" t="s">
        <v>25</v>
      </c>
      <c r="B3">
        <v>256</v>
      </c>
      <c r="C3" t="s">
        <v>116</v>
      </c>
      <c r="D3" s="9">
        <v>46078</v>
      </c>
      <c r="E3">
        <v>266</v>
      </c>
      <c r="F3" t="s">
        <v>11</v>
      </c>
      <c r="G3">
        <v>3</v>
      </c>
      <c r="H3" t="s">
        <v>4</v>
      </c>
      <c r="I3">
        <v>21</v>
      </c>
      <c r="J3">
        <v>1</v>
      </c>
      <c r="K3">
        <f>IF(Convert_to_Games[[#This Row],[Total Score]]&gt;9, 1, 0)</f>
        <v>1</v>
      </c>
      <c r="L3">
        <f>IF(Convert_to_Games[[#This Row],[DD]]=0, 0, IF(L2 = "Cons DD", Convert_to_Games[[#This Row],[DD]], L2+L2))</f>
        <v>2</v>
      </c>
    </row>
    <row r="4" spans="1:12">
      <c r="A4" t="s">
        <v>25</v>
      </c>
      <c r="B4">
        <v>256</v>
      </c>
      <c r="C4" t="s">
        <v>116</v>
      </c>
      <c r="D4" s="9">
        <v>46122</v>
      </c>
      <c r="E4">
        <v>281</v>
      </c>
      <c r="F4" t="s">
        <v>9</v>
      </c>
      <c r="G4">
        <v>4</v>
      </c>
      <c r="H4" t="s">
        <v>4</v>
      </c>
      <c r="I4">
        <v>21</v>
      </c>
      <c r="J4">
        <v>1</v>
      </c>
      <c r="K4">
        <f>IF(Convert_to_Games[[#This Row],[Total Score]]&gt;9, 1, 0)</f>
        <v>1</v>
      </c>
      <c r="L4">
        <f>IF(Convert_to_Games[[#This Row],[DD]]=0, 0, IF(L3 = "Cons DD", Convert_to_Games[[#This Row],[DD]], L3+L3))</f>
        <v>4</v>
      </c>
    </row>
    <row r="5" spans="1:12">
      <c r="A5" t="s">
        <v>25</v>
      </c>
      <c r="B5">
        <v>256</v>
      </c>
      <c r="C5" t="s">
        <v>116</v>
      </c>
      <c r="D5" s="9">
        <v>46058</v>
      </c>
      <c r="E5">
        <v>260</v>
      </c>
      <c r="F5" t="s">
        <v>9</v>
      </c>
      <c r="G5">
        <v>4</v>
      </c>
      <c r="H5" t="s">
        <v>4</v>
      </c>
      <c r="I5">
        <v>20</v>
      </c>
      <c r="J5">
        <v>1</v>
      </c>
      <c r="K5">
        <f>IF(Convert_to_Games[[#This Row],[Total Score]]&gt;9, 1, 0)</f>
        <v>1</v>
      </c>
      <c r="L5">
        <f>IF(Convert_to_Games[[#This Row],[DD]]=0, 0, IF(L4 = "Cons DD", Convert_to_Games[[#This Row],[DD]], L4+L4))</f>
        <v>8</v>
      </c>
    </row>
    <row r="6" spans="1:12">
      <c r="A6" t="s">
        <v>25</v>
      </c>
      <c r="B6">
        <v>256</v>
      </c>
      <c r="C6" t="s">
        <v>116</v>
      </c>
      <c r="D6" s="9">
        <v>46073</v>
      </c>
      <c r="E6">
        <v>264</v>
      </c>
      <c r="F6" t="s">
        <v>11</v>
      </c>
      <c r="G6">
        <v>3</v>
      </c>
      <c r="H6" t="s">
        <v>4</v>
      </c>
      <c r="I6">
        <v>20</v>
      </c>
      <c r="J6">
        <v>1</v>
      </c>
      <c r="K6">
        <f>IF(Convert_to_Games[[#This Row],[Total Score]]&gt;9, 1, 0)</f>
        <v>1</v>
      </c>
      <c r="L6">
        <f>IF(Convert_to_Games[[#This Row],[DD]]=0, 0, IF(L5 = "Cons DD", Convert_to_Games[[#This Row],[DD]], L5+L5))</f>
        <v>16</v>
      </c>
    </row>
    <row r="7" spans="1:12">
      <c r="A7" t="s">
        <v>25</v>
      </c>
      <c r="B7">
        <v>256</v>
      </c>
      <c r="C7" t="s">
        <v>116</v>
      </c>
      <c r="D7" s="9">
        <v>46127</v>
      </c>
      <c r="E7">
        <v>282</v>
      </c>
      <c r="F7" t="s">
        <v>11</v>
      </c>
      <c r="G7">
        <v>4</v>
      </c>
      <c r="H7" t="s">
        <v>4</v>
      </c>
      <c r="I7">
        <v>20</v>
      </c>
      <c r="J7">
        <v>1</v>
      </c>
      <c r="K7">
        <f>IF(Convert_to_Games[[#This Row],[Total Score]]&gt;9, 1, 0)</f>
        <v>1</v>
      </c>
      <c r="L7">
        <f>IF(Convert_to_Games[[#This Row],[DD]]=0, 0, IF(L6 = "Cons DD", Convert_to_Games[[#This Row],[DD]], L6+L6))</f>
        <v>32</v>
      </c>
    </row>
    <row r="8" spans="1:12">
      <c r="A8" t="s">
        <v>25</v>
      </c>
      <c r="B8">
        <v>256</v>
      </c>
      <c r="C8" t="s">
        <v>116</v>
      </c>
      <c r="D8" s="9">
        <v>46132</v>
      </c>
      <c r="E8">
        <v>283</v>
      </c>
      <c r="F8" t="s">
        <v>11</v>
      </c>
      <c r="G8">
        <v>4</v>
      </c>
      <c r="H8" t="s">
        <v>4</v>
      </c>
      <c r="I8">
        <v>20</v>
      </c>
      <c r="J8">
        <v>1</v>
      </c>
      <c r="K8">
        <f>IF(Convert_to_Games[[#This Row],[Total Score]]&gt;9, 1, 0)</f>
        <v>1</v>
      </c>
      <c r="L8">
        <f>IF(Convert_to_Games[[#This Row],[DD]]=0, 0, IF(L7 = "Cons DD", Convert_to_Games[[#This Row],[DD]], L7+L7))</f>
        <v>64</v>
      </c>
    </row>
    <row r="9" spans="1:12">
      <c r="A9" t="s">
        <v>25</v>
      </c>
      <c r="B9">
        <v>256</v>
      </c>
      <c r="C9" t="s">
        <v>116</v>
      </c>
      <c r="D9" s="9">
        <v>45881</v>
      </c>
      <c r="E9">
        <v>202</v>
      </c>
      <c r="F9" t="s">
        <v>13</v>
      </c>
      <c r="G9">
        <v>3</v>
      </c>
      <c r="H9" t="s">
        <v>4</v>
      </c>
      <c r="I9">
        <v>19</v>
      </c>
      <c r="J9">
        <v>1</v>
      </c>
      <c r="K9">
        <f>IF(Convert_to_Games[[#This Row],[Total Score]]&gt;9, 1, 0)</f>
        <v>1</v>
      </c>
      <c r="L9">
        <f>IF(Convert_to_Games[[#This Row],[DD]]=0, 0, IF(L8 = "Cons DD", Convert_to_Games[[#This Row],[DD]], L8+L8))</f>
        <v>128</v>
      </c>
    </row>
    <row r="10" spans="1:12">
      <c r="A10" t="s">
        <v>25</v>
      </c>
      <c r="B10">
        <v>256</v>
      </c>
      <c r="C10" t="s">
        <v>116</v>
      </c>
      <c r="D10" s="9">
        <v>45961</v>
      </c>
      <c r="E10">
        <v>238</v>
      </c>
      <c r="F10" t="s">
        <v>9</v>
      </c>
      <c r="G10">
        <v>3</v>
      </c>
      <c r="H10" t="s">
        <v>4</v>
      </c>
      <c r="I10">
        <v>19</v>
      </c>
      <c r="J10">
        <v>1</v>
      </c>
      <c r="K10">
        <f>IF(Convert_to_Games[[#This Row],[Total Score]]&gt;9, 1, 0)</f>
        <v>1</v>
      </c>
      <c r="L10">
        <f>IF(Convert_to_Games[[#This Row],[DD]]=0, 0, IF(L9 = "Cons DD", Convert_to_Games[[#This Row],[DD]], L9+L9))</f>
        <v>256</v>
      </c>
    </row>
    <row r="11" spans="1:12">
      <c r="A11" t="s">
        <v>25</v>
      </c>
      <c r="B11">
        <v>256</v>
      </c>
      <c r="C11" t="s">
        <v>116</v>
      </c>
      <c r="D11" s="9">
        <v>45979</v>
      </c>
      <c r="E11">
        <v>241</v>
      </c>
      <c r="F11" t="s">
        <v>118</v>
      </c>
      <c r="G11">
        <v>3</v>
      </c>
      <c r="H11" t="s">
        <v>4</v>
      </c>
      <c r="I11">
        <v>19</v>
      </c>
      <c r="J11">
        <v>1</v>
      </c>
      <c r="K11">
        <f>IF(Convert_to_Games[[#This Row],[Total Score]]&gt;9, 1, 0)</f>
        <v>1</v>
      </c>
      <c r="L11">
        <f>IF(Convert_to_Games[[#This Row],[DD]]=0, 0, IF(L10 = "Cons DD", Convert_to_Games[[#This Row],[DD]], L10+L10))</f>
        <v>512</v>
      </c>
    </row>
    <row r="12" spans="1:12">
      <c r="A12" t="s">
        <v>25</v>
      </c>
      <c r="B12">
        <v>256</v>
      </c>
      <c r="C12" t="s">
        <v>116</v>
      </c>
      <c r="D12" s="9">
        <v>46034</v>
      </c>
      <c r="E12">
        <v>253</v>
      </c>
      <c r="F12" t="s">
        <v>9</v>
      </c>
      <c r="G12">
        <v>3</v>
      </c>
      <c r="H12" t="s">
        <v>4</v>
      </c>
      <c r="I12">
        <v>19</v>
      </c>
      <c r="J12">
        <v>1</v>
      </c>
      <c r="K12">
        <f>IF(Convert_to_Games[[#This Row],[Total Score]]&gt;9, 1, 0)</f>
        <v>1</v>
      </c>
      <c r="L12">
        <f>IF(Convert_to_Games[[#This Row],[DD]]=0, 0, IF(L11 = "Cons DD", Convert_to_Games[[#This Row],[DD]], L11+L11))</f>
        <v>1024</v>
      </c>
    </row>
    <row r="13" spans="1:12">
      <c r="A13" t="s">
        <v>25</v>
      </c>
      <c r="B13">
        <v>256</v>
      </c>
      <c r="C13" t="s">
        <v>116</v>
      </c>
      <c r="D13" s="9">
        <v>46044</v>
      </c>
      <c r="E13">
        <v>256</v>
      </c>
      <c r="F13" t="s">
        <v>9</v>
      </c>
      <c r="G13">
        <v>4</v>
      </c>
      <c r="H13" t="s">
        <v>5</v>
      </c>
      <c r="I13">
        <v>19</v>
      </c>
      <c r="J13">
        <v>1</v>
      </c>
      <c r="K13">
        <f>IF(Convert_to_Games[[#This Row],[Total Score]]&gt;9, 1, 0)</f>
        <v>1</v>
      </c>
      <c r="L13">
        <f>IF(Convert_to_Games[[#This Row],[DD]]=0, 0, IF(L12 = "Cons DD", Convert_to_Games[[#This Row],[DD]], L12+L12))</f>
        <v>2048</v>
      </c>
    </row>
    <row r="14" spans="1:12">
      <c r="A14" t="s">
        <v>25</v>
      </c>
      <c r="B14">
        <v>256</v>
      </c>
      <c r="C14" t="s">
        <v>116</v>
      </c>
      <c r="D14" s="9">
        <v>46094</v>
      </c>
      <c r="E14">
        <v>275</v>
      </c>
      <c r="F14" t="s">
        <v>11</v>
      </c>
      <c r="G14">
        <v>4</v>
      </c>
      <c r="H14" t="s">
        <v>4</v>
      </c>
      <c r="I14">
        <v>19</v>
      </c>
      <c r="J14">
        <v>1</v>
      </c>
      <c r="K14">
        <f>IF(Convert_to_Games[[#This Row],[Total Score]]&gt;9, 1, 0)</f>
        <v>1</v>
      </c>
      <c r="L14">
        <f>IF(Convert_to_Games[[#This Row],[DD]]=0, 0, IF(L13 = "Cons DD", Convert_to_Games[[#This Row],[DD]], L13+L13))</f>
        <v>4096</v>
      </c>
    </row>
    <row r="15" spans="1:12">
      <c r="A15" t="s">
        <v>25</v>
      </c>
      <c r="B15">
        <v>256</v>
      </c>
      <c r="C15" t="s">
        <v>116</v>
      </c>
      <c r="D15" s="9">
        <v>46198</v>
      </c>
      <c r="E15">
        <v>288</v>
      </c>
      <c r="F15" t="s">
        <v>11</v>
      </c>
      <c r="G15">
        <v>4</v>
      </c>
      <c r="H15" t="s">
        <v>4</v>
      </c>
      <c r="I15">
        <v>19</v>
      </c>
      <c r="J15">
        <v>1</v>
      </c>
      <c r="K15">
        <f>IF(Convert_to_Games[[#This Row],[Total Score]]&gt;9, 1, 0)</f>
        <v>1</v>
      </c>
      <c r="L15">
        <f>IF(Convert_to_Games[[#This Row],[DD]]=0, 0, IF(L14 = "Cons DD", Convert_to_Games[[#This Row],[DD]], L14+L14))</f>
        <v>8192</v>
      </c>
    </row>
    <row r="16" spans="1:12">
      <c r="A16" t="s">
        <v>25</v>
      </c>
      <c r="B16" t="s">
        <v>20</v>
      </c>
      <c r="C16" t="s">
        <v>116</v>
      </c>
      <c r="D16" s="9">
        <v>45875</v>
      </c>
      <c r="E16">
        <v>197</v>
      </c>
      <c r="F16" t="s">
        <v>11</v>
      </c>
      <c r="G16">
        <v>3</v>
      </c>
      <c r="H16" t="s">
        <v>4</v>
      </c>
      <c r="I16">
        <v>18</v>
      </c>
      <c r="J16">
        <v>1</v>
      </c>
      <c r="K16">
        <f>IF(Convert_to_Games[[#This Row],[Total Score]]&gt;9, 1, 0)</f>
        <v>1</v>
      </c>
      <c r="L16">
        <f>IF(Convert_to_Games[[#This Row],[DD]]=0, 0, IF(L15 = "Cons DD", Convert_to_Games[[#This Row],[DD]], L15+L15))</f>
        <v>16384</v>
      </c>
    </row>
    <row r="17" spans="1:12">
      <c r="A17" t="s">
        <v>25</v>
      </c>
      <c r="B17">
        <v>256</v>
      </c>
      <c r="C17" t="s">
        <v>116</v>
      </c>
      <c r="D17" s="9">
        <v>45881</v>
      </c>
      <c r="E17">
        <v>203</v>
      </c>
      <c r="F17" t="s">
        <v>117</v>
      </c>
      <c r="G17">
        <v>3</v>
      </c>
      <c r="H17" t="s">
        <v>4</v>
      </c>
      <c r="I17">
        <v>18</v>
      </c>
      <c r="J17">
        <v>1</v>
      </c>
      <c r="K17">
        <f>IF(Convert_to_Games[[#This Row],[Total Score]]&gt;9, 1, 0)</f>
        <v>1</v>
      </c>
      <c r="L17">
        <f>IF(Convert_to_Games[[#This Row],[DD]]=0, 0, IF(L16 = "Cons DD", Convert_to_Games[[#This Row],[DD]], L16+L16))</f>
        <v>32768</v>
      </c>
    </row>
    <row r="18" spans="1:12">
      <c r="A18" t="s">
        <v>25</v>
      </c>
      <c r="B18">
        <v>256</v>
      </c>
      <c r="C18" t="s">
        <v>116</v>
      </c>
      <c r="D18" s="9">
        <v>45882</v>
      </c>
      <c r="E18">
        <v>204</v>
      </c>
      <c r="F18" t="s">
        <v>11</v>
      </c>
      <c r="G18">
        <v>4</v>
      </c>
      <c r="H18" t="s">
        <v>4</v>
      </c>
      <c r="I18">
        <v>18</v>
      </c>
      <c r="J18">
        <v>1</v>
      </c>
      <c r="K18">
        <f>IF(Convert_to_Games[[#This Row],[Total Score]]&gt;9, 1, 0)</f>
        <v>1</v>
      </c>
      <c r="L18">
        <f>IF(Convert_to_Games[[#This Row],[DD]]=0, 0, IF(L17 = "Cons DD", Convert_to_Games[[#This Row],[DD]], L17+L17))</f>
        <v>65536</v>
      </c>
    </row>
    <row r="19" spans="1:12">
      <c r="A19" t="s">
        <v>25</v>
      </c>
      <c r="B19">
        <v>256</v>
      </c>
      <c r="C19" t="s">
        <v>116</v>
      </c>
      <c r="D19" s="9">
        <v>45959</v>
      </c>
      <c r="E19">
        <v>237</v>
      </c>
      <c r="F19" t="s">
        <v>11</v>
      </c>
      <c r="G19">
        <v>3</v>
      </c>
      <c r="H19" t="s">
        <v>5</v>
      </c>
      <c r="I19">
        <v>18</v>
      </c>
      <c r="J19">
        <v>1</v>
      </c>
      <c r="K19">
        <f>IF(Convert_to_Games[[#This Row],[Total Score]]&gt;9, 1, 0)</f>
        <v>1</v>
      </c>
      <c r="L19">
        <f>IF(Convert_to_Games[[#This Row],[DD]]=0, 0, IF(L18 = "Cons DD", Convert_to_Games[[#This Row],[DD]], L18+L18))</f>
        <v>131072</v>
      </c>
    </row>
    <row r="20" spans="1:12">
      <c r="A20" t="s">
        <v>25</v>
      </c>
      <c r="B20">
        <v>256</v>
      </c>
      <c r="C20" t="s">
        <v>116</v>
      </c>
      <c r="D20" s="9">
        <v>45992</v>
      </c>
      <c r="E20">
        <v>244</v>
      </c>
      <c r="F20" t="s">
        <v>11</v>
      </c>
      <c r="G20">
        <v>5</v>
      </c>
      <c r="H20" t="s">
        <v>5</v>
      </c>
      <c r="I20">
        <v>18</v>
      </c>
      <c r="J20">
        <v>1</v>
      </c>
      <c r="K20">
        <f>IF(Convert_to_Games[[#This Row],[Total Score]]&gt;9, 1, 0)</f>
        <v>1</v>
      </c>
      <c r="L20">
        <f>IF(Convert_to_Games[[#This Row],[DD]]=0, 0, IF(L19 = "Cons DD", Convert_to_Games[[#This Row],[DD]], L19+L19))</f>
        <v>262144</v>
      </c>
    </row>
    <row r="21" spans="1:12">
      <c r="A21" t="s">
        <v>25</v>
      </c>
      <c r="B21">
        <v>256</v>
      </c>
      <c r="C21" t="s">
        <v>116</v>
      </c>
      <c r="D21" s="9">
        <v>46036</v>
      </c>
      <c r="E21">
        <v>255</v>
      </c>
      <c r="F21" t="s">
        <v>11</v>
      </c>
      <c r="G21">
        <v>3</v>
      </c>
      <c r="H21" t="s">
        <v>4</v>
      </c>
      <c r="I21">
        <v>18</v>
      </c>
      <c r="J21">
        <v>1</v>
      </c>
      <c r="K21">
        <f>IF(Convert_to_Games[[#This Row],[Total Score]]&gt;9, 1, 0)</f>
        <v>1</v>
      </c>
      <c r="L21">
        <f>IF(Convert_to_Games[[#This Row],[DD]]=0, 0, IF(L20 = "Cons DD", Convert_to_Games[[#This Row],[DD]], L20+L20))</f>
        <v>524288</v>
      </c>
    </row>
    <row r="22" spans="1:12">
      <c r="A22" t="s">
        <v>25</v>
      </c>
      <c r="B22">
        <v>256</v>
      </c>
      <c r="C22" t="s">
        <v>116</v>
      </c>
      <c r="D22" s="9">
        <v>46059</v>
      </c>
      <c r="E22">
        <v>261</v>
      </c>
      <c r="F22" t="s">
        <v>9</v>
      </c>
      <c r="G22">
        <v>3</v>
      </c>
      <c r="H22" t="s">
        <v>4</v>
      </c>
      <c r="I22">
        <v>18</v>
      </c>
      <c r="J22">
        <v>1</v>
      </c>
      <c r="K22">
        <f>IF(Convert_to_Games[[#This Row],[Total Score]]&gt;9, 1, 0)</f>
        <v>1</v>
      </c>
      <c r="L22">
        <f>IF(Convert_to_Games[[#This Row],[DD]]=0, 0, IF(L21 = "Cons DD", Convert_to_Games[[#This Row],[DD]], L21+L21))</f>
        <v>1048576</v>
      </c>
    </row>
    <row r="23" spans="1:12">
      <c r="A23" t="s">
        <v>25</v>
      </c>
      <c r="B23">
        <v>256</v>
      </c>
      <c r="C23" t="s">
        <v>116</v>
      </c>
      <c r="D23" s="9">
        <v>46091</v>
      </c>
      <c r="E23">
        <v>272</v>
      </c>
      <c r="F23" t="s">
        <v>9</v>
      </c>
      <c r="G23">
        <v>3</v>
      </c>
      <c r="H23" t="s">
        <v>4</v>
      </c>
      <c r="I23">
        <v>18</v>
      </c>
      <c r="J23">
        <v>1</v>
      </c>
      <c r="K23">
        <f>IF(Convert_to_Games[[#This Row],[Total Score]]&gt;9, 1, 0)</f>
        <v>1</v>
      </c>
      <c r="L23">
        <f>IF(Convert_to_Games[[#This Row],[DD]]=0, 0, IF(L22 = "Cons DD", Convert_to_Games[[#This Row],[DD]], L22+L22))</f>
        <v>2097152</v>
      </c>
    </row>
    <row r="24" spans="1:12">
      <c r="A24" t="s">
        <v>25</v>
      </c>
      <c r="B24">
        <v>256</v>
      </c>
      <c r="C24" t="s">
        <v>116</v>
      </c>
      <c r="D24" s="9">
        <v>46093</v>
      </c>
      <c r="E24">
        <v>274</v>
      </c>
      <c r="F24" t="s">
        <v>9</v>
      </c>
      <c r="G24">
        <v>4</v>
      </c>
      <c r="H24" t="s">
        <v>4</v>
      </c>
      <c r="I24">
        <v>18</v>
      </c>
      <c r="J24">
        <v>1</v>
      </c>
      <c r="K24">
        <f>IF(Convert_to_Games[[#This Row],[Total Score]]&gt;9, 1, 0)</f>
        <v>1</v>
      </c>
      <c r="L24">
        <f>IF(Convert_to_Games[[#This Row],[DD]]=0, 0, IF(L23 = "Cons DD", Convert_to_Games[[#This Row],[DD]], L23+L23))</f>
        <v>4194304</v>
      </c>
    </row>
    <row r="25" spans="1:12">
      <c r="A25" t="s">
        <v>25</v>
      </c>
      <c r="B25">
        <v>256</v>
      </c>
      <c r="C25" t="s">
        <v>116</v>
      </c>
      <c r="D25" s="9">
        <v>46114</v>
      </c>
      <c r="E25">
        <v>279</v>
      </c>
      <c r="F25" t="s">
        <v>9</v>
      </c>
      <c r="G25">
        <v>4</v>
      </c>
      <c r="H25" t="s">
        <v>4</v>
      </c>
      <c r="I25">
        <v>18</v>
      </c>
      <c r="J25">
        <v>1</v>
      </c>
      <c r="K25">
        <f>IF(Convert_to_Games[[#This Row],[Total Score]]&gt;9, 1, 0)</f>
        <v>1</v>
      </c>
      <c r="L25">
        <f>IF(Convert_to_Games[[#This Row],[DD]]=0, 0, IF(L24 = "Cons DD", Convert_to_Games[[#This Row],[DD]], L24+L24))</f>
        <v>8388608</v>
      </c>
    </row>
    <row r="26" spans="1:12">
      <c r="A26" t="s">
        <v>25</v>
      </c>
      <c r="B26">
        <v>256</v>
      </c>
      <c r="C26" t="s">
        <v>116</v>
      </c>
      <c r="D26" s="9">
        <v>46121</v>
      </c>
      <c r="E26">
        <v>280</v>
      </c>
      <c r="F26" t="s">
        <v>11</v>
      </c>
      <c r="G26">
        <v>4</v>
      </c>
      <c r="H26" t="s">
        <v>4</v>
      </c>
      <c r="I26">
        <v>18</v>
      </c>
      <c r="J26">
        <v>1</v>
      </c>
      <c r="K26">
        <f>IF(Convert_to_Games[[#This Row],[Total Score]]&gt;9, 1, 0)</f>
        <v>1</v>
      </c>
      <c r="L26">
        <f>IF(Convert_to_Games[[#This Row],[DD]]=0, 0, IF(L25 = "Cons DD", Convert_to_Games[[#This Row],[DD]], L25+L25))</f>
        <v>16777216</v>
      </c>
    </row>
    <row r="27" spans="1:12">
      <c r="A27" t="s">
        <v>25</v>
      </c>
      <c r="B27">
        <v>256</v>
      </c>
      <c r="C27" t="s">
        <v>116</v>
      </c>
      <c r="D27" s="9">
        <v>46156</v>
      </c>
      <c r="E27">
        <v>286</v>
      </c>
      <c r="F27" t="s">
        <v>9</v>
      </c>
      <c r="G27">
        <v>4</v>
      </c>
      <c r="H27" t="s">
        <v>4</v>
      </c>
      <c r="I27">
        <v>18</v>
      </c>
      <c r="J27">
        <v>1</v>
      </c>
      <c r="K27">
        <f>IF(Convert_to_Games[[#This Row],[Total Score]]&gt;9, 1, 0)</f>
        <v>1</v>
      </c>
      <c r="L27">
        <f>IF(Convert_to_Games[[#This Row],[DD]]=0, 0, IF(L26 = "Cons DD", Convert_to_Games[[#This Row],[DD]], L26+L26))</f>
        <v>33554432</v>
      </c>
    </row>
    <row r="28" spans="1:12">
      <c r="A28" t="s">
        <v>25</v>
      </c>
      <c r="B28" t="s">
        <v>20</v>
      </c>
      <c r="C28" t="s">
        <v>16</v>
      </c>
      <c r="D28" s="9">
        <v>45840</v>
      </c>
      <c r="E28">
        <v>144</v>
      </c>
      <c r="F28" t="s">
        <v>8</v>
      </c>
      <c r="G28">
        <v>3</v>
      </c>
      <c r="H28" t="s">
        <v>4</v>
      </c>
      <c r="I28">
        <v>17</v>
      </c>
      <c r="J28">
        <v>1</v>
      </c>
      <c r="K28">
        <f>IF(Convert_to_Games[[#This Row],[Total Score]]&gt;9, 1, 0)</f>
        <v>1</v>
      </c>
      <c r="L28">
        <f>IF(Convert_to_Games[[#This Row],[DD]]=0, 0, IF(L27 = "Cons DD", Convert_to_Games[[#This Row],[DD]], L27+L27))</f>
        <v>67108864</v>
      </c>
    </row>
    <row r="29" spans="1:12">
      <c r="A29" t="s">
        <v>25</v>
      </c>
      <c r="B29" t="s">
        <v>20</v>
      </c>
      <c r="C29" t="s">
        <v>16</v>
      </c>
      <c r="D29" s="9">
        <v>45846</v>
      </c>
      <c r="E29">
        <v>151</v>
      </c>
      <c r="F29" t="s">
        <v>103</v>
      </c>
      <c r="G29">
        <v>3</v>
      </c>
      <c r="H29" t="s">
        <v>4</v>
      </c>
      <c r="I29">
        <v>17</v>
      </c>
      <c r="J29">
        <v>1</v>
      </c>
      <c r="K29">
        <f>IF(Convert_to_Games[[#This Row],[Total Score]]&gt;9, 1, 0)</f>
        <v>1</v>
      </c>
      <c r="L29">
        <f>IF(Convert_to_Games[[#This Row],[DD]]=0, 0, IF(L28 = "Cons DD", Convert_to_Games[[#This Row],[DD]], L28+L28))</f>
        <v>134217728</v>
      </c>
    </row>
    <row r="30" spans="1:12">
      <c r="A30" t="s">
        <v>25</v>
      </c>
      <c r="B30">
        <v>256</v>
      </c>
      <c r="C30" t="s">
        <v>116</v>
      </c>
      <c r="D30" s="9">
        <v>45896</v>
      </c>
      <c r="E30">
        <v>211</v>
      </c>
      <c r="F30" t="s">
        <v>24</v>
      </c>
      <c r="G30">
        <v>3</v>
      </c>
      <c r="H30" t="s">
        <v>4</v>
      </c>
      <c r="I30">
        <v>17</v>
      </c>
      <c r="J30">
        <v>1</v>
      </c>
      <c r="K30">
        <f>IF(Convert_to_Games[[#This Row],[Total Score]]&gt;9, 1, 0)</f>
        <v>1</v>
      </c>
      <c r="L30">
        <f>IF(Convert_to_Games[[#This Row],[DD]]=0, 0, IF(L29 = "Cons DD", Convert_to_Games[[#This Row],[DD]], L29+L29))</f>
        <v>268435456</v>
      </c>
    </row>
    <row r="31" spans="1:12">
      <c r="A31" t="s">
        <v>25</v>
      </c>
      <c r="B31">
        <v>256</v>
      </c>
      <c r="C31" t="s">
        <v>116</v>
      </c>
      <c r="D31" s="9">
        <v>45904</v>
      </c>
      <c r="E31">
        <v>216</v>
      </c>
      <c r="F31" t="s">
        <v>11</v>
      </c>
      <c r="G31">
        <v>3</v>
      </c>
      <c r="H31" t="s">
        <v>4</v>
      </c>
      <c r="I31">
        <v>17</v>
      </c>
      <c r="J31">
        <v>1</v>
      </c>
      <c r="K31">
        <f>IF(Convert_to_Games[[#This Row],[Total Score]]&gt;9, 1, 0)</f>
        <v>1</v>
      </c>
      <c r="L31">
        <f>IF(Convert_to_Games[[#This Row],[DD]]=0, 0, IF(L30 = "Cons DD", Convert_to_Games[[#This Row],[DD]], L30+L30))</f>
        <v>536870912</v>
      </c>
    </row>
    <row r="32" spans="1:12">
      <c r="A32" t="s">
        <v>25</v>
      </c>
      <c r="B32">
        <v>256</v>
      </c>
      <c r="C32" t="s">
        <v>116</v>
      </c>
      <c r="D32" s="9">
        <v>46080</v>
      </c>
      <c r="E32">
        <v>267</v>
      </c>
      <c r="F32" t="s">
        <v>9</v>
      </c>
      <c r="G32">
        <v>3</v>
      </c>
      <c r="H32" t="s">
        <v>4</v>
      </c>
      <c r="I32">
        <v>17</v>
      </c>
      <c r="J32">
        <v>1</v>
      </c>
      <c r="K32">
        <f>IF(Convert_to_Games[[#This Row],[Total Score]]&gt;9, 1, 0)</f>
        <v>1</v>
      </c>
      <c r="L32">
        <f>IF(Convert_to_Games[[#This Row],[DD]]=0, 0, IF(L31 = "Cons DD", Convert_to_Games[[#This Row],[DD]], L31+L31))</f>
        <v>1073741824</v>
      </c>
    </row>
    <row r="33" spans="1:12">
      <c r="A33" t="s">
        <v>25</v>
      </c>
      <c r="B33">
        <v>256</v>
      </c>
      <c r="C33" t="s">
        <v>116</v>
      </c>
      <c r="D33" s="9">
        <v>46092</v>
      </c>
      <c r="E33">
        <v>273</v>
      </c>
      <c r="F33" t="s">
        <v>8</v>
      </c>
      <c r="G33">
        <v>4</v>
      </c>
      <c r="H33" t="s">
        <v>4</v>
      </c>
      <c r="I33">
        <v>17</v>
      </c>
      <c r="J33">
        <v>1</v>
      </c>
      <c r="K33">
        <f>IF(Convert_to_Games[[#This Row],[Total Score]]&gt;9, 1, 0)</f>
        <v>1</v>
      </c>
      <c r="L33">
        <f>IF(Convert_to_Games[[#This Row],[DD]]=0, 0, IF(L32 = "Cons DD", Convert_to_Games[[#This Row],[DD]], L32+L32))</f>
        <v>2147483648</v>
      </c>
    </row>
    <row r="34" spans="1:12">
      <c r="A34" t="s">
        <v>25</v>
      </c>
      <c r="B34">
        <v>256</v>
      </c>
      <c r="C34" t="s">
        <v>116</v>
      </c>
      <c r="D34" s="9">
        <v>46106</v>
      </c>
      <c r="E34">
        <v>277</v>
      </c>
      <c r="F34" t="s">
        <v>11</v>
      </c>
      <c r="G34">
        <v>4</v>
      </c>
      <c r="H34" t="s">
        <v>4</v>
      </c>
      <c r="I34">
        <v>17</v>
      </c>
      <c r="J34">
        <v>1</v>
      </c>
      <c r="K34">
        <f>IF(Convert_to_Games[[#This Row],[Total Score]]&gt;9, 1, 0)</f>
        <v>1</v>
      </c>
      <c r="L34">
        <f>IF(Convert_to_Games[[#This Row],[DD]]=0, 0, IF(L33 = "Cons DD", Convert_to_Games[[#This Row],[DD]], L33+L33))</f>
        <v>4294967296</v>
      </c>
    </row>
    <row r="35" spans="1:12">
      <c r="A35" t="s">
        <v>25</v>
      </c>
      <c r="B35">
        <v>256</v>
      </c>
      <c r="C35" t="s">
        <v>116</v>
      </c>
      <c r="D35" s="9">
        <v>46154</v>
      </c>
      <c r="E35">
        <v>285</v>
      </c>
      <c r="F35" t="s">
        <v>11</v>
      </c>
      <c r="G35">
        <v>4</v>
      </c>
      <c r="H35" t="s">
        <v>4</v>
      </c>
      <c r="I35">
        <v>17</v>
      </c>
      <c r="J35">
        <v>1</v>
      </c>
      <c r="K35">
        <f>IF(Convert_to_Games[[#This Row],[Total Score]]&gt;9, 1, 0)</f>
        <v>1</v>
      </c>
      <c r="L35">
        <f>IF(Convert_to_Games[[#This Row],[DD]]=0, 0, IF(L34 = "Cons DD", Convert_to_Games[[#This Row],[DD]], L34+L34))</f>
        <v>8589934592</v>
      </c>
    </row>
    <row r="36" spans="1:12">
      <c r="A36" t="s">
        <v>25</v>
      </c>
      <c r="B36" t="s">
        <v>20</v>
      </c>
      <c r="C36" t="s">
        <v>18</v>
      </c>
      <c r="D36" s="9">
        <v>45707</v>
      </c>
      <c r="E36">
        <v>2</v>
      </c>
      <c r="F36" t="s">
        <v>9</v>
      </c>
      <c r="G36">
        <v>3</v>
      </c>
      <c r="H36" t="s">
        <v>4</v>
      </c>
      <c r="I36">
        <v>16</v>
      </c>
      <c r="J36">
        <v>1</v>
      </c>
      <c r="K36">
        <f>IF(Convert_to_Games[[#This Row],[Total Score]]&gt;9, 1, 0)</f>
        <v>1</v>
      </c>
      <c r="L36">
        <f>IF(Convert_to_Games[[#This Row],[DD]]=0, 0, IF(L35 = "Cons DD", Convert_to_Games[[#This Row],[DD]], L35+L35))</f>
        <v>17179869184</v>
      </c>
    </row>
    <row r="37" spans="1:12">
      <c r="A37" t="s">
        <v>25</v>
      </c>
      <c r="B37" t="s">
        <v>20</v>
      </c>
      <c r="C37" t="s">
        <v>16</v>
      </c>
      <c r="D37" s="9">
        <v>45835</v>
      </c>
      <c r="E37">
        <v>135</v>
      </c>
      <c r="F37" t="s">
        <v>11</v>
      </c>
      <c r="G37">
        <v>3</v>
      </c>
      <c r="H37" t="s">
        <v>4</v>
      </c>
      <c r="I37">
        <v>16</v>
      </c>
      <c r="J37">
        <v>1</v>
      </c>
      <c r="K37">
        <f>IF(Convert_to_Games[[#This Row],[Total Score]]&gt;9, 1, 0)</f>
        <v>1</v>
      </c>
      <c r="L37">
        <f>IF(Convert_to_Games[[#This Row],[DD]]=0, 0, IF(L36 = "Cons DD", Convert_to_Games[[#This Row],[DD]], L36+L36))</f>
        <v>34359738368</v>
      </c>
    </row>
    <row r="38" spans="1:12">
      <c r="A38" t="s">
        <v>25</v>
      </c>
      <c r="B38" t="s">
        <v>20</v>
      </c>
      <c r="C38" t="s">
        <v>116</v>
      </c>
      <c r="D38" s="9">
        <v>45869</v>
      </c>
      <c r="E38">
        <v>189</v>
      </c>
      <c r="F38" t="s">
        <v>9</v>
      </c>
      <c r="G38">
        <v>3</v>
      </c>
      <c r="H38" t="s">
        <v>4</v>
      </c>
      <c r="I38">
        <v>16</v>
      </c>
      <c r="J38">
        <v>1</v>
      </c>
      <c r="K38">
        <f>IF(Convert_to_Games[[#This Row],[Total Score]]&gt;9, 1, 0)</f>
        <v>1</v>
      </c>
      <c r="L38">
        <f>IF(Convert_to_Games[[#This Row],[DD]]=0, 0, IF(L37 = "Cons DD", Convert_to_Games[[#This Row],[DD]], L37+L37))</f>
        <v>68719476736</v>
      </c>
    </row>
    <row r="39" spans="1:12">
      <c r="A39" t="s">
        <v>25</v>
      </c>
      <c r="B39" t="s">
        <v>20</v>
      </c>
      <c r="C39" t="s">
        <v>116</v>
      </c>
      <c r="D39" s="9">
        <v>45875</v>
      </c>
      <c r="E39">
        <v>198</v>
      </c>
      <c r="F39" t="s">
        <v>9</v>
      </c>
      <c r="G39">
        <v>3</v>
      </c>
      <c r="H39" t="s">
        <v>5</v>
      </c>
      <c r="I39">
        <v>16</v>
      </c>
      <c r="J39">
        <v>1</v>
      </c>
      <c r="K39">
        <f>IF(Convert_to_Games[[#This Row],[Total Score]]&gt;9, 1, 0)</f>
        <v>1</v>
      </c>
      <c r="L39">
        <f>IF(Convert_to_Games[[#This Row],[DD]]=0, 0, IF(L38 = "Cons DD", Convert_to_Games[[#This Row],[DD]], L38+L38))</f>
        <v>137438953472</v>
      </c>
    </row>
    <row r="40" spans="1:12">
      <c r="A40" t="s">
        <v>25</v>
      </c>
      <c r="B40">
        <v>256</v>
      </c>
      <c r="C40" t="s">
        <v>116</v>
      </c>
      <c r="D40" s="9">
        <v>45915</v>
      </c>
      <c r="E40">
        <v>219</v>
      </c>
      <c r="F40" t="s">
        <v>9</v>
      </c>
      <c r="G40">
        <v>3</v>
      </c>
      <c r="H40" t="s">
        <v>4</v>
      </c>
      <c r="I40">
        <v>16</v>
      </c>
      <c r="J40">
        <v>1</v>
      </c>
      <c r="K40">
        <f>IF(Convert_to_Games[[#This Row],[Total Score]]&gt;9, 1, 0)</f>
        <v>1</v>
      </c>
      <c r="L40">
        <f>IF(Convert_to_Games[[#This Row],[DD]]=0, 0, IF(L39 = "Cons DD", Convert_to_Games[[#This Row],[DD]], L39+L39))</f>
        <v>274877906944</v>
      </c>
    </row>
    <row r="41" spans="1:12">
      <c r="A41" t="s">
        <v>25</v>
      </c>
      <c r="B41">
        <v>256</v>
      </c>
      <c r="C41" t="s">
        <v>116</v>
      </c>
      <c r="D41" s="9">
        <v>45940</v>
      </c>
      <c r="E41">
        <v>231</v>
      </c>
      <c r="F41" t="s">
        <v>11</v>
      </c>
      <c r="G41">
        <v>3</v>
      </c>
      <c r="H41" t="s">
        <v>4</v>
      </c>
      <c r="I41">
        <v>16</v>
      </c>
      <c r="J41">
        <v>1</v>
      </c>
      <c r="K41">
        <f>IF(Convert_to_Games[[#This Row],[Total Score]]&gt;9, 1, 0)</f>
        <v>1</v>
      </c>
      <c r="L41">
        <f>IF(Convert_to_Games[[#This Row],[DD]]=0, 0, IF(L40 = "Cons DD", Convert_to_Games[[#This Row],[DD]], L40+L40))</f>
        <v>549755813888</v>
      </c>
    </row>
    <row r="42" spans="1:12">
      <c r="A42" t="s">
        <v>25</v>
      </c>
      <c r="B42">
        <v>256</v>
      </c>
      <c r="C42" t="s">
        <v>116</v>
      </c>
      <c r="D42" s="9">
        <v>45999</v>
      </c>
      <c r="E42">
        <v>250</v>
      </c>
      <c r="F42" t="s">
        <v>10</v>
      </c>
      <c r="G42">
        <v>4</v>
      </c>
      <c r="H42" t="s">
        <v>5</v>
      </c>
      <c r="I42">
        <v>16</v>
      </c>
      <c r="J42">
        <v>1</v>
      </c>
      <c r="K42">
        <f>IF(Convert_to_Games[[#This Row],[Total Score]]&gt;9, 1, 0)</f>
        <v>1</v>
      </c>
      <c r="L42">
        <f>IF(Convert_to_Games[[#This Row],[DD]]=0, 0, IF(L41 = "Cons DD", Convert_to_Games[[#This Row],[DD]], L41+L41))</f>
        <v>1099511627776</v>
      </c>
    </row>
    <row r="43" spans="1:12">
      <c r="A43" t="s">
        <v>25</v>
      </c>
      <c r="B43">
        <v>256</v>
      </c>
      <c r="C43" t="s">
        <v>116</v>
      </c>
      <c r="D43" s="9">
        <v>46078</v>
      </c>
      <c r="E43">
        <v>266</v>
      </c>
      <c r="F43" t="s">
        <v>11</v>
      </c>
      <c r="G43">
        <v>3</v>
      </c>
      <c r="H43" t="s">
        <v>5</v>
      </c>
      <c r="I43">
        <v>16</v>
      </c>
      <c r="J43">
        <v>0</v>
      </c>
      <c r="K43">
        <f>IF(Convert_to_Games[[#This Row],[Total Score]]&gt;9, 1, 0)</f>
        <v>1</v>
      </c>
      <c r="L43">
        <f>IF(Convert_to_Games[[#This Row],[DD]]=0, 0, IF(L42 = "Cons DD", Convert_to_Games[[#This Row],[DD]], L42+L42))</f>
        <v>2199023255552</v>
      </c>
    </row>
    <row r="44" spans="1:12">
      <c r="A44" t="s">
        <v>25</v>
      </c>
      <c r="B44">
        <v>256</v>
      </c>
      <c r="C44" t="s">
        <v>116</v>
      </c>
      <c r="D44" s="9">
        <v>46197</v>
      </c>
      <c r="E44">
        <v>287</v>
      </c>
      <c r="F44" t="s">
        <v>9</v>
      </c>
      <c r="G44">
        <v>4</v>
      </c>
      <c r="H44" t="s">
        <v>4</v>
      </c>
      <c r="I44">
        <v>16</v>
      </c>
      <c r="J44">
        <v>1</v>
      </c>
      <c r="K44">
        <f>IF(Convert_to_Games[[#This Row],[Total Score]]&gt;9, 1, 0)</f>
        <v>1</v>
      </c>
      <c r="L44">
        <f>IF(Convert_to_Games[[#This Row],[DD]]=0, 0, IF(L43 = "Cons DD", Convert_to_Games[[#This Row],[DD]], L43+L43))</f>
        <v>4398046511104</v>
      </c>
    </row>
    <row r="45" spans="1:12">
      <c r="A45" t="s">
        <v>25</v>
      </c>
      <c r="B45" t="s">
        <v>20</v>
      </c>
      <c r="C45" t="s">
        <v>16</v>
      </c>
      <c r="D45" s="9">
        <v>45756</v>
      </c>
      <c r="E45">
        <v>39</v>
      </c>
      <c r="F45" t="s">
        <v>11</v>
      </c>
      <c r="G45">
        <v>3</v>
      </c>
      <c r="H45" t="s">
        <v>4</v>
      </c>
      <c r="I45">
        <v>15</v>
      </c>
      <c r="J45">
        <v>1</v>
      </c>
      <c r="K45">
        <f>IF(Convert_to_Games[[#This Row],[Total Score]]&gt;9, 1, 0)</f>
        <v>1</v>
      </c>
      <c r="L45">
        <f>IF(Convert_to_Games[[#This Row],[DD]]=0, 0, IF(L44 = "Cons DD", Convert_to_Games[[#This Row],[DD]], L44+L44))</f>
        <v>8796093022208</v>
      </c>
    </row>
    <row r="46" spans="1:12">
      <c r="A46" t="s">
        <v>25</v>
      </c>
      <c r="B46" t="s">
        <v>21</v>
      </c>
      <c r="C46" t="s">
        <v>16</v>
      </c>
      <c r="D46" s="9">
        <v>45841</v>
      </c>
      <c r="E46">
        <v>147</v>
      </c>
      <c r="F46" t="s">
        <v>100</v>
      </c>
      <c r="G46">
        <v>3</v>
      </c>
      <c r="H46" t="s">
        <v>4</v>
      </c>
      <c r="I46">
        <v>15</v>
      </c>
      <c r="J46">
        <v>1</v>
      </c>
      <c r="K46">
        <f>IF(Convert_to_Games[[#This Row],[Total Score]]&gt;9, 1, 0)</f>
        <v>1</v>
      </c>
      <c r="L46">
        <f>IF(Convert_to_Games[[#This Row],[DD]]=0, 0, IF(L45 = "Cons DD", Convert_to_Games[[#This Row],[DD]], L45+L45))</f>
        <v>17592186044416</v>
      </c>
    </row>
    <row r="47" spans="1:12">
      <c r="A47" t="s">
        <v>25</v>
      </c>
      <c r="B47" t="s">
        <v>20</v>
      </c>
      <c r="C47" t="s">
        <v>16</v>
      </c>
      <c r="D47" s="9">
        <v>45849</v>
      </c>
      <c r="E47">
        <v>161</v>
      </c>
      <c r="F47" t="s">
        <v>103</v>
      </c>
      <c r="G47">
        <v>3</v>
      </c>
      <c r="H47" t="s">
        <v>4</v>
      </c>
      <c r="I47">
        <v>15</v>
      </c>
      <c r="J47">
        <v>1</v>
      </c>
      <c r="K47">
        <f>IF(Convert_to_Games[[#This Row],[Total Score]]&gt;9, 1, 0)</f>
        <v>1</v>
      </c>
      <c r="L47">
        <f>IF(Convert_to_Games[[#This Row],[DD]]=0, 0, IF(L46 = "Cons DD", Convert_to_Games[[#This Row],[DD]], L46+L46))</f>
        <v>35184372088832</v>
      </c>
    </row>
    <row r="48" spans="1:12">
      <c r="A48" t="s">
        <v>25</v>
      </c>
      <c r="B48">
        <v>256</v>
      </c>
      <c r="C48" t="s">
        <v>116</v>
      </c>
      <c r="D48" s="9">
        <v>45894</v>
      </c>
      <c r="E48">
        <v>210</v>
      </c>
      <c r="F48" t="s">
        <v>11</v>
      </c>
      <c r="G48">
        <v>3</v>
      </c>
      <c r="H48" t="s">
        <v>4</v>
      </c>
      <c r="I48">
        <v>15</v>
      </c>
      <c r="J48">
        <v>1</v>
      </c>
      <c r="K48">
        <f>IF(Convert_to_Games[[#This Row],[Total Score]]&gt;9, 1, 0)</f>
        <v>1</v>
      </c>
      <c r="L48">
        <f>IF(Convert_to_Games[[#This Row],[DD]]=0, 0, IF(L47 = "Cons DD", Convert_to_Games[[#This Row],[DD]], L47+L47))</f>
        <v>70368744177664</v>
      </c>
    </row>
    <row r="49" spans="1:12">
      <c r="A49" t="s">
        <v>25</v>
      </c>
      <c r="B49">
        <v>256</v>
      </c>
      <c r="C49" t="s">
        <v>116</v>
      </c>
      <c r="D49" s="9">
        <v>45897</v>
      </c>
      <c r="E49">
        <v>212</v>
      </c>
      <c r="F49" t="s">
        <v>11</v>
      </c>
      <c r="G49">
        <v>3</v>
      </c>
      <c r="H49" t="s">
        <v>4</v>
      </c>
      <c r="I49">
        <v>15</v>
      </c>
      <c r="J49">
        <v>1</v>
      </c>
      <c r="K49">
        <f>IF(Convert_to_Games[[#This Row],[Total Score]]&gt;9, 1, 0)</f>
        <v>1</v>
      </c>
      <c r="L49">
        <f>IF(Convert_to_Games[[#This Row],[DD]]=0, 0, IF(L48 = "Cons DD", Convert_to_Games[[#This Row],[DD]], L48+L48))</f>
        <v>140737488355328</v>
      </c>
    </row>
    <row r="50" spans="1:12">
      <c r="A50" t="s">
        <v>25</v>
      </c>
      <c r="B50">
        <v>256</v>
      </c>
      <c r="C50" t="s">
        <v>116</v>
      </c>
      <c r="D50" s="9">
        <v>45930</v>
      </c>
      <c r="E50">
        <v>228</v>
      </c>
      <c r="F50" t="s">
        <v>11</v>
      </c>
      <c r="G50">
        <v>3</v>
      </c>
      <c r="H50" t="s">
        <v>4</v>
      </c>
      <c r="I50">
        <v>15</v>
      </c>
      <c r="J50">
        <v>1</v>
      </c>
      <c r="K50">
        <f>IF(Convert_to_Games[[#This Row],[Total Score]]&gt;9, 1, 0)</f>
        <v>1</v>
      </c>
      <c r="L50">
        <f>IF(Convert_to_Games[[#This Row],[DD]]=0, 0, IF(L49 = "Cons DD", Convert_to_Games[[#This Row],[DD]], L49+L49))</f>
        <v>281474976710656</v>
      </c>
    </row>
    <row r="51" spans="1:12">
      <c r="A51" t="s">
        <v>25</v>
      </c>
      <c r="B51">
        <v>256</v>
      </c>
      <c r="C51" t="s">
        <v>116</v>
      </c>
      <c r="D51" s="9">
        <v>45931</v>
      </c>
      <c r="E51">
        <v>229</v>
      </c>
      <c r="F51" t="s">
        <v>11</v>
      </c>
      <c r="G51">
        <v>3</v>
      </c>
      <c r="H51" t="s">
        <v>4</v>
      </c>
      <c r="I51">
        <v>15</v>
      </c>
      <c r="J51">
        <v>1</v>
      </c>
      <c r="K51">
        <f>IF(Convert_to_Games[[#This Row],[Total Score]]&gt;9, 1, 0)</f>
        <v>1</v>
      </c>
      <c r="L51">
        <f>IF(Convert_to_Games[[#This Row],[DD]]=0, 0, IF(L50 = "Cons DD", Convert_to_Games[[#This Row],[DD]], L50+L50))</f>
        <v>562949953421312</v>
      </c>
    </row>
    <row r="52" spans="1:12">
      <c r="A52" t="s">
        <v>25</v>
      </c>
      <c r="B52">
        <v>256</v>
      </c>
      <c r="C52" t="s">
        <v>116</v>
      </c>
      <c r="D52" s="9">
        <v>45958</v>
      </c>
      <c r="E52">
        <v>236</v>
      </c>
      <c r="F52" t="s">
        <v>9</v>
      </c>
      <c r="G52">
        <v>5</v>
      </c>
      <c r="H52" t="s">
        <v>4</v>
      </c>
      <c r="I52">
        <v>15</v>
      </c>
      <c r="J52">
        <v>1</v>
      </c>
      <c r="K52">
        <f>IF(Convert_to_Games[[#This Row],[Total Score]]&gt;9, 1, 0)</f>
        <v>1</v>
      </c>
      <c r="L52">
        <f>IF(Convert_to_Games[[#This Row],[DD]]=0, 0, IF(L51 = "Cons DD", Convert_to_Games[[#This Row],[DD]], L51+L51))</f>
        <v>1125899906842624</v>
      </c>
    </row>
    <row r="53" spans="1:12">
      <c r="A53" t="s">
        <v>25</v>
      </c>
      <c r="B53">
        <v>256</v>
      </c>
      <c r="C53" t="s">
        <v>116</v>
      </c>
      <c r="D53" s="9">
        <v>45992</v>
      </c>
      <c r="E53">
        <v>244</v>
      </c>
      <c r="F53" t="s">
        <v>11</v>
      </c>
      <c r="G53">
        <v>5</v>
      </c>
      <c r="H53" t="s">
        <v>4</v>
      </c>
      <c r="I53">
        <v>15</v>
      </c>
      <c r="J53">
        <v>0</v>
      </c>
      <c r="K53">
        <f>IF(Convert_to_Games[[#This Row],[Total Score]]&gt;9, 1, 0)</f>
        <v>1</v>
      </c>
      <c r="L53">
        <f>IF(Convert_to_Games[[#This Row],[DD]]=0, 0, IF(L52 = "Cons DD", Convert_to_Games[[#This Row],[DD]], L52+L52))</f>
        <v>2251799813685248</v>
      </c>
    </row>
    <row r="54" spans="1:12">
      <c r="A54" t="s">
        <v>25</v>
      </c>
      <c r="B54">
        <v>256</v>
      </c>
      <c r="C54" t="s">
        <v>116</v>
      </c>
      <c r="D54" s="9">
        <v>45996</v>
      </c>
      <c r="E54">
        <v>248</v>
      </c>
      <c r="F54" t="s">
        <v>11</v>
      </c>
      <c r="G54">
        <v>3</v>
      </c>
      <c r="H54" t="s">
        <v>4</v>
      </c>
      <c r="I54">
        <v>15</v>
      </c>
      <c r="J54">
        <v>1</v>
      </c>
      <c r="K54">
        <f>IF(Convert_to_Games[[#This Row],[Total Score]]&gt;9, 1, 0)</f>
        <v>1</v>
      </c>
      <c r="L54">
        <f>IF(Convert_to_Games[[#This Row],[DD]]=0, 0, IF(L53 = "Cons DD", Convert_to_Games[[#This Row],[DD]], L53+L53))</f>
        <v>4503599627370496</v>
      </c>
    </row>
    <row r="55" spans="1:12">
      <c r="A55" t="s">
        <v>25</v>
      </c>
      <c r="B55">
        <v>256</v>
      </c>
      <c r="C55" t="s">
        <v>116</v>
      </c>
      <c r="D55" s="9">
        <v>45999</v>
      </c>
      <c r="E55">
        <v>249</v>
      </c>
      <c r="F55" t="s">
        <v>8</v>
      </c>
      <c r="G55">
        <v>3</v>
      </c>
      <c r="H55" t="s">
        <v>5</v>
      </c>
      <c r="I55">
        <v>15</v>
      </c>
      <c r="J55">
        <v>1</v>
      </c>
      <c r="K55">
        <f>IF(Convert_to_Games[[#This Row],[Total Score]]&gt;9, 1, 0)</f>
        <v>1</v>
      </c>
      <c r="L55">
        <f>IF(Convert_to_Games[[#This Row],[DD]]=0, 0, IF(L54 = "Cons DD", Convert_to_Games[[#This Row],[DD]], L54+L54))</f>
        <v>9007199254740992</v>
      </c>
    </row>
    <row r="56" spans="1:12">
      <c r="A56" t="s">
        <v>25</v>
      </c>
      <c r="B56">
        <v>256</v>
      </c>
      <c r="C56" t="s">
        <v>116</v>
      </c>
      <c r="D56" s="9">
        <v>46058</v>
      </c>
      <c r="E56">
        <v>260</v>
      </c>
      <c r="F56" t="s">
        <v>9</v>
      </c>
      <c r="G56">
        <v>4</v>
      </c>
      <c r="H56" t="s">
        <v>5</v>
      </c>
      <c r="I56">
        <v>15</v>
      </c>
      <c r="J56">
        <v>0</v>
      </c>
      <c r="K56">
        <f>IF(Convert_to_Games[[#This Row],[Total Score]]&gt;9, 1, 0)</f>
        <v>1</v>
      </c>
      <c r="L56">
        <f>IF(Convert_to_Games[[#This Row],[DD]]=0, 0, IF(L55 = "Cons DD", Convert_to_Games[[#This Row],[DD]], L55+L55))</f>
        <v>1.8014398509481984E+16</v>
      </c>
    </row>
    <row r="57" spans="1:12">
      <c r="A57" t="s">
        <v>25</v>
      </c>
      <c r="B57">
        <v>256</v>
      </c>
      <c r="C57" t="s">
        <v>116</v>
      </c>
      <c r="D57" s="9">
        <v>46085</v>
      </c>
      <c r="E57">
        <v>269</v>
      </c>
      <c r="F57" t="s">
        <v>84</v>
      </c>
      <c r="G57">
        <v>3</v>
      </c>
      <c r="H57" t="s">
        <v>4</v>
      </c>
      <c r="I57">
        <v>15</v>
      </c>
      <c r="J57">
        <v>1</v>
      </c>
      <c r="K57">
        <f>IF(Convert_to_Games[[#This Row],[Total Score]]&gt;9, 1, 0)</f>
        <v>1</v>
      </c>
      <c r="L57">
        <f>IF(Convert_to_Games[[#This Row],[DD]]=0, 0, IF(L56 = "Cons DD", Convert_to_Games[[#This Row],[DD]], L56+L56))</f>
        <v>3.6028797018963968E+16</v>
      </c>
    </row>
    <row r="58" spans="1:12">
      <c r="A58" t="s">
        <v>25</v>
      </c>
      <c r="B58" t="s">
        <v>20</v>
      </c>
      <c r="C58" t="s">
        <v>16</v>
      </c>
      <c r="D58" s="9">
        <v>45714</v>
      </c>
      <c r="E58">
        <v>11</v>
      </c>
      <c r="F58" t="s">
        <v>12</v>
      </c>
      <c r="G58">
        <v>3</v>
      </c>
      <c r="H58" t="s">
        <v>4</v>
      </c>
      <c r="I58">
        <v>14</v>
      </c>
      <c r="J58">
        <v>1</v>
      </c>
      <c r="K58">
        <f>IF(Convert_to_Games[[#This Row],[Total Score]]&gt;9, 1, 0)</f>
        <v>1</v>
      </c>
      <c r="L58">
        <f>IF(Convert_to_Games[[#This Row],[DD]]=0, 0, IF(L57 = "Cons DD", Convert_to_Games[[#This Row],[DD]], L57+L57))</f>
        <v>7.2057594037927936E+16</v>
      </c>
    </row>
    <row r="59" spans="1:12">
      <c r="A59" t="s">
        <v>25</v>
      </c>
      <c r="B59" t="s">
        <v>20</v>
      </c>
      <c r="C59" t="s">
        <v>16</v>
      </c>
      <c r="D59" s="9">
        <v>45784</v>
      </c>
      <c r="E59">
        <v>93</v>
      </c>
      <c r="F59" t="s">
        <v>11</v>
      </c>
      <c r="G59">
        <v>3</v>
      </c>
      <c r="H59" t="s">
        <v>4</v>
      </c>
      <c r="I59">
        <v>14</v>
      </c>
      <c r="J59">
        <v>1</v>
      </c>
      <c r="K59">
        <f>IF(Convert_to_Games[[#This Row],[Total Score]]&gt;9, 1, 0)</f>
        <v>1</v>
      </c>
      <c r="L59">
        <f>IF(Convert_to_Games[[#This Row],[DD]]=0, 0, IF(L58 = "Cons DD", Convert_to_Games[[#This Row],[DD]], L58+L58))</f>
        <v>1.4411518807585587E+17</v>
      </c>
    </row>
    <row r="60" spans="1:12">
      <c r="A60" t="s">
        <v>25</v>
      </c>
      <c r="B60" t="s">
        <v>19</v>
      </c>
      <c r="C60" t="s">
        <v>16</v>
      </c>
      <c r="D60" s="9">
        <v>45825</v>
      </c>
      <c r="E60">
        <v>115</v>
      </c>
      <c r="F60" t="s">
        <v>8</v>
      </c>
      <c r="G60">
        <v>3</v>
      </c>
      <c r="H60" t="s">
        <v>4</v>
      </c>
      <c r="I60">
        <v>14</v>
      </c>
      <c r="J60">
        <v>1</v>
      </c>
      <c r="K60">
        <f>IF(Convert_to_Games[[#This Row],[Total Score]]&gt;9, 1, 0)</f>
        <v>1</v>
      </c>
      <c r="L60">
        <f>IF(Convert_to_Games[[#This Row],[DD]]=0, 0, IF(L59 = "Cons DD", Convert_to_Games[[#This Row],[DD]], L59+L59))</f>
        <v>2.8823037615171174E+17</v>
      </c>
    </row>
    <row r="61" spans="1:12">
      <c r="A61" t="s">
        <v>25</v>
      </c>
      <c r="B61" t="s">
        <v>21</v>
      </c>
      <c r="C61" t="s">
        <v>16</v>
      </c>
      <c r="D61" s="9">
        <v>45826</v>
      </c>
      <c r="E61">
        <v>117</v>
      </c>
      <c r="F61" t="s">
        <v>11</v>
      </c>
      <c r="G61">
        <v>3</v>
      </c>
      <c r="H61" t="s">
        <v>4</v>
      </c>
      <c r="I61">
        <v>14</v>
      </c>
      <c r="J61">
        <v>1</v>
      </c>
      <c r="K61">
        <f>IF(Convert_to_Games[[#This Row],[Total Score]]&gt;9, 1, 0)</f>
        <v>1</v>
      </c>
      <c r="L61">
        <f>IF(Convert_to_Games[[#This Row],[DD]]=0, 0, IF(L60 = "Cons DD", Convert_to_Games[[#This Row],[DD]], L60+L60))</f>
        <v>5.7646075230342349E+17</v>
      </c>
    </row>
    <row r="62" spans="1:12">
      <c r="A62" t="s">
        <v>25</v>
      </c>
      <c r="B62" t="s">
        <v>20</v>
      </c>
      <c r="C62" t="s">
        <v>16</v>
      </c>
      <c r="D62" s="9">
        <v>45833</v>
      </c>
      <c r="E62">
        <v>130</v>
      </c>
      <c r="F62" t="s">
        <v>94</v>
      </c>
      <c r="G62">
        <v>3</v>
      </c>
      <c r="H62" t="s">
        <v>4</v>
      </c>
      <c r="I62">
        <v>14</v>
      </c>
      <c r="J62">
        <v>1</v>
      </c>
      <c r="K62">
        <f>IF(Convert_to_Games[[#This Row],[Total Score]]&gt;9, 1, 0)</f>
        <v>1</v>
      </c>
      <c r="L62">
        <f>IF(Convert_to_Games[[#This Row],[DD]]=0, 0, IF(L61 = "Cons DD", Convert_to_Games[[#This Row],[DD]], L61+L61))</f>
        <v>1.152921504606847E+18</v>
      </c>
    </row>
    <row r="63" spans="1:12">
      <c r="A63" t="s">
        <v>25</v>
      </c>
      <c r="B63" t="s">
        <v>20</v>
      </c>
      <c r="C63" t="s">
        <v>16</v>
      </c>
      <c r="D63" s="9">
        <v>45839</v>
      </c>
      <c r="E63">
        <v>140</v>
      </c>
      <c r="F63" t="s">
        <v>100</v>
      </c>
      <c r="G63">
        <v>4</v>
      </c>
      <c r="H63" t="s">
        <v>5</v>
      </c>
      <c r="I63">
        <v>14</v>
      </c>
      <c r="J63">
        <v>1</v>
      </c>
      <c r="K63">
        <f>IF(Convert_to_Games[[#This Row],[Total Score]]&gt;9, 1, 0)</f>
        <v>1</v>
      </c>
      <c r="L63">
        <f>IF(Convert_to_Games[[#This Row],[DD]]=0, 0, IF(L62 = "Cons DD", Convert_to_Games[[#This Row],[DD]], L62+L62))</f>
        <v>2.305843009213694E+18</v>
      </c>
    </row>
    <row r="64" spans="1:12">
      <c r="A64" t="s">
        <v>25</v>
      </c>
      <c r="B64" t="s">
        <v>19</v>
      </c>
      <c r="C64" t="s">
        <v>16</v>
      </c>
      <c r="D64" s="9">
        <v>45839</v>
      </c>
      <c r="E64">
        <v>141</v>
      </c>
      <c r="F64" t="s">
        <v>8</v>
      </c>
      <c r="G64">
        <v>3</v>
      </c>
      <c r="H64" t="s">
        <v>5</v>
      </c>
      <c r="I64">
        <v>14</v>
      </c>
      <c r="J64">
        <v>1</v>
      </c>
      <c r="K64">
        <f>IF(Convert_to_Games[[#This Row],[Total Score]]&gt;9, 1, 0)</f>
        <v>1</v>
      </c>
      <c r="L64">
        <f>IF(Convert_to_Games[[#This Row],[DD]]=0, 0, IF(L63 = "Cons DD", Convert_to_Games[[#This Row],[DD]], L63+L63))</f>
        <v>4.6116860184273879E+18</v>
      </c>
    </row>
    <row r="65" spans="1:12">
      <c r="A65" t="s">
        <v>25</v>
      </c>
      <c r="B65" t="s">
        <v>20</v>
      </c>
      <c r="C65" t="s">
        <v>116</v>
      </c>
      <c r="D65" s="9">
        <v>45876</v>
      </c>
      <c r="E65">
        <v>200</v>
      </c>
      <c r="F65" t="s">
        <v>9</v>
      </c>
      <c r="G65">
        <v>3</v>
      </c>
      <c r="H65" t="s">
        <v>4</v>
      </c>
      <c r="I65">
        <v>14</v>
      </c>
      <c r="J65">
        <v>1</v>
      </c>
      <c r="K65">
        <f>IF(Convert_to_Games[[#This Row],[Total Score]]&gt;9, 1, 0)</f>
        <v>1</v>
      </c>
      <c r="L65">
        <f>IF(Convert_to_Games[[#This Row],[DD]]=0, 0, IF(L64 = "Cons DD", Convert_to_Games[[#This Row],[DD]], L64+L64))</f>
        <v>9.2233720368547758E+18</v>
      </c>
    </row>
    <row r="66" spans="1:12">
      <c r="A66" t="s">
        <v>25</v>
      </c>
      <c r="B66">
        <v>256</v>
      </c>
      <c r="C66" t="s">
        <v>116</v>
      </c>
      <c r="D66" s="9">
        <v>45882</v>
      </c>
      <c r="E66">
        <v>204</v>
      </c>
      <c r="F66" t="s">
        <v>11</v>
      </c>
      <c r="G66">
        <v>4</v>
      </c>
      <c r="H66" t="s">
        <v>5</v>
      </c>
      <c r="I66">
        <v>14</v>
      </c>
      <c r="J66">
        <v>0</v>
      </c>
      <c r="K66">
        <f>IF(Convert_to_Games[[#This Row],[Total Score]]&gt;9, 1, 0)</f>
        <v>1</v>
      </c>
      <c r="L66">
        <f>IF(Convert_to_Games[[#This Row],[DD]]=0, 0, IF(L65 = "Cons DD", Convert_to_Games[[#This Row],[DD]], L65+L65))</f>
        <v>1.8446744073709552E+19</v>
      </c>
    </row>
    <row r="67" spans="1:12">
      <c r="A67" t="s">
        <v>25</v>
      </c>
      <c r="B67">
        <v>256</v>
      </c>
      <c r="C67" t="s">
        <v>116</v>
      </c>
      <c r="D67" s="9">
        <v>45898</v>
      </c>
      <c r="E67">
        <v>213</v>
      </c>
      <c r="F67" t="s">
        <v>15</v>
      </c>
      <c r="G67">
        <v>3</v>
      </c>
      <c r="H67" t="s">
        <v>4</v>
      </c>
      <c r="I67">
        <v>14</v>
      </c>
      <c r="J67">
        <v>1</v>
      </c>
      <c r="K67">
        <f>IF(Convert_to_Games[[#This Row],[Total Score]]&gt;9, 1, 0)</f>
        <v>1</v>
      </c>
      <c r="L67">
        <f>IF(Convert_to_Games[[#This Row],[DD]]=0, 0, IF(L66 = "Cons DD", Convert_to_Games[[#This Row],[DD]], L66+L66))</f>
        <v>3.6893488147419103E+19</v>
      </c>
    </row>
    <row r="68" spans="1:12">
      <c r="A68" t="s">
        <v>25</v>
      </c>
      <c r="B68">
        <v>256</v>
      </c>
      <c r="C68" t="s">
        <v>116</v>
      </c>
      <c r="D68" s="9">
        <v>45903</v>
      </c>
      <c r="E68">
        <v>215</v>
      </c>
      <c r="F68" t="s">
        <v>11</v>
      </c>
      <c r="G68">
        <v>3</v>
      </c>
      <c r="H68" t="s">
        <v>4</v>
      </c>
      <c r="I68">
        <v>14</v>
      </c>
      <c r="J68">
        <v>1</v>
      </c>
      <c r="K68">
        <f>IF(Convert_to_Games[[#This Row],[Total Score]]&gt;9, 1, 0)</f>
        <v>1</v>
      </c>
      <c r="L68">
        <f>IF(Convert_to_Games[[#This Row],[DD]]=0, 0, IF(L67 = "Cons DD", Convert_to_Games[[#This Row],[DD]], L67+L67))</f>
        <v>7.3786976294838206E+19</v>
      </c>
    </row>
    <row r="69" spans="1:12">
      <c r="A69" t="s">
        <v>25</v>
      </c>
      <c r="B69">
        <v>256</v>
      </c>
      <c r="C69" t="s">
        <v>116</v>
      </c>
      <c r="D69" s="9">
        <v>45918</v>
      </c>
      <c r="E69">
        <v>222</v>
      </c>
      <c r="F69" t="s">
        <v>9</v>
      </c>
      <c r="G69">
        <v>3</v>
      </c>
      <c r="H69" t="s">
        <v>4</v>
      </c>
      <c r="I69">
        <v>14</v>
      </c>
      <c r="J69">
        <v>1</v>
      </c>
      <c r="K69">
        <f>IF(Convert_to_Games[[#This Row],[Total Score]]&gt;9, 1, 0)</f>
        <v>1</v>
      </c>
      <c r="L69">
        <f>IF(Convert_to_Games[[#This Row],[DD]]=0, 0, IF(L68 = "Cons DD", Convert_to_Games[[#This Row],[DD]], L68+L68))</f>
        <v>1.4757395258967641E+20</v>
      </c>
    </row>
    <row r="70" spans="1:12">
      <c r="A70" t="s">
        <v>25</v>
      </c>
      <c r="B70">
        <v>256</v>
      </c>
      <c r="C70" t="s">
        <v>116</v>
      </c>
      <c r="D70" s="9">
        <v>45923</v>
      </c>
      <c r="E70">
        <v>224</v>
      </c>
      <c r="F70" t="s">
        <v>9</v>
      </c>
      <c r="G70">
        <v>3</v>
      </c>
      <c r="H70" t="s">
        <v>4</v>
      </c>
      <c r="I70">
        <v>14</v>
      </c>
      <c r="J70">
        <v>1</v>
      </c>
      <c r="K70">
        <f>IF(Convert_to_Games[[#This Row],[Total Score]]&gt;9, 1, 0)</f>
        <v>1</v>
      </c>
      <c r="L70">
        <f>IF(Convert_to_Games[[#This Row],[DD]]=0, 0, IF(L69 = "Cons DD", Convert_to_Games[[#This Row],[DD]], L69+L69))</f>
        <v>2.9514790517935283E+20</v>
      </c>
    </row>
    <row r="71" spans="1:12">
      <c r="A71" t="s">
        <v>25</v>
      </c>
      <c r="B71">
        <v>256</v>
      </c>
      <c r="C71" t="s">
        <v>116</v>
      </c>
      <c r="D71" s="9">
        <v>45958</v>
      </c>
      <c r="E71">
        <v>236</v>
      </c>
      <c r="F71" t="s">
        <v>9</v>
      </c>
      <c r="G71">
        <v>5</v>
      </c>
      <c r="H71" t="s">
        <v>5</v>
      </c>
      <c r="I71">
        <v>14</v>
      </c>
      <c r="J71">
        <v>0</v>
      </c>
      <c r="K71">
        <f>IF(Convert_to_Games[[#This Row],[Total Score]]&gt;9, 1, 0)</f>
        <v>1</v>
      </c>
      <c r="L71">
        <f>IF(Convert_to_Games[[#This Row],[DD]]=0, 0, IF(L70 = "Cons DD", Convert_to_Games[[#This Row],[DD]], L70+L70))</f>
        <v>5.9029581035870565E+20</v>
      </c>
    </row>
    <row r="72" spans="1:12">
      <c r="A72" t="s">
        <v>25</v>
      </c>
      <c r="B72">
        <v>256</v>
      </c>
      <c r="C72" t="s">
        <v>116</v>
      </c>
      <c r="D72" s="9">
        <v>45973</v>
      </c>
      <c r="E72">
        <v>240</v>
      </c>
      <c r="F72" t="s">
        <v>57</v>
      </c>
      <c r="G72">
        <v>3</v>
      </c>
      <c r="H72" t="s">
        <v>4</v>
      </c>
      <c r="I72">
        <v>14</v>
      </c>
      <c r="J72">
        <v>1</v>
      </c>
      <c r="K72">
        <f>IF(Convert_to_Games[[#This Row],[Total Score]]&gt;9, 1, 0)</f>
        <v>1</v>
      </c>
      <c r="L72">
        <f>IF(Convert_to_Games[[#This Row],[DD]]=0, 0, IF(L71 = "Cons DD", Convert_to_Games[[#This Row],[DD]], L71+L71))</f>
        <v>1.1805916207174113E+21</v>
      </c>
    </row>
    <row r="73" spans="1:12">
      <c r="A73" t="s">
        <v>25</v>
      </c>
      <c r="B73">
        <v>256</v>
      </c>
      <c r="C73" t="s">
        <v>116</v>
      </c>
      <c r="D73" s="9">
        <v>45981</v>
      </c>
      <c r="E73">
        <v>242</v>
      </c>
      <c r="F73" t="s">
        <v>11</v>
      </c>
      <c r="G73">
        <v>3</v>
      </c>
      <c r="H73" t="s">
        <v>4</v>
      </c>
      <c r="I73">
        <v>14</v>
      </c>
      <c r="J73">
        <v>1</v>
      </c>
      <c r="K73">
        <f>IF(Convert_to_Games[[#This Row],[Total Score]]&gt;9, 1, 0)</f>
        <v>1</v>
      </c>
      <c r="L73">
        <f>IF(Convert_to_Games[[#This Row],[DD]]=0, 0, IF(L72 = "Cons DD", Convert_to_Games[[#This Row],[DD]], L72+L72))</f>
        <v>2.3611832414348226E+21</v>
      </c>
    </row>
    <row r="74" spans="1:12">
      <c r="A74" t="s">
        <v>25</v>
      </c>
      <c r="B74">
        <v>256</v>
      </c>
      <c r="C74" t="s">
        <v>116</v>
      </c>
      <c r="D74" s="9">
        <v>45993</v>
      </c>
      <c r="E74">
        <v>245</v>
      </c>
      <c r="F74" t="s">
        <v>9</v>
      </c>
      <c r="G74">
        <v>3</v>
      </c>
      <c r="H74" t="s">
        <v>4</v>
      </c>
      <c r="I74">
        <v>14</v>
      </c>
      <c r="J74">
        <v>1</v>
      </c>
      <c r="K74">
        <f>IF(Convert_to_Games[[#This Row],[Total Score]]&gt;9, 1, 0)</f>
        <v>1</v>
      </c>
      <c r="L74">
        <f>IF(Convert_to_Games[[#This Row],[DD]]=0, 0, IF(L73 = "Cons DD", Convert_to_Games[[#This Row],[DD]], L73+L73))</f>
        <v>4.7223664828696452E+21</v>
      </c>
    </row>
    <row r="75" spans="1:12">
      <c r="A75" t="s">
        <v>25</v>
      </c>
      <c r="B75">
        <v>256</v>
      </c>
      <c r="C75" t="s">
        <v>116</v>
      </c>
      <c r="D75" s="9">
        <v>46084</v>
      </c>
      <c r="E75">
        <v>268</v>
      </c>
      <c r="F75" t="s">
        <v>9</v>
      </c>
      <c r="G75">
        <v>3</v>
      </c>
      <c r="H75" t="s">
        <v>4</v>
      </c>
      <c r="I75">
        <v>14</v>
      </c>
      <c r="J75">
        <v>1</v>
      </c>
      <c r="K75">
        <f>IF(Convert_to_Games[[#This Row],[Total Score]]&gt;9, 1, 0)</f>
        <v>1</v>
      </c>
      <c r="L75">
        <f>IF(Convert_to_Games[[#This Row],[DD]]=0, 0, IF(L74 = "Cons DD", Convert_to_Games[[#This Row],[DD]], L74+L74))</f>
        <v>9.4447329657392904E+21</v>
      </c>
    </row>
    <row r="76" spans="1:12">
      <c r="A76" t="s">
        <v>25</v>
      </c>
      <c r="B76">
        <v>256</v>
      </c>
      <c r="C76" t="s">
        <v>116</v>
      </c>
      <c r="D76" s="9">
        <v>46094</v>
      </c>
      <c r="E76">
        <v>275</v>
      </c>
      <c r="F76" t="s">
        <v>11</v>
      </c>
      <c r="G76">
        <v>4</v>
      </c>
      <c r="H76" t="s">
        <v>5</v>
      </c>
      <c r="I76">
        <v>14</v>
      </c>
      <c r="J76">
        <v>0</v>
      </c>
      <c r="K76">
        <f>IF(Convert_to_Games[[#This Row],[Total Score]]&gt;9, 1, 0)</f>
        <v>1</v>
      </c>
      <c r="L76">
        <f>IF(Convert_to_Games[[#This Row],[DD]]=0, 0, IF(L75 = "Cons DD", Convert_to_Games[[#This Row],[DD]], L75+L75))</f>
        <v>1.8889465931478581E+22</v>
      </c>
    </row>
    <row r="77" spans="1:12">
      <c r="A77" t="s">
        <v>25</v>
      </c>
      <c r="B77">
        <v>256</v>
      </c>
      <c r="C77" t="s">
        <v>116</v>
      </c>
      <c r="D77" s="9">
        <v>46108</v>
      </c>
      <c r="E77">
        <v>278</v>
      </c>
      <c r="F77" t="s">
        <v>9</v>
      </c>
      <c r="G77">
        <v>4</v>
      </c>
      <c r="H77" t="s">
        <v>4</v>
      </c>
      <c r="I77">
        <v>14</v>
      </c>
      <c r="J77">
        <v>1</v>
      </c>
      <c r="K77">
        <f>IF(Convert_to_Games[[#This Row],[Total Score]]&gt;9, 1, 0)</f>
        <v>1</v>
      </c>
      <c r="L77">
        <f>IF(Convert_to_Games[[#This Row],[DD]]=0, 0, IF(L76 = "Cons DD", Convert_to_Games[[#This Row],[DD]], L76+L76))</f>
        <v>3.7778931862957162E+22</v>
      </c>
    </row>
    <row r="78" spans="1:12">
      <c r="A78" t="s">
        <v>25</v>
      </c>
      <c r="B78" t="s">
        <v>19</v>
      </c>
      <c r="C78" t="s">
        <v>16</v>
      </c>
      <c r="D78" s="9">
        <v>45769</v>
      </c>
      <c r="E78">
        <v>61</v>
      </c>
      <c r="F78" t="s">
        <v>11</v>
      </c>
      <c r="G78">
        <v>3</v>
      </c>
      <c r="H78" t="s">
        <v>4</v>
      </c>
      <c r="I78">
        <v>13</v>
      </c>
      <c r="J78">
        <v>1</v>
      </c>
      <c r="K78">
        <f>IF(Convert_to_Games[[#This Row],[Total Score]]&gt;9, 1, 0)</f>
        <v>1</v>
      </c>
      <c r="L78">
        <f>IF(Convert_to_Games[[#This Row],[DD]]=0, 0, IF(L77 = "Cons DD", Convert_to_Games[[#This Row],[DD]], L77+L77))</f>
        <v>7.5557863725914323E+22</v>
      </c>
    </row>
    <row r="79" spans="1:12">
      <c r="A79" t="s">
        <v>25</v>
      </c>
      <c r="B79" t="s">
        <v>19</v>
      </c>
      <c r="C79" t="s">
        <v>16</v>
      </c>
      <c r="D79" s="9">
        <v>45772</v>
      </c>
      <c r="E79">
        <v>71</v>
      </c>
      <c r="F79" t="s">
        <v>11</v>
      </c>
      <c r="G79">
        <v>3</v>
      </c>
      <c r="H79" t="s">
        <v>4</v>
      </c>
      <c r="I79">
        <v>13</v>
      </c>
      <c r="J79">
        <v>1</v>
      </c>
      <c r="K79">
        <f>IF(Convert_to_Games[[#This Row],[Total Score]]&gt;9, 1, 0)</f>
        <v>1</v>
      </c>
      <c r="L79">
        <f>IF(Convert_to_Games[[#This Row],[DD]]=0, 0, IF(L78 = "Cons DD", Convert_to_Games[[#This Row],[DD]], L78+L78))</f>
        <v>1.5111572745182865E+23</v>
      </c>
    </row>
    <row r="80" spans="1:12">
      <c r="A80" t="s">
        <v>25</v>
      </c>
      <c r="B80" t="s">
        <v>20</v>
      </c>
      <c r="C80" t="s">
        <v>16</v>
      </c>
      <c r="D80" s="9">
        <v>45827</v>
      </c>
      <c r="E80">
        <v>119</v>
      </c>
      <c r="F80" t="s">
        <v>9</v>
      </c>
      <c r="G80">
        <v>3</v>
      </c>
      <c r="H80" t="s">
        <v>5</v>
      </c>
      <c r="I80">
        <v>13</v>
      </c>
      <c r="J80">
        <v>1</v>
      </c>
      <c r="K80">
        <f>IF(Convert_to_Games[[#This Row],[Total Score]]&gt;9, 1, 0)</f>
        <v>1</v>
      </c>
      <c r="L80">
        <f>IF(Convert_to_Games[[#This Row],[DD]]=0, 0, IF(L79 = "Cons DD", Convert_to_Games[[#This Row],[DD]], L79+L79))</f>
        <v>3.0223145490365729E+23</v>
      </c>
    </row>
    <row r="81" spans="1:12">
      <c r="A81" t="s">
        <v>25</v>
      </c>
      <c r="B81" t="s">
        <v>19</v>
      </c>
      <c r="C81" t="s">
        <v>16</v>
      </c>
      <c r="D81" s="9">
        <v>45838</v>
      </c>
      <c r="E81">
        <v>138</v>
      </c>
      <c r="F81" t="s">
        <v>94</v>
      </c>
      <c r="G81">
        <v>3</v>
      </c>
      <c r="H81" t="s">
        <v>4</v>
      </c>
      <c r="I81">
        <v>13</v>
      </c>
      <c r="J81">
        <v>1</v>
      </c>
      <c r="K81">
        <f>IF(Convert_to_Games[[#This Row],[Total Score]]&gt;9, 1, 0)</f>
        <v>1</v>
      </c>
      <c r="L81">
        <f>IF(Convert_to_Games[[#This Row],[DD]]=0, 0, IF(L80 = "Cons DD", Convert_to_Games[[#This Row],[DD]], L80+L80))</f>
        <v>6.0446290980731459E+23</v>
      </c>
    </row>
    <row r="82" spans="1:12">
      <c r="A82" t="s">
        <v>25</v>
      </c>
      <c r="B82" t="s">
        <v>19</v>
      </c>
      <c r="C82" t="s">
        <v>16</v>
      </c>
      <c r="D82" s="9">
        <v>45841</v>
      </c>
      <c r="E82">
        <v>146</v>
      </c>
      <c r="F82" t="s">
        <v>104</v>
      </c>
      <c r="G82">
        <v>3</v>
      </c>
      <c r="H82" t="s">
        <v>5</v>
      </c>
      <c r="I82">
        <v>13</v>
      </c>
      <c r="J82">
        <v>1</v>
      </c>
      <c r="K82">
        <f>IF(Convert_to_Games[[#This Row],[Total Score]]&gt;9, 1, 0)</f>
        <v>1</v>
      </c>
      <c r="L82">
        <f>IF(Convert_to_Games[[#This Row],[DD]]=0, 0, IF(L81 = "Cons DD", Convert_to_Games[[#This Row],[DD]], L81+L81))</f>
        <v>1.2089258196146292E+24</v>
      </c>
    </row>
    <row r="83" spans="1:12">
      <c r="A83" t="s">
        <v>25</v>
      </c>
      <c r="B83" t="s">
        <v>20</v>
      </c>
      <c r="C83" t="s">
        <v>16</v>
      </c>
      <c r="D83" s="9">
        <v>45848</v>
      </c>
      <c r="E83">
        <v>156</v>
      </c>
      <c r="F83" t="s">
        <v>111</v>
      </c>
      <c r="G83">
        <v>3</v>
      </c>
      <c r="H83" t="s">
        <v>4</v>
      </c>
      <c r="I83">
        <v>13</v>
      </c>
      <c r="J83">
        <v>1</v>
      </c>
      <c r="K83">
        <f>IF(Convert_to_Games[[#This Row],[Total Score]]&gt;9, 1, 0)</f>
        <v>1</v>
      </c>
      <c r="L83">
        <f>IF(Convert_to_Games[[#This Row],[DD]]=0, 0, IF(L82 = "Cons DD", Convert_to_Games[[#This Row],[DD]], L82+L82))</f>
        <v>2.4178516392292583E+24</v>
      </c>
    </row>
    <row r="84" spans="1:12">
      <c r="A84" t="s">
        <v>25</v>
      </c>
      <c r="B84" t="s">
        <v>20</v>
      </c>
      <c r="C84" t="s">
        <v>116</v>
      </c>
      <c r="D84" s="9">
        <v>45868</v>
      </c>
      <c r="E84">
        <v>187</v>
      </c>
      <c r="F84" t="s">
        <v>9</v>
      </c>
      <c r="G84">
        <v>3</v>
      </c>
      <c r="H84" t="s">
        <v>4</v>
      </c>
      <c r="I84">
        <v>13</v>
      </c>
      <c r="J84">
        <v>1</v>
      </c>
      <c r="K84">
        <f>IF(Convert_to_Games[[#This Row],[Total Score]]&gt;9, 1, 0)</f>
        <v>1</v>
      </c>
      <c r="L84">
        <f>IF(Convert_to_Games[[#This Row],[DD]]=0, 0, IF(L83 = "Cons DD", Convert_to_Games[[#This Row],[DD]], L83+L83))</f>
        <v>4.8357032784585167E+24</v>
      </c>
    </row>
    <row r="85" spans="1:12">
      <c r="A85" t="s">
        <v>25</v>
      </c>
      <c r="B85" t="s">
        <v>20</v>
      </c>
      <c r="C85" t="s">
        <v>116</v>
      </c>
      <c r="D85" s="9">
        <v>45873</v>
      </c>
      <c r="E85">
        <v>196</v>
      </c>
      <c r="F85" t="s">
        <v>11</v>
      </c>
      <c r="G85">
        <v>3</v>
      </c>
      <c r="H85" t="s">
        <v>4</v>
      </c>
      <c r="I85">
        <v>13</v>
      </c>
      <c r="J85">
        <v>1</v>
      </c>
      <c r="K85">
        <f>IF(Convert_to_Games[[#This Row],[Total Score]]&gt;9, 1, 0)</f>
        <v>1</v>
      </c>
      <c r="L85">
        <f>IF(Convert_to_Games[[#This Row],[DD]]=0, 0, IF(L84 = "Cons DD", Convert_to_Games[[#This Row],[DD]], L84+L84))</f>
        <v>9.6714065569170334E+24</v>
      </c>
    </row>
    <row r="86" spans="1:12">
      <c r="A86" t="s">
        <v>25</v>
      </c>
      <c r="B86">
        <v>256</v>
      </c>
      <c r="C86" t="s">
        <v>116</v>
      </c>
      <c r="D86" s="9">
        <v>45881</v>
      </c>
      <c r="E86">
        <v>203</v>
      </c>
      <c r="F86" t="s">
        <v>117</v>
      </c>
      <c r="G86">
        <v>3</v>
      </c>
      <c r="H86" t="s">
        <v>5</v>
      </c>
      <c r="I86">
        <v>13</v>
      </c>
      <c r="J86">
        <v>0</v>
      </c>
      <c r="K86">
        <f>IF(Convert_to_Games[[#This Row],[Total Score]]&gt;9, 1, 0)</f>
        <v>1</v>
      </c>
      <c r="L86">
        <f>IF(Convert_to_Games[[#This Row],[DD]]=0, 0, IF(L85 = "Cons DD", Convert_to_Games[[#This Row],[DD]], L85+L85))</f>
        <v>1.9342813113834067E+25</v>
      </c>
    </row>
    <row r="87" spans="1:12">
      <c r="A87" t="s">
        <v>25</v>
      </c>
      <c r="B87">
        <v>256</v>
      </c>
      <c r="C87" t="s">
        <v>116</v>
      </c>
      <c r="D87" s="9">
        <v>45953</v>
      </c>
      <c r="E87">
        <v>234</v>
      </c>
      <c r="F87" t="s">
        <v>9</v>
      </c>
      <c r="G87">
        <v>3</v>
      </c>
      <c r="H87" t="s">
        <v>5</v>
      </c>
      <c r="I87">
        <v>13</v>
      </c>
      <c r="J87">
        <v>1</v>
      </c>
      <c r="K87">
        <f>IF(Convert_to_Games[[#This Row],[Total Score]]&gt;9, 1, 0)</f>
        <v>1</v>
      </c>
      <c r="L87">
        <f>IF(Convert_to_Games[[#This Row],[DD]]=0, 0, IF(L86 = "Cons DD", Convert_to_Games[[#This Row],[DD]], L86+L86))</f>
        <v>3.8685626227668134E+25</v>
      </c>
    </row>
    <row r="88" spans="1:12">
      <c r="A88" t="s">
        <v>25</v>
      </c>
      <c r="B88">
        <v>256</v>
      </c>
      <c r="C88" t="s">
        <v>116</v>
      </c>
      <c r="D88" s="9">
        <v>45972</v>
      </c>
      <c r="E88">
        <v>239</v>
      </c>
      <c r="F88" t="s">
        <v>15</v>
      </c>
      <c r="G88">
        <v>3</v>
      </c>
      <c r="H88" t="s">
        <v>6</v>
      </c>
      <c r="I88">
        <v>13</v>
      </c>
      <c r="J88">
        <v>1</v>
      </c>
      <c r="K88">
        <f>IF(Convert_to_Games[[#This Row],[Total Score]]&gt;9, 1, 0)</f>
        <v>1</v>
      </c>
      <c r="L88">
        <f>IF(Convert_to_Games[[#This Row],[DD]]=0, 0, IF(L87 = "Cons DD", Convert_to_Games[[#This Row],[DD]], L87+L87))</f>
        <v>7.7371252455336267E+25</v>
      </c>
    </row>
    <row r="89" spans="1:12">
      <c r="A89" t="s">
        <v>25</v>
      </c>
      <c r="B89">
        <v>256</v>
      </c>
      <c r="C89" t="s">
        <v>116</v>
      </c>
      <c r="D89" s="9">
        <v>45982</v>
      </c>
      <c r="E89">
        <v>243</v>
      </c>
      <c r="F89" t="s">
        <v>11</v>
      </c>
      <c r="G89">
        <v>3</v>
      </c>
      <c r="H89" t="s">
        <v>5</v>
      </c>
      <c r="I89">
        <v>13</v>
      </c>
      <c r="J89">
        <v>1</v>
      </c>
      <c r="K89">
        <f>IF(Convert_to_Games[[#This Row],[Total Score]]&gt;9, 1, 0)</f>
        <v>1</v>
      </c>
      <c r="L89">
        <f>IF(Convert_to_Games[[#This Row],[DD]]=0, 0, IF(L88 = "Cons DD", Convert_to_Games[[#This Row],[DD]], L88+L88))</f>
        <v>1.5474250491067253E+26</v>
      </c>
    </row>
    <row r="90" spans="1:12">
      <c r="A90" t="s">
        <v>25</v>
      </c>
      <c r="B90">
        <v>256</v>
      </c>
      <c r="C90" t="s">
        <v>116</v>
      </c>
      <c r="D90" s="9">
        <v>45994</v>
      </c>
      <c r="E90">
        <v>246</v>
      </c>
      <c r="F90" t="s">
        <v>9</v>
      </c>
      <c r="G90">
        <v>3</v>
      </c>
      <c r="H90" t="s">
        <v>4</v>
      </c>
      <c r="I90">
        <v>13</v>
      </c>
      <c r="J90">
        <v>1</v>
      </c>
      <c r="K90">
        <f>IF(Convert_to_Games[[#This Row],[Total Score]]&gt;9, 1, 0)</f>
        <v>1</v>
      </c>
      <c r="L90">
        <f>IF(Convert_to_Games[[#This Row],[DD]]=0, 0, IF(L89 = "Cons DD", Convert_to_Games[[#This Row],[DD]], L89+L89))</f>
        <v>3.0948500982134507E+26</v>
      </c>
    </row>
    <row r="91" spans="1:12">
      <c r="A91" t="s">
        <v>25</v>
      </c>
      <c r="B91">
        <v>256</v>
      </c>
      <c r="C91" t="s">
        <v>116</v>
      </c>
      <c r="D91" s="9">
        <v>45999</v>
      </c>
      <c r="E91">
        <v>250</v>
      </c>
      <c r="F91" t="s">
        <v>10</v>
      </c>
      <c r="G91">
        <v>4</v>
      </c>
      <c r="H91" t="s">
        <v>4</v>
      </c>
      <c r="I91">
        <v>13</v>
      </c>
      <c r="J91">
        <v>0</v>
      </c>
      <c r="K91">
        <f>IF(Convert_to_Games[[#This Row],[Total Score]]&gt;9, 1, 0)</f>
        <v>1</v>
      </c>
      <c r="L91">
        <f>IF(Convert_to_Games[[#This Row],[DD]]=0, 0, IF(L90 = "Cons DD", Convert_to_Games[[#This Row],[DD]], L90+L90))</f>
        <v>6.1897001964269014E+26</v>
      </c>
    </row>
    <row r="92" spans="1:12">
      <c r="A92" t="s">
        <v>25</v>
      </c>
      <c r="B92">
        <v>256</v>
      </c>
      <c r="C92" t="s">
        <v>116</v>
      </c>
      <c r="D92" s="9">
        <v>46000</v>
      </c>
      <c r="E92">
        <v>251</v>
      </c>
      <c r="F92" t="s">
        <v>11</v>
      </c>
      <c r="G92">
        <v>3</v>
      </c>
      <c r="H92" t="s">
        <v>4</v>
      </c>
      <c r="I92">
        <v>13</v>
      </c>
      <c r="J92">
        <v>1</v>
      </c>
      <c r="K92">
        <f>IF(Convert_to_Games[[#This Row],[Total Score]]&gt;9, 1, 0)</f>
        <v>1</v>
      </c>
      <c r="L92">
        <f>IF(Convert_to_Games[[#This Row],[DD]]=0, 0, IF(L91 = "Cons DD", Convert_to_Games[[#This Row],[DD]], L91+L91))</f>
        <v>1.2379400392853803E+27</v>
      </c>
    </row>
    <row r="93" spans="1:12">
      <c r="A93" t="s">
        <v>25</v>
      </c>
      <c r="B93">
        <v>256</v>
      </c>
      <c r="C93" t="s">
        <v>116</v>
      </c>
      <c r="D93" s="9">
        <v>46056</v>
      </c>
      <c r="E93">
        <v>259</v>
      </c>
      <c r="F93" t="s">
        <v>11</v>
      </c>
      <c r="G93">
        <v>3</v>
      </c>
      <c r="H93" t="s">
        <v>4</v>
      </c>
      <c r="I93">
        <v>13</v>
      </c>
      <c r="J93">
        <v>1</v>
      </c>
      <c r="K93">
        <f>IF(Convert_to_Games[[#This Row],[Total Score]]&gt;9, 1, 0)</f>
        <v>1</v>
      </c>
      <c r="L93">
        <f>IF(Convert_to_Games[[#This Row],[DD]]=0, 0, IF(L92 = "Cons DD", Convert_to_Games[[#This Row],[DD]], L92+L92))</f>
        <v>2.4758800785707605E+27</v>
      </c>
    </row>
    <row r="94" spans="1:12">
      <c r="A94" t="s">
        <v>25</v>
      </c>
      <c r="B94">
        <v>256</v>
      </c>
      <c r="C94" t="s">
        <v>116</v>
      </c>
      <c r="D94" s="9">
        <v>46071</v>
      </c>
      <c r="E94">
        <v>263</v>
      </c>
      <c r="F94" t="s">
        <v>9</v>
      </c>
      <c r="G94">
        <v>3</v>
      </c>
      <c r="H94" t="s">
        <v>4</v>
      </c>
      <c r="I94">
        <v>13</v>
      </c>
      <c r="J94">
        <v>1</v>
      </c>
      <c r="K94">
        <f>IF(Convert_to_Games[[#This Row],[Total Score]]&gt;9, 1, 0)</f>
        <v>1</v>
      </c>
      <c r="L94">
        <f>IF(Convert_to_Games[[#This Row],[DD]]=0, 0, IF(L93 = "Cons DD", Convert_to_Games[[#This Row],[DD]], L93+L93))</f>
        <v>4.9517601571415211E+27</v>
      </c>
    </row>
    <row r="95" spans="1:12">
      <c r="A95" t="s">
        <v>25</v>
      </c>
      <c r="B95">
        <v>256</v>
      </c>
      <c r="C95" t="s">
        <v>116</v>
      </c>
      <c r="D95" s="9">
        <v>46077</v>
      </c>
      <c r="E95">
        <v>265</v>
      </c>
      <c r="F95" t="s">
        <v>11</v>
      </c>
      <c r="G95">
        <v>3</v>
      </c>
      <c r="H95" t="s">
        <v>5</v>
      </c>
      <c r="I95">
        <v>13</v>
      </c>
      <c r="J95">
        <v>1</v>
      </c>
      <c r="K95">
        <f>IF(Convert_to_Games[[#This Row],[Total Score]]&gt;9, 1, 0)</f>
        <v>1</v>
      </c>
      <c r="L95">
        <f>IF(Convert_to_Games[[#This Row],[DD]]=0, 0, IF(L94 = "Cons DD", Convert_to_Games[[#This Row],[DD]], L94+L94))</f>
        <v>9.9035203142830422E+27</v>
      </c>
    </row>
    <row r="96" spans="1:12">
      <c r="A96" t="s">
        <v>25</v>
      </c>
      <c r="B96">
        <v>256</v>
      </c>
      <c r="C96" t="s">
        <v>116</v>
      </c>
      <c r="D96" s="9">
        <v>46086</v>
      </c>
      <c r="E96">
        <v>270</v>
      </c>
      <c r="F96" t="s">
        <v>117</v>
      </c>
      <c r="G96">
        <v>3</v>
      </c>
      <c r="H96" t="s">
        <v>4</v>
      </c>
      <c r="I96">
        <v>13</v>
      </c>
      <c r="J96">
        <v>1</v>
      </c>
      <c r="K96">
        <f>IF(Convert_to_Games[[#This Row],[Total Score]]&gt;9, 1, 0)</f>
        <v>1</v>
      </c>
      <c r="L96">
        <f>IF(Convert_to_Games[[#This Row],[DD]]=0, 0, IF(L95 = "Cons DD", Convert_to_Games[[#This Row],[DD]], L95+L95))</f>
        <v>1.9807040628566084E+28</v>
      </c>
    </row>
    <row r="97" spans="1:12">
      <c r="A97" t="s">
        <v>25</v>
      </c>
      <c r="B97">
        <v>256</v>
      </c>
      <c r="C97" t="s">
        <v>116</v>
      </c>
      <c r="D97" s="9">
        <v>46197</v>
      </c>
      <c r="E97">
        <v>287</v>
      </c>
      <c r="F97" t="s">
        <v>9</v>
      </c>
      <c r="G97">
        <v>4</v>
      </c>
      <c r="H97" t="s">
        <v>5</v>
      </c>
      <c r="I97">
        <v>13</v>
      </c>
      <c r="J97">
        <v>0</v>
      </c>
      <c r="K97">
        <f>IF(Convert_to_Games[[#This Row],[Total Score]]&gt;9, 1, 0)</f>
        <v>1</v>
      </c>
      <c r="L97">
        <f>IF(Convert_to_Games[[#This Row],[DD]]=0, 0, IF(L96 = "Cons DD", Convert_to_Games[[#This Row],[DD]], L96+L96))</f>
        <v>3.9614081257132169E+28</v>
      </c>
    </row>
    <row r="98" spans="1:12">
      <c r="A98" t="s">
        <v>25</v>
      </c>
      <c r="B98" t="s">
        <v>20</v>
      </c>
      <c r="C98" t="s">
        <v>16</v>
      </c>
      <c r="D98" s="9">
        <v>45741</v>
      </c>
      <c r="E98">
        <v>26</v>
      </c>
      <c r="F98" t="s">
        <v>11</v>
      </c>
      <c r="G98">
        <v>3</v>
      </c>
      <c r="H98" t="s">
        <v>4</v>
      </c>
      <c r="I98">
        <v>12</v>
      </c>
      <c r="J98">
        <v>1</v>
      </c>
      <c r="K98">
        <f>IF(Convert_to_Games[[#This Row],[Total Score]]&gt;9, 1, 0)</f>
        <v>1</v>
      </c>
      <c r="L98">
        <f>IF(Convert_to_Games[[#This Row],[DD]]=0, 0, IF(L97 = "Cons DD", Convert_to_Games[[#This Row],[DD]], L97+L97))</f>
        <v>7.9228162514264338E+28</v>
      </c>
    </row>
    <row r="99" spans="1:12">
      <c r="A99" t="s">
        <v>25</v>
      </c>
      <c r="B99" t="s">
        <v>21</v>
      </c>
      <c r="C99" t="s">
        <v>16</v>
      </c>
      <c r="D99" s="9">
        <v>45768</v>
      </c>
      <c r="E99">
        <v>59</v>
      </c>
      <c r="F99" t="s">
        <v>11</v>
      </c>
      <c r="G99">
        <v>3</v>
      </c>
      <c r="H99" t="s">
        <v>4</v>
      </c>
      <c r="I99">
        <v>12</v>
      </c>
      <c r="J99">
        <v>1</v>
      </c>
      <c r="K99">
        <f>IF(Convert_to_Games[[#This Row],[Total Score]]&gt;9, 1, 0)</f>
        <v>1</v>
      </c>
      <c r="L99">
        <f>IF(Convert_to_Games[[#This Row],[DD]]=0, 0, IF(L98 = "Cons DD", Convert_to_Games[[#This Row],[DD]], L98+L98))</f>
        <v>1.5845632502852868E+29</v>
      </c>
    </row>
    <row r="100" spans="1:12">
      <c r="A100" t="s">
        <v>25</v>
      </c>
      <c r="B100" t="s">
        <v>20</v>
      </c>
      <c r="C100" t="s">
        <v>16</v>
      </c>
      <c r="D100" s="9">
        <v>45769</v>
      </c>
      <c r="E100">
        <v>60</v>
      </c>
      <c r="F100" t="s">
        <v>9</v>
      </c>
      <c r="G100">
        <v>3</v>
      </c>
      <c r="H100" t="s">
        <v>5</v>
      </c>
      <c r="I100">
        <v>12</v>
      </c>
      <c r="J100">
        <v>1</v>
      </c>
      <c r="K100">
        <f>IF(Convert_to_Games[[#This Row],[Total Score]]&gt;9, 1, 0)</f>
        <v>1</v>
      </c>
      <c r="L100">
        <f>IF(Convert_to_Games[[#This Row],[DD]]=0, 0, IF(L99 = "Cons DD", Convert_to_Games[[#This Row],[DD]], L99+L99))</f>
        <v>3.1691265005705735E+29</v>
      </c>
    </row>
    <row r="101" spans="1:12">
      <c r="A101" t="s">
        <v>25</v>
      </c>
      <c r="B101" t="s">
        <v>20</v>
      </c>
      <c r="C101" t="s">
        <v>16</v>
      </c>
      <c r="D101" s="9">
        <v>45777</v>
      </c>
      <c r="E101">
        <v>80</v>
      </c>
      <c r="F101" t="s">
        <v>8</v>
      </c>
      <c r="G101">
        <v>3</v>
      </c>
      <c r="H101" t="s">
        <v>4</v>
      </c>
      <c r="I101">
        <v>12</v>
      </c>
      <c r="J101">
        <v>1</v>
      </c>
      <c r="K101">
        <f>IF(Convert_to_Games[[#This Row],[Total Score]]&gt;9, 1, 0)</f>
        <v>1</v>
      </c>
      <c r="L101">
        <f>IF(Convert_to_Games[[#This Row],[DD]]=0, 0, IF(L100 = "Cons DD", Convert_to_Games[[#This Row],[DD]], L100+L100))</f>
        <v>6.338253001141147E+29</v>
      </c>
    </row>
    <row r="102" spans="1:12">
      <c r="A102" t="s">
        <v>25</v>
      </c>
      <c r="B102" t="s">
        <v>21</v>
      </c>
      <c r="C102" t="s">
        <v>16</v>
      </c>
      <c r="D102" s="9">
        <v>45777</v>
      </c>
      <c r="E102">
        <v>82</v>
      </c>
      <c r="F102" t="s">
        <v>62</v>
      </c>
      <c r="G102">
        <v>3</v>
      </c>
      <c r="H102" t="s">
        <v>4</v>
      </c>
      <c r="I102">
        <v>12</v>
      </c>
      <c r="J102">
        <v>1</v>
      </c>
      <c r="K102">
        <f>IF(Convert_to_Games[[#This Row],[Total Score]]&gt;9, 1, 0)</f>
        <v>1</v>
      </c>
      <c r="L102">
        <f>IF(Convert_to_Games[[#This Row],[DD]]=0, 0, IF(L101 = "Cons DD", Convert_to_Games[[#This Row],[DD]], L101+L101))</f>
        <v>1.2676506002282294E+30</v>
      </c>
    </row>
    <row r="103" spans="1:12">
      <c r="A103" t="s">
        <v>25</v>
      </c>
      <c r="B103" t="s">
        <v>20</v>
      </c>
      <c r="C103" t="s">
        <v>16</v>
      </c>
      <c r="D103" s="9">
        <v>45777</v>
      </c>
      <c r="E103">
        <v>83</v>
      </c>
      <c r="F103" t="s">
        <v>11</v>
      </c>
      <c r="G103">
        <v>3</v>
      </c>
      <c r="H103" t="s">
        <v>4</v>
      </c>
      <c r="I103">
        <v>12</v>
      </c>
      <c r="J103">
        <v>1</v>
      </c>
      <c r="K103">
        <f>IF(Convert_to_Games[[#This Row],[Total Score]]&gt;9, 1, 0)</f>
        <v>1</v>
      </c>
      <c r="L103">
        <f>IF(Convert_to_Games[[#This Row],[DD]]=0, 0, IF(L102 = "Cons DD", Convert_to_Games[[#This Row],[DD]], L102+L102))</f>
        <v>2.5353012004564588E+30</v>
      </c>
    </row>
    <row r="104" spans="1:12">
      <c r="A104" t="s">
        <v>25</v>
      </c>
      <c r="B104" t="s">
        <v>20</v>
      </c>
      <c r="C104" t="s">
        <v>16</v>
      </c>
      <c r="D104" s="9">
        <v>45798</v>
      </c>
      <c r="E104">
        <v>103</v>
      </c>
      <c r="F104" t="s">
        <v>71</v>
      </c>
      <c r="G104">
        <v>3</v>
      </c>
      <c r="H104" t="s">
        <v>5</v>
      </c>
      <c r="I104">
        <v>12</v>
      </c>
      <c r="J104">
        <v>1</v>
      </c>
      <c r="K104">
        <f>IF(Convert_to_Games[[#This Row],[Total Score]]&gt;9, 1, 0)</f>
        <v>1</v>
      </c>
      <c r="L104">
        <f>IF(Convert_to_Games[[#This Row],[DD]]=0, 0, IF(L103 = "Cons DD", Convert_to_Games[[#This Row],[DD]], L103+L103))</f>
        <v>5.0706024009129176E+30</v>
      </c>
    </row>
    <row r="105" spans="1:12">
      <c r="A105" t="s">
        <v>25</v>
      </c>
      <c r="B105" t="s">
        <v>20</v>
      </c>
      <c r="C105" t="s">
        <v>16</v>
      </c>
      <c r="D105" s="9">
        <v>45825</v>
      </c>
      <c r="E105">
        <v>113</v>
      </c>
      <c r="F105" t="s">
        <v>11</v>
      </c>
      <c r="G105">
        <v>3</v>
      </c>
      <c r="H105" t="s">
        <v>4</v>
      </c>
      <c r="I105">
        <v>12</v>
      </c>
      <c r="J105">
        <v>1</v>
      </c>
      <c r="K105">
        <f>IF(Convert_to_Games[[#This Row],[Total Score]]&gt;9, 1, 0)</f>
        <v>1</v>
      </c>
      <c r="L105">
        <f>IF(Convert_to_Games[[#This Row],[DD]]=0, 0, IF(L104 = "Cons DD", Convert_to_Games[[#This Row],[DD]], L104+L104))</f>
        <v>1.0141204801825835E+31</v>
      </c>
    </row>
    <row r="106" spans="1:12">
      <c r="A106" t="s">
        <v>25</v>
      </c>
      <c r="B106" t="s">
        <v>20</v>
      </c>
      <c r="C106" t="s">
        <v>16</v>
      </c>
      <c r="D106" s="9">
        <v>45827</v>
      </c>
      <c r="E106">
        <v>120</v>
      </c>
      <c r="F106" t="s">
        <v>11</v>
      </c>
      <c r="G106">
        <v>4</v>
      </c>
      <c r="H106" t="s">
        <v>4</v>
      </c>
      <c r="I106">
        <v>12</v>
      </c>
      <c r="J106">
        <v>1</v>
      </c>
      <c r="K106">
        <f>IF(Convert_to_Games[[#This Row],[Total Score]]&gt;9, 1, 0)</f>
        <v>1</v>
      </c>
      <c r="L106">
        <f>IF(Convert_to_Games[[#This Row],[DD]]=0, 0, IF(L105 = "Cons DD", Convert_to_Games[[#This Row],[DD]], L105+L105))</f>
        <v>2.028240960365167E+31</v>
      </c>
    </row>
    <row r="107" spans="1:12">
      <c r="A107" t="s">
        <v>25</v>
      </c>
      <c r="B107" t="s">
        <v>20</v>
      </c>
      <c r="C107" t="s">
        <v>16</v>
      </c>
      <c r="D107" s="9">
        <v>45831</v>
      </c>
      <c r="E107">
        <v>124</v>
      </c>
      <c r="F107" t="s">
        <v>77</v>
      </c>
      <c r="G107">
        <v>3</v>
      </c>
      <c r="H107" t="s">
        <v>5</v>
      </c>
      <c r="I107">
        <v>12</v>
      </c>
      <c r="J107">
        <v>1</v>
      </c>
      <c r="K107">
        <f>IF(Convert_to_Games[[#This Row],[Total Score]]&gt;9, 1, 0)</f>
        <v>1</v>
      </c>
      <c r="L107">
        <f>IF(Convert_to_Games[[#This Row],[DD]]=0, 0, IF(L106 = "Cons DD", Convert_to_Games[[#This Row],[DD]], L106+L106))</f>
        <v>4.0564819207303341E+31</v>
      </c>
    </row>
    <row r="108" spans="1:12">
      <c r="A108" t="s">
        <v>25</v>
      </c>
      <c r="B108" t="s">
        <v>20</v>
      </c>
      <c r="C108" t="s">
        <v>16</v>
      </c>
      <c r="D108" s="9">
        <v>45849</v>
      </c>
      <c r="E108">
        <v>159</v>
      </c>
      <c r="F108" t="s">
        <v>103</v>
      </c>
      <c r="G108">
        <v>3</v>
      </c>
      <c r="H108" t="s">
        <v>4</v>
      </c>
      <c r="I108">
        <v>12</v>
      </c>
      <c r="J108">
        <v>1</v>
      </c>
      <c r="K108">
        <f>IF(Convert_to_Games[[#This Row],[Total Score]]&gt;9, 1, 0)</f>
        <v>1</v>
      </c>
      <c r="L108">
        <f>IF(Convert_to_Games[[#This Row],[DD]]=0, 0, IF(L107 = "Cons DD", Convert_to_Games[[#This Row],[DD]], L107+L107))</f>
        <v>8.1129638414606682E+31</v>
      </c>
    </row>
    <row r="109" spans="1:12">
      <c r="A109" t="s">
        <v>25</v>
      </c>
      <c r="B109" t="s">
        <v>20</v>
      </c>
      <c r="C109" t="s">
        <v>16</v>
      </c>
      <c r="D109" s="9">
        <v>45855</v>
      </c>
      <c r="E109">
        <v>172</v>
      </c>
      <c r="F109" t="s">
        <v>103</v>
      </c>
      <c r="G109">
        <v>3</v>
      </c>
      <c r="H109" t="s">
        <v>4</v>
      </c>
      <c r="I109">
        <v>12</v>
      </c>
      <c r="J109">
        <v>1</v>
      </c>
      <c r="K109">
        <f>IF(Convert_to_Games[[#This Row],[Total Score]]&gt;9, 1, 0)</f>
        <v>1</v>
      </c>
      <c r="L109">
        <f>IF(Convert_to_Games[[#This Row],[DD]]=0, 0, IF(L108 = "Cons DD", Convert_to_Games[[#This Row],[DD]], L108+L108))</f>
        <v>1.6225927682921336E+32</v>
      </c>
    </row>
    <row r="110" spans="1:12">
      <c r="A110" t="s">
        <v>25</v>
      </c>
      <c r="B110">
        <v>256</v>
      </c>
      <c r="C110" t="s">
        <v>116</v>
      </c>
      <c r="D110" s="9">
        <v>45881</v>
      </c>
      <c r="E110">
        <v>202</v>
      </c>
      <c r="F110" t="s">
        <v>13</v>
      </c>
      <c r="G110">
        <v>3</v>
      </c>
      <c r="H110" t="s">
        <v>5</v>
      </c>
      <c r="I110">
        <v>12</v>
      </c>
      <c r="J110">
        <v>0</v>
      </c>
      <c r="K110">
        <f>IF(Convert_to_Games[[#This Row],[Total Score]]&gt;9, 1, 0)</f>
        <v>1</v>
      </c>
      <c r="L110">
        <f>IF(Convert_to_Games[[#This Row],[DD]]=0, 0, IF(L109 = "Cons DD", Convert_to_Games[[#This Row],[DD]], L109+L109))</f>
        <v>3.2451855365842673E+32</v>
      </c>
    </row>
    <row r="111" spans="1:12">
      <c r="A111" t="s">
        <v>25</v>
      </c>
      <c r="B111">
        <v>256</v>
      </c>
      <c r="C111" t="s">
        <v>116</v>
      </c>
      <c r="D111" s="9">
        <v>45888</v>
      </c>
      <c r="E111">
        <v>207</v>
      </c>
      <c r="F111" t="s">
        <v>11</v>
      </c>
      <c r="G111">
        <v>3</v>
      </c>
      <c r="H111" t="s">
        <v>4</v>
      </c>
      <c r="I111">
        <v>12</v>
      </c>
      <c r="J111">
        <v>1</v>
      </c>
      <c r="K111">
        <f>IF(Convert_to_Games[[#This Row],[Total Score]]&gt;9, 1, 0)</f>
        <v>1</v>
      </c>
      <c r="L111">
        <f>IF(Convert_to_Games[[#This Row],[DD]]=0, 0, IF(L110 = "Cons DD", Convert_to_Games[[#This Row],[DD]], L110+L110))</f>
        <v>6.4903710731685345E+32</v>
      </c>
    </row>
    <row r="112" spans="1:12">
      <c r="A112" t="s">
        <v>25</v>
      </c>
      <c r="B112">
        <v>256</v>
      </c>
      <c r="C112" t="s">
        <v>116</v>
      </c>
      <c r="D112" s="9">
        <v>45889</v>
      </c>
      <c r="E112">
        <v>208</v>
      </c>
      <c r="F112" t="s">
        <v>11</v>
      </c>
      <c r="G112">
        <v>4</v>
      </c>
      <c r="H112" t="s">
        <v>5</v>
      </c>
      <c r="I112">
        <v>12</v>
      </c>
      <c r="J112">
        <v>1</v>
      </c>
      <c r="K112">
        <f>IF(Convert_to_Games[[#This Row],[Total Score]]&gt;9, 1, 0)</f>
        <v>1</v>
      </c>
      <c r="L112">
        <f>IF(Convert_to_Games[[#This Row],[DD]]=0, 0, IF(L111 = "Cons DD", Convert_to_Games[[#This Row],[DD]], L111+L111))</f>
        <v>1.2980742146337069E+33</v>
      </c>
    </row>
    <row r="113" spans="1:12">
      <c r="A113" t="s">
        <v>25</v>
      </c>
      <c r="B113">
        <v>256</v>
      </c>
      <c r="C113" t="s">
        <v>116</v>
      </c>
      <c r="D113" s="9">
        <v>45910</v>
      </c>
      <c r="E113">
        <v>217</v>
      </c>
      <c r="F113" t="s">
        <v>9</v>
      </c>
      <c r="G113">
        <v>3</v>
      </c>
      <c r="H113" t="s">
        <v>4</v>
      </c>
      <c r="I113">
        <v>12</v>
      </c>
      <c r="J113">
        <v>1</v>
      </c>
      <c r="K113">
        <f>IF(Convert_to_Games[[#This Row],[Total Score]]&gt;9, 1, 0)</f>
        <v>1</v>
      </c>
      <c r="L113">
        <f>IF(Convert_to_Games[[#This Row],[DD]]=0, 0, IF(L112 = "Cons DD", Convert_to_Games[[#This Row],[DD]], L112+L112))</f>
        <v>2.5961484292674138E+33</v>
      </c>
    </row>
    <row r="114" spans="1:12">
      <c r="A114" t="s">
        <v>25</v>
      </c>
      <c r="B114">
        <v>256</v>
      </c>
      <c r="C114" t="s">
        <v>116</v>
      </c>
      <c r="D114" s="9">
        <v>45918</v>
      </c>
      <c r="E114">
        <v>222</v>
      </c>
      <c r="F114" t="s">
        <v>9</v>
      </c>
      <c r="G114">
        <v>3</v>
      </c>
      <c r="H114" t="s">
        <v>5</v>
      </c>
      <c r="I114">
        <v>12</v>
      </c>
      <c r="J114">
        <v>0</v>
      </c>
      <c r="K114">
        <f>IF(Convert_to_Games[[#This Row],[Total Score]]&gt;9, 1, 0)</f>
        <v>1</v>
      </c>
      <c r="L114">
        <f>IF(Convert_to_Games[[#This Row],[DD]]=0, 0, IF(L113 = "Cons DD", Convert_to_Games[[#This Row],[DD]], L113+L113))</f>
        <v>5.1922968585348276E+33</v>
      </c>
    </row>
    <row r="115" spans="1:12">
      <c r="A115" t="s">
        <v>25</v>
      </c>
      <c r="B115">
        <v>256</v>
      </c>
      <c r="C115" t="s">
        <v>116</v>
      </c>
      <c r="D115" s="9">
        <v>45919</v>
      </c>
      <c r="E115">
        <v>223</v>
      </c>
      <c r="F115" t="s">
        <v>9</v>
      </c>
      <c r="G115">
        <v>3</v>
      </c>
      <c r="H115" t="s">
        <v>4</v>
      </c>
      <c r="I115">
        <v>12</v>
      </c>
      <c r="J115">
        <v>1</v>
      </c>
      <c r="K115">
        <f>IF(Convert_to_Games[[#This Row],[Total Score]]&gt;9, 1, 0)</f>
        <v>1</v>
      </c>
      <c r="L115">
        <f>IF(Convert_to_Games[[#This Row],[DD]]=0, 0, IF(L114 = "Cons DD", Convert_to_Games[[#This Row],[DD]], L114+L114))</f>
        <v>1.0384593717069655E+34</v>
      </c>
    </row>
    <row r="116" spans="1:12">
      <c r="A116" t="s">
        <v>25</v>
      </c>
      <c r="B116">
        <v>256</v>
      </c>
      <c r="C116" t="s">
        <v>116</v>
      </c>
      <c r="D116" s="9">
        <v>45926</v>
      </c>
      <c r="E116">
        <v>226</v>
      </c>
      <c r="F116" t="s">
        <v>94</v>
      </c>
      <c r="G116">
        <v>3</v>
      </c>
      <c r="H116" t="s">
        <v>5</v>
      </c>
      <c r="I116">
        <v>12</v>
      </c>
      <c r="J116">
        <v>1</v>
      </c>
      <c r="K116">
        <f>IF(Convert_to_Games[[#This Row],[Total Score]]&gt;9, 1, 0)</f>
        <v>1</v>
      </c>
      <c r="L116">
        <f>IF(Convert_to_Games[[#This Row],[DD]]=0, 0, IF(L115 = "Cons DD", Convert_to_Games[[#This Row],[DD]], L115+L115))</f>
        <v>2.0769187434139311E+34</v>
      </c>
    </row>
    <row r="117" spans="1:12">
      <c r="A117" t="s">
        <v>25</v>
      </c>
      <c r="B117">
        <v>256</v>
      </c>
      <c r="C117" t="s">
        <v>116</v>
      </c>
      <c r="D117" s="9">
        <v>45929</v>
      </c>
      <c r="E117">
        <v>227</v>
      </c>
      <c r="F117" t="s">
        <v>11</v>
      </c>
      <c r="G117">
        <v>3</v>
      </c>
      <c r="H117" t="s">
        <v>5</v>
      </c>
      <c r="I117">
        <v>12</v>
      </c>
      <c r="J117">
        <v>1</v>
      </c>
      <c r="K117">
        <f>IF(Convert_to_Games[[#This Row],[Total Score]]&gt;9, 1, 0)</f>
        <v>1</v>
      </c>
      <c r="L117">
        <f>IF(Convert_to_Games[[#This Row],[DD]]=0, 0, IF(L116 = "Cons DD", Convert_to_Games[[#This Row],[DD]], L116+L116))</f>
        <v>4.1538374868278621E+34</v>
      </c>
    </row>
    <row r="118" spans="1:12">
      <c r="A118" t="s">
        <v>25</v>
      </c>
      <c r="B118">
        <v>256</v>
      </c>
      <c r="C118" t="s">
        <v>116</v>
      </c>
      <c r="D118" s="9">
        <v>45961</v>
      </c>
      <c r="E118">
        <v>238</v>
      </c>
      <c r="F118" t="s">
        <v>9</v>
      </c>
      <c r="G118">
        <v>3</v>
      </c>
      <c r="H118" t="s">
        <v>5</v>
      </c>
      <c r="I118">
        <v>12</v>
      </c>
      <c r="J118">
        <v>0</v>
      </c>
      <c r="K118">
        <f>IF(Convert_to_Games[[#This Row],[Total Score]]&gt;9, 1, 0)</f>
        <v>1</v>
      </c>
      <c r="L118">
        <f>IF(Convert_to_Games[[#This Row],[DD]]=0, 0, IF(L117 = "Cons DD", Convert_to_Games[[#This Row],[DD]], L117+L117))</f>
        <v>8.3076749736557242E+34</v>
      </c>
    </row>
    <row r="119" spans="1:12">
      <c r="A119" t="s">
        <v>25</v>
      </c>
      <c r="B119">
        <v>256</v>
      </c>
      <c r="C119" t="s">
        <v>116</v>
      </c>
      <c r="D119" s="9">
        <v>45993</v>
      </c>
      <c r="E119">
        <v>245</v>
      </c>
      <c r="F119" t="s">
        <v>9</v>
      </c>
      <c r="G119">
        <v>3</v>
      </c>
      <c r="H119" t="s">
        <v>5</v>
      </c>
      <c r="I119">
        <v>12</v>
      </c>
      <c r="J119">
        <v>0</v>
      </c>
      <c r="K119">
        <f>IF(Convert_to_Games[[#This Row],[Total Score]]&gt;9, 1, 0)</f>
        <v>1</v>
      </c>
      <c r="L119">
        <f>IF(Convert_to_Games[[#This Row],[DD]]=0, 0, IF(L118 = "Cons DD", Convert_to_Games[[#This Row],[DD]], L118+L118))</f>
        <v>1.6615349947311448E+35</v>
      </c>
    </row>
    <row r="120" spans="1:12">
      <c r="A120" t="s">
        <v>25</v>
      </c>
      <c r="B120">
        <v>256</v>
      </c>
      <c r="C120" t="s">
        <v>116</v>
      </c>
      <c r="D120" s="9">
        <v>45999</v>
      </c>
      <c r="E120">
        <v>249</v>
      </c>
      <c r="F120" t="s">
        <v>8</v>
      </c>
      <c r="G120">
        <v>3</v>
      </c>
      <c r="H120" t="s">
        <v>4</v>
      </c>
      <c r="I120">
        <v>12</v>
      </c>
      <c r="J120">
        <v>0</v>
      </c>
      <c r="K120">
        <f>IF(Convert_to_Games[[#This Row],[Total Score]]&gt;9, 1, 0)</f>
        <v>1</v>
      </c>
      <c r="L120">
        <f>IF(Convert_to_Games[[#This Row],[DD]]=0, 0, IF(L119 = "Cons DD", Convert_to_Games[[#This Row],[DD]], L119+L119))</f>
        <v>3.3230699894622897E+35</v>
      </c>
    </row>
    <row r="121" spans="1:12">
      <c r="A121" t="s">
        <v>25</v>
      </c>
      <c r="B121">
        <v>256</v>
      </c>
      <c r="C121" t="s">
        <v>116</v>
      </c>
      <c r="D121" s="9">
        <v>46034</v>
      </c>
      <c r="E121">
        <v>253</v>
      </c>
      <c r="F121" t="s">
        <v>9</v>
      </c>
      <c r="G121">
        <v>3</v>
      </c>
      <c r="H121" t="s">
        <v>5</v>
      </c>
      <c r="I121">
        <v>12</v>
      </c>
      <c r="J121">
        <v>0</v>
      </c>
      <c r="K121">
        <f>IF(Convert_to_Games[[#This Row],[Total Score]]&gt;9, 1, 0)</f>
        <v>1</v>
      </c>
      <c r="L121">
        <f>IF(Convert_to_Games[[#This Row],[DD]]=0, 0, IF(L120 = "Cons DD", Convert_to_Games[[#This Row],[DD]], L120+L120))</f>
        <v>6.6461399789245794E+35</v>
      </c>
    </row>
    <row r="122" spans="1:12">
      <c r="A122" t="s">
        <v>25</v>
      </c>
      <c r="B122">
        <v>256</v>
      </c>
      <c r="C122" t="s">
        <v>116</v>
      </c>
      <c r="D122" s="9">
        <v>46044</v>
      </c>
      <c r="E122">
        <v>256</v>
      </c>
      <c r="F122" t="s">
        <v>9</v>
      </c>
      <c r="G122">
        <v>4</v>
      </c>
      <c r="H122" t="s">
        <v>4</v>
      </c>
      <c r="I122">
        <v>12</v>
      </c>
      <c r="J122">
        <v>0</v>
      </c>
      <c r="K122">
        <f>IF(Convert_to_Games[[#This Row],[Total Score]]&gt;9, 1, 0)</f>
        <v>1</v>
      </c>
      <c r="L122">
        <f>IF(Convert_to_Games[[#This Row],[DD]]=0, 0, IF(L121 = "Cons DD", Convert_to_Games[[#This Row],[DD]], L121+L121))</f>
        <v>1.3292279957849159E+36</v>
      </c>
    </row>
    <row r="123" spans="1:12">
      <c r="A123" t="s">
        <v>25</v>
      </c>
      <c r="B123">
        <v>256</v>
      </c>
      <c r="C123" t="s">
        <v>116</v>
      </c>
      <c r="D123" s="9">
        <v>46073</v>
      </c>
      <c r="E123">
        <v>264</v>
      </c>
      <c r="F123" t="s">
        <v>11</v>
      </c>
      <c r="G123">
        <v>3</v>
      </c>
      <c r="H123" t="s">
        <v>5</v>
      </c>
      <c r="I123">
        <v>12</v>
      </c>
      <c r="J123">
        <v>0</v>
      </c>
      <c r="K123">
        <f>IF(Convert_to_Games[[#This Row],[Total Score]]&gt;9, 1, 0)</f>
        <v>1</v>
      </c>
      <c r="L123">
        <f>IF(Convert_to_Games[[#This Row],[DD]]=0, 0, IF(L122 = "Cons DD", Convert_to_Games[[#This Row],[DD]], L122+L122))</f>
        <v>2.6584559915698317E+36</v>
      </c>
    </row>
    <row r="124" spans="1:12">
      <c r="A124" t="s">
        <v>25</v>
      </c>
      <c r="B124">
        <v>256</v>
      </c>
      <c r="C124" t="s">
        <v>116</v>
      </c>
      <c r="D124" s="9">
        <v>46087</v>
      </c>
      <c r="E124">
        <v>271</v>
      </c>
      <c r="F124" t="s">
        <v>9</v>
      </c>
      <c r="G124">
        <v>3</v>
      </c>
      <c r="H124" t="s">
        <v>4</v>
      </c>
      <c r="I124">
        <v>12</v>
      </c>
      <c r="J124">
        <v>1</v>
      </c>
      <c r="K124">
        <f>IF(Convert_to_Games[[#This Row],[Total Score]]&gt;9, 1, 0)</f>
        <v>1</v>
      </c>
      <c r="L124">
        <f>IF(Convert_to_Games[[#This Row],[DD]]=0, 0, IF(L123 = "Cons DD", Convert_to_Games[[#This Row],[DD]], L123+L123))</f>
        <v>5.3169119831396635E+36</v>
      </c>
    </row>
    <row r="125" spans="1:12">
      <c r="A125" t="s">
        <v>25</v>
      </c>
      <c r="B125">
        <v>256</v>
      </c>
      <c r="C125" t="s">
        <v>116</v>
      </c>
      <c r="D125" s="9">
        <v>46092</v>
      </c>
      <c r="E125">
        <v>273</v>
      </c>
      <c r="F125" t="s">
        <v>8</v>
      </c>
      <c r="G125">
        <v>4</v>
      </c>
      <c r="H125" t="s">
        <v>5</v>
      </c>
      <c r="I125">
        <v>12</v>
      </c>
      <c r="J125">
        <v>0</v>
      </c>
      <c r="K125">
        <f>IF(Convert_to_Games[[#This Row],[Total Score]]&gt;9, 1, 0)</f>
        <v>1</v>
      </c>
      <c r="L125">
        <f>IF(Convert_to_Games[[#This Row],[DD]]=0, 0, IF(L124 = "Cons DD", Convert_to_Games[[#This Row],[DD]], L124+L124))</f>
        <v>1.0633823966279327E+37</v>
      </c>
    </row>
    <row r="126" spans="1:12">
      <c r="A126" t="s">
        <v>25</v>
      </c>
      <c r="B126">
        <v>256</v>
      </c>
      <c r="C126" t="s">
        <v>116</v>
      </c>
      <c r="D126" s="9">
        <v>46105</v>
      </c>
      <c r="E126">
        <v>276</v>
      </c>
      <c r="F126" t="s">
        <v>11</v>
      </c>
      <c r="G126">
        <v>4</v>
      </c>
      <c r="H126" t="s">
        <v>4</v>
      </c>
      <c r="I126">
        <v>12</v>
      </c>
      <c r="J126">
        <v>1</v>
      </c>
      <c r="K126">
        <f>IF(Convert_to_Games[[#This Row],[Total Score]]&gt;9, 1, 0)</f>
        <v>1</v>
      </c>
      <c r="L126">
        <f>IF(Convert_to_Games[[#This Row],[DD]]=0, 0, IF(L125 = "Cons DD", Convert_to_Games[[#This Row],[DD]], L125+L125))</f>
        <v>2.1267647932558654E+37</v>
      </c>
    </row>
    <row r="127" spans="1:12">
      <c r="A127" t="s">
        <v>25</v>
      </c>
      <c r="B127" t="s">
        <v>20</v>
      </c>
      <c r="C127" t="s">
        <v>18</v>
      </c>
      <c r="D127" s="9">
        <v>45707</v>
      </c>
      <c r="E127">
        <v>1</v>
      </c>
      <c r="F127" t="s">
        <v>8</v>
      </c>
      <c r="G127">
        <v>3</v>
      </c>
      <c r="H127" t="s">
        <v>4</v>
      </c>
      <c r="I127">
        <v>11</v>
      </c>
      <c r="J127">
        <v>1</v>
      </c>
      <c r="K127">
        <f>IF(Convert_to_Games[[#This Row],[Total Score]]&gt;9, 1, 0)</f>
        <v>1</v>
      </c>
      <c r="L127">
        <f>IF(Convert_to_Games[[#This Row],[DD]]=0, 0, IF(L126 = "Cons DD", Convert_to_Games[[#This Row],[DD]], L126+L126))</f>
        <v>4.2535295865117308E+37</v>
      </c>
    </row>
    <row r="128" spans="1:12">
      <c r="A128" t="s">
        <v>25</v>
      </c>
      <c r="B128" t="s">
        <v>20</v>
      </c>
      <c r="C128" t="s">
        <v>18</v>
      </c>
      <c r="D128" s="9">
        <v>45708</v>
      </c>
      <c r="E128">
        <v>5</v>
      </c>
      <c r="F128" t="s">
        <v>10</v>
      </c>
      <c r="G128">
        <v>3</v>
      </c>
      <c r="H128" t="s">
        <v>4</v>
      </c>
      <c r="I128">
        <v>11</v>
      </c>
      <c r="J128">
        <v>1</v>
      </c>
      <c r="K128">
        <f>IF(Convert_to_Games[[#This Row],[Total Score]]&gt;9, 1, 0)</f>
        <v>1</v>
      </c>
      <c r="L128">
        <f>IF(Convert_to_Games[[#This Row],[DD]]=0, 0, IF(L127 = "Cons DD", Convert_to_Games[[#This Row],[DD]], L127+L127))</f>
        <v>8.5070591730234616E+37</v>
      </c>
    </row>
    <row r="129" spans="1:12">
      <c r="A129" t="s">
        <v>25</v>
      </c>
      <c r="B129" t="s">
        <v>20</v>
      </c>
      <c r="C129" t="s">
        <v>18</v>
      </c>
      <c r="D129" s="9">
        <v>45713</v>
      </c>
      <c r="E129">
        <v>9</v>
      </c>
      <c r="F129" t="s">
        <v>8</v>
      </c>
      <c r="G129">
        <v>3</v>
      </c>
      <c r="H129" t="s">
        <v>5</v>
      </c>
      <c r="I129">
        <v>11</v>
      </c>
      <c r="J129">
        <v>1</v>
      </c>
      <c r="K129">
        <f>IF(Convert_to_Games[[#This Row],[Total Score]]&gt;9, 1, 0)</f>
        <v>1</v>
      </c>
      <c r="L129">
        <f>IF(Convert_to_Games[[#This Row],[DD]]=0, 0, IF(L128 = "Cons DD", Convert_to_Games[[#This Row],[DD]], L128+L128))</f>
        <v>1.7014118346046923E+38</v>
      </c>
    </row>
    <row r="130" spans="1:12">
      <c r="A130" t="s">
        <v>25</v>
      </c>
      <c r="B130" t="s">
        <v>20</v>
      </c>
      <c r="C130" t="s">
        <v>16</v>
      </c>
      <c r="D130" s="9">
        <v>45715</v>
      </c>
      <c r="E130">
        <v>13</v>
      </c>
      <c r="F130" t="s">
        <v>12</v>
      </c>
      <c r="G130">
        <v>3</v>
      </c>
      <c r="H130" t="s">
        <v>4</v>
      </c>
      <c r="I130">
        <v>11</v>
      </c>
      <c r="J130">
        <v>1</v>
      </c>
      <c r="K130">
        <f>IF(Convert_to_Games[[#This Row],[Total Score]]&gt;9, 1, 0)</f>
        <v>1</v>
      </c>
      <c r="L130">
        <f>IF(Convert_to_Games[[#This Row],[DD]]=0, 0, IF(L129 = "Cons DD", Convert_to_Games[[#This Row],[DD]], L129+L129))</f>
        <v>3.4028236692093846E+38</v>
      </c>
    </row>
    <row r="131" spans="1:12">
      <c r="A131" t="s">
        <v>25</v>
      </c>
      <c r="B131" t="s">
        <v>20</v>
      </c>
      <c r="C131" t="s">
        <v>16</v>
      </c>
      <c r="D131" s="9">
        <v>45716</v>
      </c>
      <c r="E131">
        <v>14</v>
      </c>
      <c r="F131" t="s">
        <v>9</v>
      </c>
      <c r="G131">
        <v>3</v>
      </c>
      <c r="H131" t="s">
        <v>4</v>
      </c>
      <c r="I131">
        <v>11</v>
      </c>
      <c r="J131">
        <v>1</v>
      </c>
      <c r="K131">
        <f>IF(Convert_to_Games[[#This Row],[Total Score]]&gt;9, 1, 0)</f>
        <v>1</v>
      </c>
      <c r="L131">
        <f>IF(Convert_to_Games[[#This Row],[DD]]=0, 0, IF(L130 = "Cons DD", Convert_to_Games[[#This Row],[DD]], L130+L130))</f>
        <v>6.8056473384187693E+38</v>
      </c>
    </row>
    <row r="132" spans="1:12">
      <c r="A132" t="s">
        <v>25</v>
      </c>
      <c r="B132" t="s">
        <v>20</v>
      </c>
      <c r="C132" t="s">
        <v>16</v>
      </c>
      <c r="D132" s="9">
        <v>45728</v>
      </c>
      <c r="E132">
        <v>23</v>
      </c>
      <c r="F132" t="s">
        <v>9</v>
      </c>
      <c r="G132">
        <v>3</v>
      </c>
      <c r="H132" t="s">
        <v>4</v>
      </c>
      <c r="I132">
        <v>11</v>
      </c>
      <c r="J132">
        <v>1</v>
      </c>
      <c r="K132">
        <f>IF(Convert_to_Games[[#This Row],[Total Score]]&gt;9, 1, 0)</f>
        <v>1</v>
      </c>
      <c r="L132">
        <f>IF(Convert_to_Games[[#This Row],[DD]]=0, 0, IF(L131 = "Cons DD", Convert_to_Games[[#This Row],[DD]], L131+L131))</f>
        <v>1.3611294676837539E+39</v>
      </c>
    </row>
    <row r="133" spans="1:12">
      <c r="A133" t="s">
        <v>25</v>
      </c>
      <c r="B133" t="s">
        <v>20</v>
      </c>
      <c r="C133" t="s">
        <v>16</v>
      </c>
      <c r="D133" s="9">
        <v>45741</v>
      </c>
      <c r="E133">
        <v>26</v>
      </c>
      <c r="F133" t="s">
        <v>11</v>
      </c>
      <c r="G133">
        <v>3</v>
      </c>
      <c r="H133" t="s">
        <v>5</v>
      </c>
      <c r="I133">
        <v>11</v>
      </c>
      <c r="J133">
        <v>0</v>
      </c>
      <c r="K133">
        <f>IF(Convert_to_Games[[#This Row],[Total Score]]&gt;9, 1, 0)</f>
        <v>1</v>
      </c>
      <c r="L133">
        <f>IF(Convert_to_Games[[#This Row],[DD]]=0, 0, IF(L132 = "Cons DD", Convert_to_Games[[#This Row],[DD]], L132+L132))</f>
        <v>2.7222589353675077E+39</v>
      </c>
    </row>
    <row r="134" spans="1:12">
      <c r="A134" t="s">
        <v>25</v>
      </c>
      <c r="B134" t="s">
        <v>19</v>
      </c>
      <c r="C134" t="s">
        <v>16</v>
      </c>
      <c r="D134" s="9">
        <v>45771</v>
      </c>
      <c r="E134">
        <v>67</v>
      </c>
      <c r="F134" t="s">
        <v>11</v>
      </c>
      <c r="G134">
        <v>3</v>
      </c>
      <c r="H134" t="s">
        <v>4</v>
      </c>
      <c r="I134">
        <v>11</v>
      </c>
      <c r="J134">
        <v>1</v>
      </c>
      <c r="K134">
        <f>IF(Convert_to_Games[[#This Row],[Total Score]]&gt;9, 1, 0)</f>
        <v>1</v>
      </c>
      <c r="L134">
        <f>IF(Convert_to_Games[[#This Row],[DD]]=0, 0, IF(L133 = "Cons DD", Convert_to_Games[[#This Row],[DD]], L133+L133))</f>
        <v>5.4445178707350154E+39</v>
      </c>
    </row>
    <row r="135" spans="1:12">
      <c r="A135" t="s">
        <v>25</v>
      </c>
      <c r="B135" t="s">
        <v>20</v>
      </c>
      <c r="C135" t="s">
        <v>16</v>
      </c>
      <c r="D135" s="9">
        <v>45771</v>
      </c>
      <c r="E135">
        <v>69</v>
      </c>
      <c r="F135" t="s">
        <v>8</v>
      </c>
      <c r="G135">
        <v>3</v>
      </c>
      <c r="H135" t="s">
        <v>4</v>
      </c>
      <c r="I135">
        <v>11</v>
      </c>
      <c r="J135">
        <v>1</v>
      </c>
      <c r="K135">
        <f>IF(Convert_to_Games[[#This Row],[Total Score]]&gt;9, 1, 0)</f>
        <v>1</v>
      </c>
      <c r="L135">
        <f>IF(Convert_to_Games[[#This Row],[DD]]=0, 0, IF(L134 = "Cons DD", Convert_to_Games[[#This Row],[DD]], L134+L134))</f>
        <v>1.0889035741470031E+40</v>
      </c>
    </row>
    <row r="136" spans="1:12">
      <c r="A136" t="s">
        <v>25</v>
      </c>
      <c r="B136" t="s">
        <v>20</v>
      </c>
      <c r="C136" t="s">
        <v>16</v>
      </c>
      <c r="D136" s="9">
        <v>45782</v>
      </c>
      <c r="E136">
        <v>91</v>
      </c>
      <c r="F136" t="s">
        <v>9</v>
      </c>
      <c r="G136">
        <v>3</v>
      </c>
      <c r="H136" t="s">
        <v>5</v>
      </c>
      <c r="I136">
        <v>11</v>
      </c>
      <c r="J136">
        <v>1</v>
      </c>
      <c r="K136">
        <f>IF(Convert_to_Games[[#This Row],[Total Score]]&gt;9, 1, 0)</f>
        <v>1</v>
      </c>
      <c r="L136">
        <f>IF(Convert_to_Games[[#This Row],[DD]]=0, 0, IF(L135 = "Cons DD", Convert_to_Games[[#This Row],[DD]], L135+L135))</f>
        <v>2.1778071482940062E+40</v>
      </c>
    </row>
    <row r="137" spans="1:12">
      <c r="A137" t="s">
        <v>25</v>
      </c>
      <c r="B137" t="s">
        <v>20</v>
      </c>
      <c r="C137" t="s">
        <v>16</v>
      </c>
      <c r="D137" s="9">
        <v>45791</v>
      </c>
      <c r="E137">
        <v>98</v>
      </c>
      <c r="F137" t="s">
        <v>8</v>
      </c>
      <c r="G137">
        <v>3</v>
      </c>
      <c r="H137" t="s">
        <v>4</v>
      </c>
      <c r="I137">
        <v>11</v>
      </c>
      <c r="J137">
        <v>1</v>
      </c>
      <c r="K137">
        <f>IF(Convert_to_Games[[#This Row],[Total Score]]&gt;9, 1, 0)</f>
        <v>1</v>
      </c>
      <c r="L137">
        <f>IF(Convert_to_Games[[#This Row],[DD]]=0, 0, IF(L136 = "Cons DD", Convert_to_Games[[#This Row],[DD]], L136+L136))</f>
        <v>4.3556142965880123E+40</v>
      </c>
    </row>
    <row r="138" spans="1:12">
      <c r="A138" t="s">
        <v>25</v>
      </c>
      <c r="B138" t="s">
        <v>20</v>
      </c>
      <c r="C138" t="s">
        <v>16</v>
      </c>
      <c r="D138" s="9">
        <v>45825</v>
      </c>
      <c r="E138">
        <v>114</v>
      </c>
      <c r="F138" t="s">
        <v>8</v>
      </c>
      <c r="G138">
        <v>3</v>
      </c>
      <c r="H138" t="s">
        <v>5</v>
      </c>
      <c r="I138">
        <v>11</v>
      </c>
      <c r="J138">
        <v>1</v>
      </c>
      <c r="K138">
        <f>IF(Convert_to_Games[[#This Row],[Total Score]]&gt;9, 1, 0)</f>
        <v>1</v>
      </c>
      <c r="L138">
        <f>IF(Convert_to_Games[[#This Row],[DD]]=0, 0, IF(L137 = "Cons DD", Convert_to_Games[[#This Row],[DD]], L137+L137))</f>
        <v>8.7112285931760247E+40</v>
      </c>
    </row>
    <row r="139" spans="1:12">
      <c r="A139" t="s">
        <v>25</v>
      </c>
      <c r="B139" t="s">
        <v>19</v>
      </c>
      <c r="C139" t="s">
        <v>16</v>
      </c>
      <c r="D139" s="9">
        <v>45828</v>
      </c>
      <c r="E139">
        <v>122</v>
      </c>
      <c r="F139" t="s">
        <v>11</v>
      </c>
      <c r="G139">
        <v>3</v>
      </c>
      <c r="H139" t="s">
        <v>5</v>
      </c>
      <c r="I139">
        <v>11</v>
      </c>
      <c r="J139">
        <v>1</v>
      </c>
      <c r="K139">
        <f>IF(Convert_to_Games[[#This Row],[Total Score]]&gt;9, 1, 0)</f>
        <v>1</v>
      </c>
      <c r="L139">
        <f>IF(Convert_to_Games[[#This Row],[DD]]=0, 0, IF(L138 = "Cons DD", Convert_to_Games[[#This Row],[DD]], L138+L138))</f>
        <v>1.7422457186352049E+41</v>
      </c>
    </row>
    <row r="140" spans="1:12">
      <c r="A140" t="s">
        <v>25</v>
      </c>
      <c r="B140" t="s">
        <v>21</v>
      </c>
      <c r="C140" t="s">
        <v>16</v>
      </c>
      <c r="D140" s="9">
        <v>45828</v>
      </c>
      <c r="E140">
        <v>123</v>
      </c>
      <c r="F140" t="s">
        <v>9</v>
      </c>
      <c r="G140">
        <v>3</v>
      </c>
      <c r="H140" t="s">
        <v>4</v>
      </c>
      <c r="I140">
        <v>11</v>
      </c>
      <c r="J140">
        <v>1</v>
      </c>
      <c r="K140">
        <f>IF(Convert_to_Games[[#This Row],[Total Score]]&gt;9, 1, 0)</f>
        <v>1</v>
      </c>
      <c r="L140">
        <f>IF(Convert_to_Games[[#This Row],[DD]]=0, 0, IF(L139 = "Cons DD", Convert_to_Games[[#This Row],[DD]], L139+L139))</f>
        <v>3.4844914372704099E+41</v>
      </c>
    </row>
    <row r="141" spans="1:12">
      <c r="A141" t="s">
        <v>25</v>
      </c>
      <c r="B141" t="s">
        <v>20</v>
      </c>
      <c r="C141" t="s">
        <v>16</v>
      </c>
      <c r="D141" s="9">
        <v>45832</v>
      </c>
      <c r="E141">
        <v>127</v>
      </c>
      <c r="F141" t="s">
        <v>84</v>
      </c>
      <c r="G141">
        <v>3</v>
      </c>
      <c r="H141" t="s">
        <v>5</v>
      </c>
      <c r="I141">
        <v>11</v>
      </c>
      <c r="J141">
        <v>1</v>
      </c>
      <c r="K141">
        <f>IF(Convert_to_Games[[#This Row],[Total Score]]&gt;9, 1, 0)</f>
        <v>1</v>
      </c>
      <c r="L141">
        <f>IF(Convert_to_Games[[#This Row],[DD]]=0, 0, IF(L140 = "Cons DD", Convert_to_Games[[#This Row],[DD]], L140+L140))</f>
        <v>6.9689828745408197E+41</v>
      </c>
    </row>
    <row r="142" spans="1:12">
      <c r="A142" t="s">
        <v>25</v>
      </c>
      <c r="B142" t="s">
        <v>20</v>
      </c>
      <c r="C142" t="s">
        <v>16</v>
      </c>
      <c r="D142" s="9">
        <v>45845</v>
      </c>
      <c r="E142">
        <v>150</v>
      </c>
      <c r="F142" t="s">
        <v>111</v>
      </c>
      <c r="G142">
        <v>3</v>
      </c>
      <c r="H142" t="s">
        <v>78</v>
      </c>
      <c r="I142">
        <v>11</v>
      </c>
      <c r="J142">
        <v>1</v>
      </c>
      <c r="K142">
        <f>IF(Convert_to_Games[[#This Row],[Total Score]]&gt;9, 1, 0)</f>
        <v>1</v>
      </c>
      <c r="L142">
        <f>IF(Convert_to_Games[[#This Row],[DD]]=0, 0, IF(L141 = "Cons DD", Convert_to_Games[[#This Row],[DD]], L141+L141))</f>
        <v>1.3937965749081639E+42</v>
      </c>
    </row>
    <row r="143" spans="1:12">
      <c r="A143" t="s">
        <v>25</v>
      </c>
      <c r="B143" t="s">
        <v>19</v>
      </c>
      <c r="C143" t="s">
        <v>16</v>
      </c>
      <c r="D143" s="9">
        <v>45846</v>
      </c>
      <c r="E143">
        <v>152</v>
      </c>
      <c r="F143" t="s">
        <v>111</v>
      </c>
      <c r="G143">
        <v>4</v>
      </c>
      <c r="H143" t="s">
        <v>4</v>
      </c>
      <c r="I143">
        <v>11</v>
      </c>
      <c r="J143">
        <v>1</v>
      </c>
      <c r="K143">
        <f>IF(Convert_to_Games[[#This Row],[Total Score]]&gt;9, 1, 0)</f>
        <v>1</v>
      </c>
      <c r="L143">
        <f>IF(Convert_to_Games[[#This Row],[DD]]=0, 0, IF(L142 = "Cons DD", Convert_to_Games[[#This Row],[DD]], L142+L142))</f>
        <v>2.7875931498163279E+42</v>
      </c>
    </row>
    <row r="144" spans="1:12">
      <c r="A144" t="s">
        <v>25</v>
      </c>
      <c r="B144" t="s">
        <v>20</v>
      </c>
      <c r="C144" t="s">
        <v>16</v>
      </c>
      <c r="D144" s="9">
        <v>45854</v>
      </c>
      <c r="E144">
        <v>168</v>
      </c>
      <c r="F144" t="s">
        <v>104</v>
      </c>
      <c r="G144">
        <v>3</v>
      </c>
      <c r="H144" t="s">
        <v>4</v>
      </c>
      <c r="I144">
        <v>11</v>
      </c>
      <c r="J144">
        <v>1</v>
      </c>
      <c r="K144">
        <f>IF(Convert_to_Games[[#This Row],[Total Score]]&gt;9, 1, 0)</f>
        <v>1</v>
      </c>
      <c r="L144">
        <f>IF(Convert_to_Games[[#This Row],[DD]]=0, 0, IF(L143 = "Cons DD", Convert_to_Games[[#This Row],[DD]], L143+L143))</f>
        <v>5.5751862996326558E+42</v>
      </c>
    </row>
    <row r="145" spans="1:12">
      <c r="A145" t="s">
        <v>25</v>
      </c>
      <c r="B145" t="s">
        <v>20</v>
      </c>
      <c r="C145" t="s">
        <v>16</v>
      </c>
      <c r="D145" s="9">
        <v>45868</v>
      </c>
      <c r="E145">
        <v>185</v>
      </c>
      <c r="F145" t="s">
        <v>11</v>
      </c>
      <c r="G145">
        <v>3</v>
      </c>
      <c r="H145" t="s">
        <v>4</v>
      </c>
      <c r="I145">
        <v>11</v>
      </c>
      <c r="J145">
        <v>1</v>
      </c>
      <c r="K145">
        <f>IF(Convert_to_Games[[#This Row],[Total Score]]&gt;9, 1, 0)</f>
        <v>1</v>
      </c>
      <c r="L145">
        <f>IF(Convert_to_Games[[#This Row],[DD]]=0, 0, IF(L144 = "Cons DD", Convert_to_Games[[#This Row],[DD]], L144+L144))</f>
        <v>1.1150372599265312E+43</v>
      </c>
    </row>
    <row r="146" spans="1:12">
      <c r="A146" t="s">
        <v>25</v>
      </c>
      <c r="B146" t="s">
        <v>20</v>
      </c>
      <c r="C146" t="s">
        <v>116</v>
      </c>
      <c r="D146" s="9">
        <v>45875</v>
      </c>
      <c r="E146">
        <v>197</v>
      </c>
      <c r="F146" t="s">
        <v>11</v>
      </c>
      <c r="G146">
        <v>3</v>
      </c>
      <c r="H146" t="s">
        <v>5</v>
      </c>
      <c r="I146">
        <v>11</v>
      </c>
      <c r="J146">
        <v>0</v>
      </c>
      <c r="K146">
        <f>IF(Convert_to_Games[[#This Row],[Total Score]]&gt;9, 1, 0)</f>
        <v>1</v>
      </c>
      <c r="L146">
        <f>IF(Convert_to_Games[[#This Row],[DD]]=0, 0, IF(L145 = "Cons DD", Convert_to_Games[[#This Row],[DD]], L145+L145))</f>
        <v>2.2300745198530623E+43</v>
      </c>
    </row>
    <row r="147" spans="1:12">
      <c r="A147" t="s">
        <v>25</v>
      </c>
      <c r="B147">
        <v>256</v>
      </c>
      <c r="C147" t="s">
        <v>116</v>
      </c>
      <c r="D147" s="9">
        <v>45894</v>
      </c>
      <c r="E147">
        <v>210</v>
      </c>
      <c r="F147" t="s">
        <v>11</v>
      </c>
      <c r="G147">
        <v>3</v>
      </c>
      <c r="H147" t="s">
        <v>5</v>
      </c>
      <c r="I147">
        <v>11</v>
      </c>
      <c r="J147">
        <v>0</v>
      </c>
      <c r="K147">
        <f>IF(Convert_to_Games[[#This Row],[Total Score]]&gt;9, 1, 0)</f>
        <v>1</v>
      </c>
      <c r="L147">
        <f>IF(Convert_to_Games[[#This Row],[DD]]=0, 0, IF(L146 = "Cons DD", Convert_to_Games[[#This Row],[DD]], L146+L146))</f>
        <v>4.4601490397061246E+43</v>
      </c>
    </row>
    <row r="148" spans="1:12">
      <c r="A148" t="s">
        <v>25</v>
      </c>
      <c r="B148">
        <v>256</v>
      </c>
      <c r="C148" t="s">
        <v>116</v>
      </c>
      <c r="D148" s="9">
        <v>45896</v>
      </c>
      <c r="E148">
        <v>211</v>
      </c>
      <c r="F148" t="s">
        <v>24</v>
      </c>
      <c r="G148">
        <v>3</v>
      </c>
      <c r="H148" t="s">
        <v>5</v>
      </c>
      <c r="I148">
        <v>11</v>
      </c>
      <c r="J148">
        <v>0</v>
      </c>
      <c r="K148">
        <f>IF(Convert_to_Games[[#This Row],[Total Score]]&gt;9, 1, 0)</f>
        <v>1</v>
      </c>
      <c r="L148">
        <f>IF(Convert_to_Games[[#This Row],[DD]]=0, 0, IF(L147 = "Cons DD", Convert_to_Games[[#This Row],[DD]], L147+L147))</f>
        <v>8.9202980794122493E+43</v>
      </c>
    </row>
    <row r="149" spans="1:12">
      <c r="A149" t="s">
        <v>25</v>
      </c>
      <c r="B149">
        <v>256</v>
      </c>
      <c r="C149" t="s">
        <v>116</v>
      </c>
      <c r="D149" s="9">
        <v>45919</v>
      </c>
      <c r="E149">
        <v>223</v>
      </c>
      <c r="F149" t="s">
        <v>9</v>
      </c>
      <c r="G149">
        <v>3</v>
      </c>
      <c r="H149" t="s">
        <v>5</v>
      </c>
      <c r="I149">
        <v>11</v>
      </c>
      <c r="J149">
        <v>0</v>
      </c>
      <c r="K149">
        <f>IF(Convert_to_Games[[#This Row],[Total Score]]&gt;9, 1, 0)</f>
        <v>1</v>
      </c>
      <c r="L149">
        <f>IF(Convert_to_Games[[#This Row],[DD]]=0, 0, IF(L148 = "Cons DD", Convert_to_Games[[#This Row],[DD]], L148+L148))</f>
        <v>1.7840596158824499E+44</v>
      </c>
    </row>
    <row r="150" spans="1:12">
      <c r="A150" t="s">
        <v>25</v>
      </c>
      <c r="B150">
        <v>256</v>
      </c>
      <c r="C150" t="s">
        <v>116</v>
      </c>
      <c r="D150" s="9">
        <v>45929</v>
      </c>
      <c r="E150">
        <v>227</v>
      </c>
      <c r="F150" t="s">
        <v>11</v>
      </c>
      <c r="G150">
        <v>3</v>
      </c>
      <c r="H150" t="s">
        <v>4</v>
      </c>
      <c r="I150">
        <v>11</v>
      </c>
      <c r="J150">
        <v>0</v>
      </c>
      <c r="K150">
        <f>IF(Convert_to_Games[[#This Row],[Total Score]]&gt;9, 1, 0)</f>
        <v>1</v>
      </c>
      <c r="L150">
        <f>IF(Convert_to_Games[[#This Row],[DD]]=0, 0, IF(L149 = "Cons DD", Convert_to_Games[[#This Row],[DD]], L149+L149))</f>
        <v>3.5681192317648997E+44</v>
      </c>
    </row>
    <row r="151" spans="1:12">
      <c r="A151" t="s">
        <v>25</v>
      </c>
      <c r="B151">
        <v>256</v>
      </c>
      <c r="C151" t="s">
        <v>116</v>
      </c>
      <c r="D151" s="9">
        <v>45930</v>
      </c>
      <c r="E151">
        <v>228</v>
      </c>
      <c r="F151" t="s">
        <v>11</v>
      </c>
      <c r="G151">
        <v>3</v>
      </c>
      <c r="H151" t="s">
        <v>5</v>
      </c>
      <c r="I151">
        <v>11</v>
      </c>
      <c r="J151">
        <v>0</v>
      </c>
      <c r="K151">
        <f>IF(Convert_to_Games[[#This Row],[Total Score]]&gt;9, 1, 0)</f>
        <v>1</v>
      </c>
      <c r="L151">
        <f>IF(Convert_to_Games[[#This Row],[DD]]=0, 0, IF(L150 = "Cons DD", Convert_to_Games[[#This Row],[DD]], L150+L150))</f>
        <v>7.1362384635297994E+44</v>
      </c>
    </row>
    <row r="152" spans="1:12">
      <c r="A152" t="s">
        <v>25</v>
      </c>
      <c r="B152">
        <v>256</v>
      </c>
      <c r="C152" t="s">
        <v>116</v>
      </c>
      <c r="D152" s="9">
        <v>45943</v>
      </c>
      <c r="E152">
        <v>232</v>
      </c>
      <c r="F152" t="s">
        <v>9</v>
      </c>
      <c r="G152">
        <v>3</v>
      </c>
      <c r="H152" t="s">
        <v>4</v>
      </c>
      <c r="I152">
        <v>11</v>
      </c>
      <c r="J152">
        <v>1</v>
      </c>
      <c r="K152">
        <f>IF(Convert_to_Games[[#This Row],[Total Score]]&gt;9, 1, 0)</f>
        <v>1</v>
      </c>
      <c r="L152">
        <f>IF(Convert_to_Games[[#This Row],[DD]]=0, 0, IF(L151 = "Cons DD", Convert_to_Games[[#This Row],[DD]], L151+L151))</f>
        <v>1.4272476927059599E+45</v>
      </c>
    </row>
    <row r="153" spans="1:12">
      <c r="A153" t="s">
        <v>25</v>
      </c>
      <c r="B153">
        <v>256</v>
      </c>
      <c r="C153" t="s">
        <v>116</v>
      </c>
      <c r="D153" s="9">
        <v>45954</v>
      </c>
      <c r="E153">
        <v>235</v>
      </c>
      <c r="F153" t="s">
        <v>8</v>
      </c>
      <c r="G153">
        <v>3</v>
      </c>
      <c r="H153" t="s">
        <v>4</v>
      </c>
      <c r="I153">
        <v>11</v>
      </c>
      <c r="J153">
        <v>1</v>
      </c>
      <c r="K153">
        <f>IF(Convert_to_Games[[#This Row],[Total Score]]&gt;9, 1, 0)</f>
        <v>1</v>
      </c>
      <c r="L153">
        <f>IF(Convert_to_Games[[#This Row],[DD]]=0, 0, IF(L152 = "Cons DD", Convert_to_Games[[#This Row],[DD]], L152+L152))</f>
        <v>2.8544953854119198E+45</v>
      </c>
    </row>
    <row r="154" spans="1:12">
      <c r="A154" t="s">
        <v>25</v>
      </c>
      <c r="B154">
        <v>256</v>
      </c>
      <c r="C154" t="s">
        <v>116</v>
      </c>
      <c r="D154" s="9">
        <v>45994</v>
      </c>
      <c r="E154">
        <v>246</v>
      </c>
      <c r="F154" t="s">
        <v>9</v>
      </c>
      <c r="G154">
        <v>3</v>
      </c>
      <c r="H154" t="s">
        <v>5</v>
      </c>
      <c r="I154">
        <v>11</v>
      </c>
      <c r="J154">
        <v>0</v>
      </c>
      <c r="K154">
        <f>IF(Convert_to_Games[[#This Row],[Total Score]]&gt;9, 1, 0)</f>
        <v>1</v>
      </c>
      <c r="L154">
        <f>IF(Convert_to_Games[[#This Row],[DD]]=0, 0, IF(L153 = "Cons DD", Convert_to_Games[[#This Row],[DD]], L153+L153))</f>
        <v>5.7089907708238395E+45</v>
      </c>
    </row>
    <row r="155" spans="1:12">
      <c r="A155" t="s">
        <v>25</v>
      </c>
      <c r="B155">
        <v>256</v>
      </c>
      <c r="C155" t="s">
        <v>116</v>
      </c>
      <c r="D155" s="9">
        <v>46000</v>
      </c>
      <c r="E155">
        <v>251</v>
      </c>
      <c r="F155" t="s">
        <v>11</v>
      </c>
      <c r="G155">
        <v>3</v>
      </c>
      <c r="H155" t="s">
        <v>5</v>
      </c>
      <c r="I155">
        <v>11</v>
      </c>
      <c r="J155">
        <v>0</v>
      </c>
      <c r="K155">
        <f>IF(Convert_to_Games[[#This Row],[Total Score]]&gt;9, 1, 0)</f>
        <v>1</v>
      </c>
      <c r="L155">
        <f>IF(Convert_to_Games[[#This Row],[DD]]=0, 0, IF(L154 = "Cons DD", Convert_to_Games[[#This Row],[DD]], L154+L154))</f>
        <v>1.1417981541647679E+46</v>
      </c>
    </row>
    <row r="156" spans="1:12">
      <c r="A156" t="s">
        <v>25</v>
      </c>
      <c r="B156">
        <v>256</v>
      </c>
      <c r="C156" t="s">
        <v>116</v>
      </c>
      <c r="D156" s="9">
        <v>46006</v>
      </c>
      <c r="E156">
        <v>252</v>
      </c>
      <c r="F156" t="s">
        <v>121</v>
      </c>
      <c r="G156">
        <v>3</v>
      </c>
      <c r="H156" t="s">
        <v>4</v>
      </c>
      <c r="I156">
        <v>11</v>
      </c>
      <c r="J156">
        <v>1</v>
      </c>
      <c r="K156">
        <f>IF(Convert_to_Games[[#This Row],[Total Score]]&gt;9, 1, 0)</f>
        <v>1</v>
      </c>
      <c r="L156">
        <f>IF(Convert_to_Games[[#This Row],[DD]]=0, 0, IF(L155 = "Cons DD", Convert_to_Games[[#This Row],[DD]], L155+L155))</f>
        <v>2.2835963083295358E+46</v>
      </c>
    </row>
    <row r="157" spans="1:12">
      <c r="A157" t="s">
        <v>25</v>
      </c>
      <c r="B157">
        <v>256</v>
      </c>
      <c r="C157" t="s">
        <v>116</v>
      </c>
      <c r="D157" s="9">
        <v>46051</v>
      </c>
      <c r="E157">
        <v>257</v>
      </c>
      <c r="F157" t="s">
        <v>9</v>
      </c>
      <c r="G157">
        <v>3</v>
      </c>
      <c r="H157" t="s">
        <v>4</v>
      </c>
      <c r="I157">
        <v>11</v>
      </c>
      <c r="J157">
        <v>1</v>
      </c>
      <c r="K157">
        <f>IF(Convert_to_Games[[#This Row],[Total Score]]&gt;9, 1, 0)</f>
        <v>1</v>
      </c>
      <c r="L157">
        <f>IF(Convert_to_Games[[#This Row],[DD]]=0, 0, IF(L156 = "Cons DD", Convert_to_Games[[#This Row],[DD]], L156+L156))</f>
        <v>4.5671926166590716E+46</v>
      </c>
    </row>
    <row r="158" spans="1:12">
      <c r="A158" t="s">
        <v>25</v>
      </c>
      <c r="B158">
        <v>256</v>
      </c>
      <c r="C158" t="s">
        <v>116</v>
      </c>
      <c r="D158" s="9">
        <v>46055</v>
      </c>
      <c r="E158">
        <v>258</v>
      </c>
      <c r="F158" t="s">
        <v>11</v>
      </c>
      <c r="G158">
        <v>3</v>
      </c>
      <c r="H158" t="s">
        <v>4</v>
      </c>
      <c r="I158">
        <v>11</v>
      </c>
      <c r="J158">
        <v>1</v>
      </c>
      <c r="K158">
        <f>IF(Convert_to_Games[[#This Row],[Total Score]]&gt;9, 1, 0)</f>
        <v>1</v>
      </c>
      <c r="L158">
        <f>IF(Convert_to_Games[[#This Row],[DD]]=0, 0, IF(L157 = "Cons DD", Convert_to_Games[[#This Row],[DD]], L157+L157))</f>
        <v>9.1343852333181432E+46</v>
      </c>
    </row>
    <row r="159" spans="1:12">
      <c r="A159" t="s">
        <v>25</v>
      </c>
      <c r="B159">
        <v>256</v>
      </c>
      <c r="C159" t="s">
        <v>116</v>
      </c>
      <c r="D159" s="9">
        <v>46056</v>
      </c>
      <c r="E159">
        <v>259</v>
      </c>
      <c r="F159" t="s">
        <v>11</v>
      </c>
      <c r="G159">
        <v>3</v>
      </c>
      <c r="H159" t="s">
        <v>5</v>
      </c>
      <c r="I159">
        <v>11</v>
      </c>
      <c r="J159">
        <v>0</v>
      </c>
      <c r="K159">
        <f>IF(Convert_to_Games[[#This Row],[Total Score]]&gt;9, 1, 0)</f>
        <v>1</v>
      </c>
      <c r="L159">
        <f>IF(Convert_to_Games[[#This Row],[DD]]=0, 0, IF(L158 = "Cons DD", Convert_to_Games[[#This Row],[DD]], L158+L158))</f>
        <v>1.8268770466636286E+47</v>
      </c>
    </row>
    <row r="160" spans="1:12">
      <c r="A160" t="s">
        <v>25</v>
      </c>
      <c r="B160">
        <v>256</v>
      </c>
      <c r="C160" t="s">
        <v>116</v>
      </c>
      <c r="D160" s="9">
        <v>46087</v>
      </c>
      <c r="E160">
        <v>271</v>
      </c>
      <c r="F160" t="s">
        <v>9</v>
      </c>
      <c r="G160">
        <v>3</v>
      </c>
      <c r="H160" t="s">
        <v>5</v>
      </c>
      <c r="I160">
        <v>11</v>
      </c>
      <c r="J160">
        <v>0</v>
      </c>
      <c r="K160">
        <f>IF(Convert_to_Games[[#This Row],[Total Score]]&gt;9, 1, 0)</f>
        <v>1</v>
      </c>
      <c r="L160">
        <f>IF(Convert_to_Games[[#This Row],[DD]]=0, 0, IF(L159 = "Cons DD", Convert_to_Games[[#This Row],[DD]], L159+L159))</f>
        <v>3.6537540933272573E+47</v>
      </c>
    </row>
    <row r="161" spans="1:12">
      <c r="A161" t="s">
        <v>25</v>
      </c>
      <c r="B161" t="s">
        <v>20</v>
      </c>
      <c r="C161" t="s">
        <v>18</v>
      </c>
      <c r="D161" s="9">
        <v>45708</v>
      </c>
      <c r="E161">
        <v>3</v>
      </c>
      <c r="F161" t="s">
        <v>9</v>
      </c>
      <c r="G161">
        <v>3</v>
      </c>
      <c r="H161" t="s">
        <v>4</v>
      </c>
      <c r="I161">
        <v>10</v>
      </c>
      <c r="J161">
        <v>1</v>
      </c>
      <c r="K161">
        <f>IF(Convert_to_Games[[#This Row],[Total Score]]&gt;9, 1, 0)</f>
        <v>1</v>
      </c>
      <c r="L161">
        <f>IF(Convert_to_Games[[#This Row],[DD]]=0, 0, IF(L160 = "Cons DD", Convert_to_Games[[#This Row],[DD]], L160+L160))</f>
        <v>7.3075081866545146E+47</v>
      </c>
    </row>
    <row r="162" spans="1:12">
      <c r="A162" t="s">
        <v>25</v>
      </c>
      <c r="B162" t="s">
        <v>20</v>
      </c>
      <c r="C162" t="s">
        <v>18</v>
      </c>
      <c r="D162" s="9">
        <v>45709</v>
      </c>
      <c r="E162">
        <v>6</v>
      </c>
      <c r="F162" t="s">
        <v>9</v>
      </c>
      <c r="G162">
        <v>3</v>
      </c>
      <c r="H162" t="s">
        <v>4</v>
      </c>
      <c r="I162">
        <v>10</v>
      </c>
      <c r="J162">
        <v>1</v>
      </c>
      <c r="K162">
        <f>IF(Convert_to_Games[[#This Row],[Total Score]]&gt;9, 1, 0)</f>
        <v>1</v>
      </c>
      <c r="L162">
        <f>IF(Convert_to_Games[[#This Row],[DD]]=0, 0, IF(L161 = "Cons DD", Convert_to_Games[[#This Row],[DD]], L161+L161))</f>
        <v>1.4615016373309029E+48</v>
      </c>
    </row>
    <row r="163" spans="1:12">
      <c r="A163" t="s">
        <v>25</v>
      </c>
      <c r="B163" t="s">
        <v>20</v>
      </c>
      <c r="C163" t="s">
        <v>16</v>
      </c>
      <c r="D163" s="9">
        <v>45715</v>
      </c>
      <c r="E163">
        <v>12</v>
      </c>
      <c r="F163" t="s">
        <v>13</v>
      </c>
      <c r="G163">
        <v>3</v>
      </c>
      <c r="H163" t="s">
        <v>4</v>
      </c>
      <c r="I163">
        <v>10</v>
      </c>
      <c r="J163">
        <v>1</v>
      </c>
      <c r="K163">
        <f>IF(Convert_to_Games[[#This Row],[Total Score]]&gt;9, 1, 0)</f>
        <v>1</v>
      </c>
      <c r="L163">
        <f>IF(Convert_to_Games[[#This Row],[DD]]=0, 0, IF(L162 = "Cons DD", Convert_to_Games[[#This Row],[DD]], L162+L162))</f>
        <v>2.9230032746618058E+48</v>
      </c>
    </row>
    <row r="164" spans="1:12">
      <c r="A164" t="s">
        <v>25</v>
      </c>
      <c r="B164" t="s">
        <v>20</v>
      </c>
      <c r="C164" t="s">
        <v>16</v>
      </c>
      <c r="D164" s="9">
        <v>45726</v>
      </c>
      <c r="E164">
        <v>21</v>
      </c>
      <c r="F164" t="s">
        <v>11</v>
      </c>
      <c r="G164">
        <v>3</v>
      </c>
      <c r="H164" t="s">
        <v>4</v>
      </c>
      <c r="I164">
        <v>10</v>
      </c>
      <c r="J164">
        <v>1</v>
      </c>
      <c r="K164">
        <f>IF(Convert_to_Games[[#This Row],[Total Score]]&gt;9, 1, 0)</f>
        <v>1</v>
      </c>
      <c r="L164">
        <f>IF(Convert_to_Games[[#This Row],[DD]]=0, 0, IF(L163 = "Cons DD", Convert_to_Games[[#This Row],[DD]], L163+L163))</f>
        <v>5.8460065493236117E+48</v>
      </c>
    </row>
    <row r="165" spans="1:12">
      <c r="A165" t="s">
        <v>25</v>
      </c>
      <c r="B165" t="s">
        <v>20</v>
      </c>
      <c r="C165" t="s">
        <v>16</v>
      </c>
      <c r="D165" s="9">
        <v>45729</v>
      </c>
      <c r="E165">
        <v>24</v>
      </c>
      <c r="F165" t="s">
        <v>9</v>
      </c>
      <c r="G165">
        <v>3</v>
      </c>
      <c r="H165" t="s">
        <v>4</v>
      </c>
      <c r="I165">
        <v>10</v>
      </c>
      <c r="J165">
        <v>1</v>
      </c>
      <c r="K165">
        <f>IF(Convert_to_Games[[#This Row],[Total Score]]&gt;9, 1, 0)</f>
        <v>1</v>
      </c>
      <c r="L165">
        <f>IF(Convert_to_Games[[#This Row],[DD]]=0, 0, IF(L164 = "Cons DD", Convert_to_Games[[#This Row],[DD]], L164+L164))</f>
        <v>1.1692013098647223E+49</v>
      </c>
    </row>
    <row r="166" spans="1:12">
      <c r="A166" t="s">
        <v>25</v>
      </c>
      <c r="B166" t="s">
        <v>20</v>
      </c>
      <c r="C166" t="s">
        <v>16</v>
      </c>
      <c r="D166" s="9">
        <v>45742</v>
      </c>
      <c r="E166">
        <v>27</v>
      </c>
      <c r="F166" t="s">
        <v>15</v>
      </c>
      <c r="G166">
        <v>3</v>
      </c>
      <c r="H166" t="s">
        <v>4</v>
      </c>
      <c r="I166">
        <v>10</v>
      </c>
      <c r="J166">
        <v>1</v>
      </c>
      <c r="K166">
        <f>IF(Convert_to_Games[[#This Row],[Total Score]]&gt;9, 1, 0)</f>
        <v>1</v>
      </c>
      <c r="L166">
        <f>IF(Convert_to_Games[[#This Row],[DD]]=0, 0, IF(L165 = "Cons DD", Convert_to_Games[[#This Row],[DD]], L165+L165))</f>
        <v>2.3384026197294447E+49</v>
      </c>
    </row>
    <row r="167" spans="1:12">
      <c r="A167" t="s">
        <v>25</v>
      </c>
      <c r="B167" t="s">
        <v>20</v>
      </c>
      <c r="C167" t="s">
        <v>16</v>
      </c>
      <c r="D167" s="9">
        <v>45744</v>
      </c>
      <c r="E167">
        <v>29</v>
      </c>
      <c r="F167" t="s">
        <v>9</v>
      </c>
      <c r="G167">
        <v>3</v>
      </c>
      <c r="H167" t="s">
        <v>5</v>
      </c>
      <c r="I167">
        <v>10</v>
      </c>
      <c r="J167">
        <v>1</v>
      </c>
      <c r="K167">
        <f>IF(Convert_to_Games[[#This Row],[Total Score]]&gt;9, 1, 0)</f>
        <v>1</v>
      </c>
      <c r="L167">
        <f>IF(Convert_to_Games[[#This Row],[DD]]=0, 0, IF(L166 = "Cons DD", Convert_to_Games[[#This Row],[DD]], L166+L166))</f>
        <v>4.6768052394588893E+49</v>
      </c>
    </row>
    <row r="168" spans="1:12">
      <c r="A168" t="s">
        <v>25</v>
      </c>
      <c r="B168" t="s">
        <v>19</v>
      </c>
      <c r="C168" t="s">
        <v>16</v>
      </c>
      <c r="D168" s="9">
        <v>45762</v>
      </c>
      <c r="E168">
        <v>46</v>
      </c>
      <c r="F168" t="s">
        <v>11</v>
      </c>
      <c r="G168">
        <v>3</v>
      </c>
      <c r="H168" t="s">
        <v>4</v>
      </c>
      <c r="I168">
        <v>10</v>
      </c>
      <c r="J168">
        <v>1</v>
      </c>
      <c r="K168">
        <f>IF(Convert_to_Games[[#This Row],[Total Score]]&gt;9, 1, 0)</f>
        <v>1</v>
      </c>
      <c r="L168">
        <f>IF(Convert_to_Games[[#This Row],[DD]]=0, 0, IF(L167 = "Cons DD", Convert_to_Games[[#This Row],[DD]], L167+L167))</f>
        <v>9.3536104789177787E+49</v>
      </c>
    </row>
    <row r="169" spans="1:12">
      <c r="A169" t="s">
        <v>25</v>
      </c>
      <c r="B169" t="s">
        <v>20</v>
      </c>
      <c r="C169" t="s">
        <v>16</v>
      </c>
      <c r="D169" s="9">
        <v>45763</v>
      </c>
      <c r="E169">
        <v>52</v>
      </c>
      <c r="F169" t="s">
        <v>11</v>
      </c>
      <c r="G169">
        <v>3</v>
      </c>
      <c r="H169" t="s">
        <v>4</v>
      </c>
      <c r="I169">
        <v>10</v>
      </c>
      <c r="J169">
        <v>1</v>
      </c>
      <c r="K169">
        <f>IF(Convert_to_Games[[#This Row],[Total Score]]&gt;9, 1, 0)</f>
        <v>1</v>
      </c>
      <c r="L169">
        <f>IF(Convert_to_Games[[#This Row],[DD]]=0, 0, IF(L168 = "Cons DD", Convert_to_Games[[#This Row],[DD]], L168+L168))</f>
        <v>1.8707220957835557E+50</v>
      </c>
    </row>
    <row r="170" spans="1:12">
      <c r="A170" t="s">
        <v>25</v>
      </c>
      <c r="B170" t="s">
        <v>20</v>
      </c>
      <c r="C170" t="s">
        <v>16</v>
      </c>
      <c r="D170" s="9">
        <v>45764</v>
      </c>
      <c r="E170">
        <v>53</v>
      </c>
      <c r="F170" t="s">
        <v>11</v>
      </c>
      <c r="G170">
        <v>3</v>
      </c>
      <c r="H170" t="s">
        <v>4</v>
      </c>
      <c r="I170">
        <v>10</v>
      </c>
      <c r="J170">
        <v>1</v>
      </c>
      <c r="K170">
        <f>IF(Convert_to_Games[[#This Row],[Total Score]]&gt;9, 1, 0)</f>
        <v>1</v>
      </c>
      <c r="L170">
        <f>IF(Convert_to_Games[[#This Row],[DD]]=0, 0, IF(L169 = "Cons DD", Convert_to_Games[[#This Row],[DD]], L169+L169))</f>
        <v>3.7414441915671115E+50</v>
      </c>
    </row>
    <row r="171" spans="1:12">
      <c r="A171" t="s">
        <v>25</v>
      </c>
      <c r="B171" t="s">
        <v>19</v>
      </c>
      <c r="C171" t="s">
        <v>16</v>
      </c>
      <c r="D171" s="9">
        <v>45765</v>
      </c>
      <c r="E171">
        <v>56</v>
      </c>
      <c r="F171" t="s">
        <v>11</v>
      </c>
      <c r="G171">
        <v>3</v>
      </c>
      <c r="H171" t="s">
        <v>4</v>
      </c>
      <c r="I171">
        <v>10</v>
      </c>
      <c r="J171">
        <v>1</v>
      </c>
      <c r="K171">
        <f>IF(Convert_to_Games[[#This Row],[Total Score]]&gt;9, 1, 0)</f>
        <v>1</v>
      </c>
      <c r="L171">
        <f>IF(Convert_to_Games[[#This Row],[DD]]=0, 0, IF(L170 = "Cons DD", Convert_to_Games[[#This Row],[DD]], L170+L170))</f>
        <v>7.4828883831342229E+50</v>
      </c>
    </row>
    <row r="172" spans="1:12">
      <c r="A172" t="s">
        <v>25</v>
      </c>
      <c r="B172" t="s">
        <v>20</v>
      </c>
      <c r="C172" t="s">
        <v>16</v>
      </c>
      <c r="D172" s="9">
        <v>45771</v>
      </c>
      <c r="E172">
        <v>68</v>
      </c>
      <c r="F172" t="s">
        <v>15</v>
      </c>
      <c r="G172">
        <v>3</v>
      </c>
      <c r="H172" t="s">
        <v>4</v>
      </c>
      <c r="I172">
        <v>10</v>
      </c>
      <c r="J172">
        <v>1</v>
      </c>
      <c r="K172">
        <f>IF(Convert_to_Games[[#This Row],[Total Score]]&gt;9, 1, 0)</f>
        <v>1</v>
      </c>
      <c r="L172">
        <f>IF(Convert_to_Games[[#This Row],[DD]]=0, 0, IF(L171 = "Cons DD", Convert_to_Games[[#This Row],[DD]], L171+L171))</f>
        <v>1.4965776766268446E+51</v>
      </c>
    </row>
    <row r="173" spans="1:12">
      <c r="A173" t="s">
        <v>25</v>
      </c>
      <c r="B173" t="s">
        <v>19</v>
      </c>
      <c r="C173" t="s">
        <v>16</v>
      </c>
      <c r="D173" s="9">
        <v>45775</v>
      </c>
      <c r="E173">
        <v>73</v>
      </c>
      <c r="F173" t="s">
        <v>9</v>
      </c>
      <c r="G173">
        <v>3</v>
      </c>
      <c r="H173" t="s">
        <v>5</v>
      </c>
      <c r="I173">
        <v>10</v>
      </c>
      <c r="J173">
        <v>1</v>
      </c>
      <c r="K173">
        <f>IF(Convert_to_Games[[#This Row],[Total Score]]&gt;9, 1, 0)</f>
        <v>1</v>
      </c>
      <c r="L173">
        <f>IF(Convert_to_Games[[#This Row],[DD]]=0, 0, IF(L172 = "Cons DD", Convert_to_Games[[#This Row],[DD]], L172+L172))</f>
        <v>2.9931553532536892E+51</v>
      </c>
    </row>
    <row r="174" spans="1:12">
      <c r="A174" t="s">
        <v>25</v>
      </c>
      <c r="B174" t="s">
        <v>20</v>
      </c>
      <c r="C174" t="s">
        <v>16</v>
      </c>
      <c r="D174" s="9">
        <v>45775</v>
      </c>
      <c r="E174">
        <v>75</v>
      </c>
      <c r="F174" t="s">
        <v>11</v>
      </c>
      <c r="G174">
        <v>4</v>
      </c>
      <c r="H174" t="s">
        <v>4</v>
      </c>
      <c r="I174">
        <v>10</v>
      </c>
      <c r="J174">
        <v>1</v>
      </c>
      <c r="K174">
        <f>IF(Convert_to_Games[[#This Row],[Total Score]]&gt;9, 1, 0)</f>
        <v>1</v>
      </c>
      <c r="L174">
        <f>IF(Convert_to_Games[[#This Row],[DD]]=0, 0, IF(L173 = "Cons DD", Convert_to_Games[[#This Row],[DD]], L173+L173))</f>
        <v>5.9863107065073784E+51</v>
      </c>
    </row>
    <row r="175" spans="1:12">
      <c r="A175" t="s">
        <v>25</v>
      </c>
      <c r="B175" t="s">
        <v>20</v>
      </c>
      <c r="C175" t="s">
        <v>16</v>
      </c>
      <c r="D175" s="9">
        <v>45778</v>
      </c>
      <c r="E175">
        <v>84</v>
      </c>
      <c r="F175" t="s">
        <v>9</v>
      </c>
      <c r="G175">
        <v>3</v>
      </c>
      <c r="H175" t="s">
        <v>4</v>
      </c>
      <c r="I175">
        <v>10</v>
      </c>
      <c r="J175">
        <v>1</v>
      </c>
      <c r="K175">
        <f>IF(Convert_to_Games[[#This Row],[Total Score]]&gt;9, 1, 0)</f>
        <v>1</v>
      </c>
      <c r="L175">
        <f>IF(Convert_to_Games[[#This Row],[DD]]=0, 0, IF(L174 = "Cons DD", Convert_to_Games[[#This Row],[DD]], L174+L174))</f>
        <v>1.1972621413014757E+52</v>
      </c>
    </row>
    <row r="176" spans="1:12">
      <c r="A176" t="s">
        <v>25</v>
      </c>
      <c r="B176" t="s">
        <v>19</v>
      </c>
      <c r="C176" t="s">
        <v>16</v>
      </c>
      <c r="D176" s="9">
        <v>45778</v>
      </c>
      <c r="E176">
        <v>85</v>
      </c>
      <c r="F176" t="s">
        <v>9</v>
      </c>
      <c r="G176">
        <v>4</v>
      </c>
      <c r="H176" t="s">
        <v>4</v>
      </c>
      <c r="I176">
        <v>10</v>
      </c>
      <c r="J176">
        <v>1</v>
      </c>
      <c r="K176">
        <f>IF(Convert_to_Games[[#This Row],[Total Score]]&gt;9, 1, 0)</f>
        <v>1</v>
      </c>
      <c r="L176">
        <f>IF(Convert_to_Games[[#This Row],[DD]]=0, 0, IF(L175 = "Cons DD", Convert_to_Games[[#This Row],[DD]], L175+L175))</f>
        <v>2.3945242826029513E+52</v>
      </c>
    </row>
    <row r="177" spans="1:12">
      <c r="A177" t="s">
        <v>25</v>
      </c>
      <c r="B177" t="s">
        <v>19</v>
      </c>
      <c r="C177" t="s">
        <v>16</v>
      </c>
      <c r="D177" s="9">
        <v>45825</v>
      </c>
      <c r="E177">
        <v>115</v>
      </c>
      <c r="F177" t="s">
        <v>8</v>
      </c>
      <c r="G177">
        <v>3</v>
      </c>
      <c r="H177" t="s">
        <v>5</v>
      </c>
      <c r="I177">
        <v>10</v>
      </c>
      <c r="J177">
        <v>0</v>
      </c>
      <c r="K177">
        <f>IF(Convert_to_Games[[#This Row],[Total Score]]&gt;9, 1, 0)</f>
        <v>1</v>
      </c>
      <c r="L177">
        <f>IF(Convert_to_Games[[#This Row],[DD]]=0, 0, IF(L176 = "Cons DD", Convert_to_Games[[#This Row],[DD]], L176+L176))</f>
        <v>4.7890485652059027E+52</v>
      </c>
    </row>
    <row r="178" spans="1:12">
      <c r="A178" t="s">
        <v>25</v>
      </c>
      <c r="B178" t="s">
        <v>20</v>
      </c>
      <c r="C178" t="s">
        <v>16</v>
      </c>
      <c r="D178" s="9">
        <v>45826</v>
      </c>
      <c r="E178">
        <v>116</v>
      </c>
      <c r="F178" t="s">
        <v>9</v>
      </c>
      <c r="G178">
        <v>4</v>
      </c>
      <c r="H178" t="s">
        <v>5</v>
      </c>
      <c r="I178">
        <v>10</v>
      </c>
      <c r="J178">
        <v>1</v>
      </c>
      <c r="K178">
        <f>IF(Convert_to_Games[[#This Row],[Total Score]]&gt;9, 1, 0)</f>
        <v>1</v>
      </c>
      <c r="L178">
        <f>IF(Convert_to_Games[[#This Row],[DD]]=0, 0, IF(L177 = "Cons DD", Convert_to_Games[[#This Row],[DD]], L177+L177))</f>
        <v>9.5780971304118054E+52</v>
      </c>
    </row>
    <row r="179" spans="1:12">
      <c r="A179" t="s">
        <v>25</v>
      </c>
      <c r="B179" t="s">
        <v>20</v>
      </c>
      <c r="C179" t="s">
        <v>16</v>
      </c>
      <c r="D179" s="9">
        <v>45828</v>
      </c>
      <c r="E179">
        <v>121</v>
      </c>
      <c r="F179" t="s">
        <v>9</v>
      </c>
      <c r="G179">
        <v>3</v>
      </c>
      <c r="H179" t="s">
        <v>4</v>
      </c>
      <c r="I179">
        <v>10</v>
      </c>
      <c r="J179">
        <v>1</v>
      </c>
      <c r="K179">
        <f>IF(Convert_to_Games[[#This Row],[Total Score]]&gt;9, 1, 0)</f>
        <v>1</v>
      </c>
      <c r="L179">
        <f>IF(Convert_to_Games[[#This Row],[DD]]=0, 0, IF(L178 = "Cons DD", Convert_to_Games[[#This Row],[DD]], L178+L178))</f>
        <v>1.9156194260823611E+53</v>
      </c>
    </row>
    <row r="180" spans="1:12">
      <c r="A180" t="s">
        <v>25</v>
      </c>
      <c r="B180" t="s">
        <v>20</v>
      </c>
      <c r="C180" t="s">
        <v>16</v>
      </c>
      <c r="D180" s="9">
        <v>45831</v>
      </c>
      <c r="E180">
        <v>125</v>
      </c>
      <c r="F180" t="s">
        <v>11</v>
      </c>
      <c r="G180">
        <v>3</v>
      </c>
      <c r="H180" t="s">
        <v>5</v>
      </c>
      <c r="I180">
        <v>10</v>
      </c>
      <c r="J180">
        <v>1</v>
      </c>
      <c r="K180">
        <f>IF(Convert_to_Games[[#This Row],[Total Score]]&gt;9, 1, 0)</f>
        <v>1</v>
      </c>
      <c r="L180">
        <f>IF(Convert_to_Games[[#This Row],[DD]]=0, 0, IF(L179 = "Cons DD", Convert_to_Games[[#This Row],[DD]], L179+L179))</f>
        <v>3.8312388521647221E+53</v>
      </c>
    </row>
    <row r="181" spans="1:12">
      <c r="A181" t="s">
        <v>25</v>
      </c>
      <c r="B181" t="s">
        <v>20</v>
      </c>
      <c r="C181" t="s">
        <v>16</v>
      </c>
      <c r="D181" s="9">
        <v>45834</v>
      </c>
      <c r="E181">
        <v>132</v>
      </c>
      <c r="F181" t="s">
        <v>100</v>
      </c>
      <c r="G181">
        <v>3</v>
      </c>
      <c r="H181" t="s">
        <v>4</v>
      </c>
      <c r="I181">
        <v>10</v>
      </c>
      <c r="J181">
        <v>1</v>
      </c>
      <c r="K181">
        <f>IF(Convert_to_Games[[#This Row],[Total Score]]&gt;9, 1, 0)</f>
        <v>1</v>
      </c>
      <c r="L181">
        <f>IF(Convert_to_Games[[#This Row],[DD]]=0, 0, IF(L180 = "Cons DD", Convert_to_Games[[#This Row],[DD]], L180+L180))</f>
        <v>7.6624777043294443E+53</v>
      </c>
    </row>
    <row r="182" spans="1:12">
      <c r="A182" t="s">
        <v>25</v>
      </c>
      <c r="B182" t="s">
        <v>20</v>
      </c>
      <c r="C182" t="s">
        <v>16</v>
      </c>
      <c r="D182" s="9">
        <v>45834</v>
      </c>
      <c r="E182">
        <v>133</v>
      </c>
      <c r="F182" t="s">
        <v>11</v>
      </c>
      <c r="G182">
        <v>3</v>
      </c>
      <c r="H182" t="s">
        <v>4</v>
      </c>
      <c r="I182">
        <v>10</v>
      </c>
      <c r="J182">
        <v>1</v>
      </c>
      <c r="K182">
        <f>IF(Convert_to_Games[[#This Row],[Total Score]]&gt;9, 1, 0)</f>
        <v>1</v>
      </c>
      <c r="L182">
        <f>IF(Convert_to_Games[[#This Row],[DD]]=0, 0, IF(L181 = "Cons DD", Convert_to_Games[[#This Row],[DD]], L181+L181))</f>
        <v>1.5324955408658889E+54</v>
      </c>
    </row>
    <row r="183" spans="1:12">
      <c r="A183" t="s">
        <v>25</v>
      </c>
      <c r="B183" t="s">
        <v>20</v>
      </c>
      <c r="C183" t="s">
        <v>16</v>
      </c>
      <c r="D183" s="9">
        <v>45840</v>
      </c>
      <c r="E183">
        <v>143</v>
      </c>
      <c r="F183" t="s">
        <v>107</v>
      </c>
      <c r="G183">
        <v>3</v>
      </c>
      <c r="H183" t="s">
        <v>5</v>
      </c>
      <c r="I183">
        <v>10</v>
      </c>
      <c r="J183">
        <v>1</v>
      </c>
      <c r="K183">
        <f>IF(Convert_to_Games[[#This Row],[Total Score]]&gt;9, 1, 0)</f>
        <v>1</v>
      </c>
      <c r="L183">
        <f>IF(Convert_to_Games[[#This Row],[DD]]=0, 0, IF(L182 = "Cons DD", Convert_to_Games[[#This Row],[DD]], L182+L182))</f>
        <v>3.0649910817317777E+54</v>
      </c>
    </row>
    <row r="184" spans="1:12">
      <c r="A184" t="s">
        <v>25</v>
      </c>
      <c r="B184" t="s">
        <v>20</v>
      </c>
      <c r="C184" t="s">
        <v>16</v>
      </c>
      <c r="D184" s="9">
        <v>45847</v>
      </c>
      <c r="E184">
        <v>153</v>
      </c>
      <c r="F184" t="s">
        <v>103</v>
      </c>
      <c r="G184">
        <v>3</v>
      </c>
      <c r="H184" t="s">
        <v>78</v>
      </c>
      <c r="I184">
        <v>10</v>
      </c>
      <c r="J184">
        <v>1</v>
      </c>
      <c r="K184">
        <f>IF(Convert_to_Games[[#This Row],[Total Score]]&gt;9, 1, 0)</f>
        <v>1</v>
      </c>
      <c r="L184">
        <f>IF(Convert_to_Games[[#This Row],[DD]]=0, 0, IF(L183 = "Cons DD", Convert_to_Games[[#This Row],[DD]], L183+L183))</f>
        <v>6.1299821634635554E+54</v>
      </c>
    </row>
    <row r="185" spans="1:12">
      <c r="A185" t="s">
        <v>25</v>
      </c>
      <c r="B185" t="s">
        <v>20</v>
      </c>
      <c r="C185" t="s">
        <v>116</v>
      </c>
      <c r="D185" s="9">
        <v>45868</v>
      </c>
      <c r="E185">
        <v>186</v>
      </c>
      <c r="F185" t="s">
        <v>9</v>
      </c>
      <c r="G185">
        <v>3</v>
      </c>
      <c r="H185" t="s">
        <v>4</v>
      </c>
      <c r="I185">
        <v>10</v>
      </c>
      <c r="J185">
        <v>1</v>
      </c>
      <c r="K185">
        <f>IF(Convert_to_Games[[#This Row],[Total Score]]&gt;9, 1, 0)</f>
        <v>1</v>
      </c>
      <c r="L185">
        <f>IF(Convert_to_Games[[#This Row],[DD]]=0, 0, IF(L184 = "Cons DD", Convert_to_Games[[#This Row],[DD]], L184+L184))</f>
        <v>1.2259964326927111E+55</v>
      </c>
    </row>
    <row r="186" spans="1:12">
      <c r="A186" t="s">
        <v>25</v>
      </c>
      <c r="B186" t="s">
        <v>20</v>
      </c>
      <c r="C186" t="s">
        <v>116</v>
      </c>
      <c r="D186" s="9">
        <v>45870</v>
      </c>
      <c r="E186">
        <v>193</v>
      </c>
      <c r="F186" t="s">
        <v>11</v>
      </c>
      <c r="G186">
        <v>3</v>
      </c>
      <c r="H186" t="s">
        <v>5</v>
      </c>
      <c r="I186">
        <v>10</v>
      </c>
      <c r="J186">
        <v>1</v>
      </c>
      <c r="K186">
        <f>IF(Convert_to_Games[[#This Row],[Total Score]]&gt;9, 1, 0)</f>
        <v>1</v>
      </c>
      <c r="L186">
        <f>IF(Convert_to_Games[[#This Row],[DD]]=0, 0, IF(L185 = "Cons DD", Convert_to_Games[[#This Row],[DD]], L185+L185))</f>
        <v>2.4519928653854222E+55</v>
      </c>
    </row>
    <row r="187" spans="1:12">
      <c r="A187" t="s">
        <v>25</v>
      </c>
      <c r="B187">
        <v>256</v>
      </c>
      <c r="C187" t="s">
        <v>116</v>
      </c>
      <c r="D187" s="9">
        <v>45889</v>
      </c>
      <c r="E187">
        <v>208</v>
      </c>
      <c r="F187" t="s">
        <v>11</v>
      </c>
      <c r="G187">
        <v>4</v>
      </c>
      <c r="H187" t="s">
        <v>4</v>
      </c>
      <c r="I187">
        <v>10</v>
      </c>
      <c r="J187">
        <v>0</v>
      </c>
      <c r="K187">
        <f>IF(Convert_to_Games[[#This Row],[Total Score]]&gt;9, 1, 0)</f>
        <v>1</v>
      </c>
      <c r="L187">
        <f>IF(Convert_to_Games[[#This Row],[DD]]=0, 0, IF(L186 = "Cons DD", Convert_to_Games[[#This Row],[DD]], L186+L186))</f>
        <v>4.9039857307708443E+55</v>
      </c>
    </row>
    <row r="188" spans="1:12">
      <c r="A188" t="s">
        <v>25</v>
      </c>
      <c r="B188">
        <v>256</v>
      </c>
      <c r="C188" t="s">
        <v>116</v>
      </c>
      <c r="D188" s="9">
        <v>45890</v>
      </c>
      <c r="E188">
        <v>209</v>
      </c>
      <c r="F188" t="s">
        <v>11</v>
      </c>
      <c r="G188">
        <v>3</v>
      </c>
      <c r="H188" t="s">
        <v>4</v>
      </c>
      <c r="I188">
        <v>10</v>
      </c>
      <c r="J188">
        <v>1</v>
      </c>
      <c r="K188">
        <f>IF(Convert_to_Games[[#This Row],[Total Score]]&gt;9, 1, 0)</f>
        <v>1</v>
      </c>
      <c r="L188">
        <f>IF(Convert_to_Games[[#This Row],[DD]]=0, 0, IF(L187 = "Cons DD", Convert_to_Games[[#This Row],[DD]], L187+L187))</f>
        <v>9.8079714615416887E+55</v>
      </c>
    </row>
    <row r="189" spans="1:12">
      <c r="A189" t="s">
        <v>25</v>
      </c>
      <c r="B189">
        <v>256</v>
      </c>
      <c r="C189" t="s">
        <v>116</v>
      </c>
      <c r="D189" s="9">
        <v>45896</v>
      </c>
      <c r="E189">
        <v>211</v>
      </c>
      <c r="F189" t="s">
        <v>24</v>
      </c>
      <c r="G189">
        <v>3</v>
      </c>
      <c r="H189" t="s">
        <v>23</v>
      </c>
      <c r="I189">
        <v>10</v>
      </c>
      <c r="J189">
        <v>0</v>
      </c>
      <c r="K189">
        <f>IF(Convert_to_Games[[#This Row],[Total Score]]&gt;9, 1, 0)</f>
        <v>1</v>
      </c>
      <c r="L189">
        <f>IF(Convert_to_Games[[#This Row],[DD]]=0, 0, IF(L188 = "Cons DD", Convert_to_Games[[#This Row],[DD]], L188+L188))</f>
        <v>1.9615942923083377E+56</v>
      </c>
    </row>
    <row r="190" spans="1:12">
      <c r="A190" t="s">
        <v>25</v>
      </c>
      <c r="B190">
        <v>256</v>
      </c>
      <c r="C190" t="s">
        <v>116</v>
      </c>
      <c r="D190" s="9">
        <v>45904</v>
      </c>
      <c r="E190">
        <v>216</v>
      </c>
      <c r="F190" t="s">
        <v>11</v>
      </c>
      <c r="G190">
        <v>3</v>
      </c>
      <c r="H190" t="s">
        <v>5</v>
      </c>
      <c r="I190">
        <v>10</v>
      </c>
      <c r="J190">
        <v>0</v>
      </c>
      <c r="K190">
        <f>IF(Convert_to_Games[[#This Row],[Total Score]]&gt;9, 1, 0)</f>
        <v>1</v>
      </c>
      <c r="L190">
        <f>IF(Convert_to_Games[[#This Row],[DD]]=0, 0, IF(L189 = "Cons DD", Convert_to_Games[[#This Row],[DD]], L189+L189))</f>
        <v>3.9231885846166755E+56</v>
      </c>
    </row>
    <row r="191" spans="1:12">
      <c r="A191" t="s">
        <v>25</v>
      </c>
      <c r="B191">
        <v>256</v>
      </c>
      <c r="C191" t="s">
        <v>116</v>
      </c>
      <c r="D191" s="9">
        <v>45911</v>
      </c>
      <c r="E191">
        <v>218</v>
      </c>
      <c r="F191" t="s">
        <v>11</v>
      </c>
      <c r="G191">
        <v>3</v>
      </c>
      <c r="H191" t="s">
        <v>5</v>
      </c>
      <c r="I191">
        <v>10</v>
      </c>
      <c r="J191">
        <v>1</v>
      </c>
      <c r="K191">
        <f>IF(Convert_to_Games[[#This Row],[Total Score]]&gt;9, 1, 0)</f>
        <v>1</v>
      </c>
      <c r="L191">
        <f>IF(Convert_to_Games[[#This Row],[DD]]=0, 0, IF(L190 = "Cons DD", Convert_to_Games[[#This Row],[DD]], L190+L190))</f>
        <v>7.846377169233351E+56</v>
      </c>
    </row>
    <row r="192" spans="1:12">
      <c r="A192" t="s">
        <v>25</v>
      </c>
      <c r="B192">
        <v>256</v>
      </c>
      <c r="C192" t="s">
        <v>116</v>
      </c>
      <c r="D192" s="9">
        <v>45915</v>
      </c>
      <c r="E192">
        <v>219</v>
      </c>
      <c r="F192" t="s">
        <v>9</v>
      </c>
      <c r="G192">
        <v>3</v>
      </c>
      <c r="H192" t="s">
        <v>5</v>
      </c>
      <c r="I192">
        <v>10</v>
      </c>
      <c r="J192">
        <v>0</v>
      </c>
      <c r="K192">
        <f>IF(Convert_to_Games[[#This Row],[Total Score]]&gt;9, 1, 0)</f>
        <v>1</v>
      </c>
      <c r="L192">
        <f>IF(Convert_to_Games[[#This Row],[DD]]=0, 0, IF(L191 = "Cons DD", Convert_to_Games[[#This Row],[DD]], L191+L191))</f>
        <v>1.5692754338466702E+57</v>
      </c>
    </row>
    <row r="193" spans="1:12">
      <c r="A193" t="s">
        <v>25</v>
      </c>
      <c r="B193">
        <v>256</v>
      </c>
      <c r="C193" t="s">
        <v>116</v>
      </c>
      <c r="D193" s="9">
        <v>45916</v>
      </c>
      <c r="E193">
        <v>220</v>
      </c>
      <c r="F193" t="s">
        <v>9</v>
      </c>
      <c r="G193">
        <v>3</v>
      </c>
      <c r="H193" t="s">
        <v>5</v>
      </c>
      <c r="I193">
        <v>10</v>
      </c>
      <c r="J193">
        <v>1</v>
      </c>
      <c r="K193">
        <f>IF(Convert_to_Games[[#This Row],[Total Score]]&gt;9, 1, 0)</f>
        <v>1</v>
      </c>
      <c r="L193">
        <f>IF(Convert_to_Games[[#This Row],[DD]]=0, 0, IF(L192 = "Cons DD", Convert_to_Games[[#This Row],[DD]], L192+L192))</f>
        <v>3.1385508676933404E+57</v>
      </c>
    </row>
    <row r="194" spans="1:12">
      <c r="A194" t="s">
        <v>25</v>
      </c>
      <c r="B194">
        <v>256</v>
      </c>
      <c r="C194" t="s">
        <v>116</v>
      </c>
      <c r="D194" s="9">
        <v>45924</v>
      </c>
      <c r="E194">
        <v>225</v>
      </c>
      <c r="F194" t="s">
        <v>9</v>
      </c>
      <c r="G194">
        <v>4</v>
      </c>
      <c r="H194" t="s">
        <v>5</v>
      </c>
      <c r="I194">
        <v>10</v>
      </c>
      <c r="J194">
        <v>1</v>
      </c>
      <c r="K194">
        <f>IF(Convert_to_Games[[#This Row],[Total Score]]&gt;9, 1, 0)</f>
        <v>1</v>
      </c>
      <c r="L194">
        <f>IF(Convert_to_Games[[#This Row],[DD]]=0, 0, IF(L193 = "Cons DD", Convert_to_Games[[#This Row],[DD]], L193+L193))</f>
        <v>6.2771017353866808E+57</v>
      </c>
    </row>
    <row r="195" spans="1:12">
      <c r="A195" t="s">
        <v>25</v>
      </c>
      <c r="B195">
        <v>256</v>
      </c>
      <c r="C195" t="s">
        <v>116</v>
      </c>
      <c r="D195" s="9">
        <v>45931</v>
      </c>
      <c r="E195">
        <v>229</v>
      </c>
      <c r="F195" t="s">
        <v>11</v>
      </c>
      <c r="G195">
        <v>3</v>
      </c>
      <c r="H195" t="s">
        <v>5</v>
      </c>
      <c r="I195">
        <v>10</v>
      </c>
      <c r="J195">
        <v>0</v>
      </c>
      <c r="K195">
        <f>IF(Convert_to_Games[[#This Row],[Total Score]]&gt;9, 1, 0)</f>
        <v>1</v>
      </c>
      <c r="L195">
        <f>IF(Convert_to_Games[[#This Row],[DD]]=0, 0, IF(L194 = "Cons DD", Convert_to_Games[[#This Row],[DD]], L194+L194))</f>
        <v>1.2554203470773362E+58</v>
      </c>
    </row>
    <row r="196" spans="1:12">
      <c r="A196" t="s">
        <v>25</v>
      </c>
      <c r="B196">
        <v>256</v>
      </c>
      <c r="C196" t="s">
        <v>116</v>
      </c>
      <c r="D196" s="9">
        <v>45938</v>
      </c>
      <c r="E196">
        <v>230</v>
      </c>
      <c r="F196" t="s">
        <v>11</v>
      </c>
      <c r="G196">
        <v>3</v>
      </c>
      <c r="H196" t="s">
        <v>5</v>
      </c>
      <c r="I196">
        <v>10</v>
      </c>
      <c r="J196">
        <v>1</v>
      </c>
      <c r="K196">
        <f>IF(Convert_to_Games[[#This Row],[Total Score]]&gt;9, 1, 0)</f>
        <v>1</v>
      </c>
      <c r="L196">
        <f>IF(Convert_to_Games[[#This Row],[DD]]=0, 0, IF(L195 = "Cons DD", Convert_to_Games[[#This Row],[DD]], L195+L195))</f>
        <v>2.5108406941546723E+58</v>
      </c>
    </row>
    <row r="197" spans="1:12">
      <c r="A197" t="s">
        <v>25</v>
      </c>
      <c r="B197">
        <v>256</v>
      </c>
      <c r="C197" t="s">
        <v>116</v>
      </c>
      <c r="D197" s="9">
        <v>45953</v>
      </c>
      <c r="E197">
        <v>234</v>
      </c>
      <c r="F197" t="s">
        <v>9</v>
      </c>
      <c r="G197">
        <v>3</v>
      </c>
      <c r="H197" t="s">
        <v>4</v>
      </c>
      <c r="I197">
        <v>10</v>
      </c>
      <c r="J197">
        <v>0</v>
      </c>
      <c r="K197">
        <f>IF(Convert_to_Games[[#This Row],[Total Score]]&gt;9, 1, 0)</f>
        <v>1</v>
      </c>
      <c r="L197">
        <f>IF(Convert_to_Games[[#This Row],[DD]]=0, 0, IF(L196 = "Cons DD", Convert_to_Games[[#This Row],[DD]], L196+L196))</f>
        <v>5.0216813883093446E+58</v>
      </c>
    </row>
    <row r="198" spans="1:12">
      <c r="A198" t="s">
        <v>25</v>
      </c>
      <c r="B198">
        <v>256</v>
      </c>
      <c r="C198" t="s">
        <v>116</v>
      </c>
      <c r="D198" s="9">
        <v>45959</v>
      </c>
      <c r="E198">
        <v>237</v>
      </c>
      <c r="F198" t="s">
        <v>11</v>
      </c>
      <c r="G198">
        <v>3</v>
      </c>
      <c r="H198" t="s">
        <v>4</v>
      </c>
      <c r="I198">
        <v>10</v>
      </c>
      <c r="J198">
        <v>0</v>
      </c>
      <c r="K198">
        <f>IF(Convert_to_Games[[#This Row],[Total Score]]&gt;9, 1, 0)</f>
        <v>1</v>
      </c>
      <c r="L198">
        <f>IF(Convert_to_Games[[#This Row],[DD]]=0, 0, IF(L197 = "Cons DD", Convert_to_Games[[#This Row],[DD]], L197+L197))</f>
        <v>1.0043362776618689E+59</v>
      </c>
    </row>
    <row r="199" spans="1:12">
      <c r="A199" t="s">
        <v>25</v>
      </c>
      <c r="B199">
        <v>256</v>
      </c>
      <c r="C199" t="s">
        <v>116</v>
      </c>
      <c r="D199" s="9">
        <v>45981</v>
      </c>
      <c r="E199">
        <v>242</v>
      </c>
      <c r="F199" t="s">
        <v>11</v>
      </c>
      <c r="G199">
        <v>3</v>
      </c>
      <c r="H199" t="s">
        <v>5</v>
      </c>
      <c r="I199">
        <v>10</v>
      </c>
      <c r="J199">
        <v>0</v>
      </c>
      <c r="K199">
        <f>IF(Convert_to_Games[[#This Row],[Total Score]]&gt;9, 1, 0)</f>
        <v>1</v>
      </c>
      <c r="L199">
        <f>IF(Convert_to_Games[[#This Row],[DD]]=0, 0, IF(L198 = "Cons DD", Convert_to_Games[[#This Row],[DD]], L198+L198))</f>
        <v>2.0086725553237378E+59</v>
      </c>
    </row>
    <row r="200" spans="1:12">
      <c r="A200" t="s">
        <v>25</v>
      </c>
      <c r="B200">
        <v>256</v>
      </c>
      <c r="C200" t="s">
        <v>116</v>
      </c>
      <c r="D200" s="9">
        <v>46080</v>
      </c>
      <c r="E200">
        <v>267</v>
      </c>
      <c r="F200" t="s">
        <v>9</v>
      </c>
      <c r="G200">
        <v>3</v>
      </c>
      <c r="H200" t="s">
        <v>5</v>
      </c>
      <c r="I200">
        <v>10</v>
      </c>
      <c r="J200">
        <v>0</v>
      </c>
      <c r="K200">
        <f>IF(Convert_to_Games[[#This Row],[Total Score]]&gt;9, 1, 0)</f>
        <v>1</v>
      </c>
      <c r="L200">
        <f>IF(Convert_to_Games[[#This Row],[DD]]=0, 0, IF(L199 = "Cons DD", Convert_to_Games[[#This Row],[DD]], L199+L199))</f>
        <v>4.0173451106474757E+59</v>
      </c>
    </row>
    <row r="201" spans="1:12">
      <c r="A201" t="s">
        <v>25</v>
      </c>
      <c r="B201">
        <v>256</v>
      </c>
      <c r="C201" t="s">
        <v>116</v>
      </c>
      <c r="D201" s="9">
        <v>46105</v>
      </c>
      <c r="E201">
        <v>276</v>
      </c>
      <c r="F201" t="s">
        <v>11</v>
      </c>
      <c r="G201">
        <v>4</v>
      </c>
      <c r="H201" t="s">
        <v>5</v>
      </c>
      <c r="I201">
        <v>10</v>
      </c>
      <c r="J201">
        <v>0</v>
      </c>
      <c r="K201">
        <f>IF(Convert_to_Games[[#This Row],[Total Score]]&gt;9, 1, 0)</f>
        <v>1</v>
      </c>
      <c r="L201">
        <f>IF(Convert_to_Games[[#This Row],[DD]]=0, 0, IF(L200 = "Cons DD", Convert_to_Games[[#This Row],[DD]], L200+L200))</f>
        <v>8.0346902212949514E+59</v>
      </c>
    </row>
    <row r="202" spans="1:12">
      <c r="A202" t="s">
        <v>25</v>
      </c>
      <c r="B202">
        <v>256</v>
      </c>
      <c r="C202" t="s">
        <v>116</v>
      </c>
      <c r="D202" s="9">
        <v>46114</v>
      </c>
      <c r="E202">
        <v>279</v>
      </c>
      <c r="F202" t="s">
        <v>9</v>
      </c>
      <c r="G202">
        <v>4</v>
      </c>
      <c r="H202" t="s">
        <v>5</v>
      </c>
      <c r="I202">
        <v>10</v>
      </c>
      <c r="J202">
        <v>0</v>
      </c>
      <c r="K202">
        <f>IF(Convert_to_Games[[#This Row],[Total Score]]&gt;9, 1, 0)</f>
        <v>1</v>
      </c>
      <c r="L202">
        <f>IF(Convert_to_Games[[#This Row],[DD]]=0, 0, IF(L201 = "Cons DD", Convert_to_Games[[#This Row],[DD]], L201+L201))</f>
        <v>1.6069380442589903E+60</v>
      </c>
    </row>
    <row r="203" spans="1:12">
      <c r="A203" t="s">
        <v>25</v>
      </c>
      <c r="B203">
        <v>256</v>
      </c>
      <c r="C203" t="s">
        <v>116</v>
      </c>
      <c r="D203" s="9">
        <v>46148</v>
      </c>
      <c r="E203">
        <v>284</v>
      </c>
      <c r="F203" t="s">
        <v>11</v>
      </c>
      <c r="G203">
        <v>4</v>
      </c>
      <c r="H203" t="s">
        <v>4</v>
      </c>
      <c r="I203">
        <v>10</v>
      </c>
      <c r="J203">
        <v>1</v>
      </c>
      <c r="K203">
        <f>IF(Convert_to_Games[[#This Row],[Total Score]]&gt;9, 1, 0)</f>
        <v>1</v>
      </c>
      <c r="L203">
        <f>IF(Convert_to_Games[[#This Row],[DD]]=0, 0, IF(L202 = "Cons DD", Convert_to_Games[[#This Row],[DD]], L202+L202))</f>
        <v>3.2138760885179806E+60</v>
      </c>
    </row>
    <row r="204" spans="1:12">
      <c r="A204" t="s">
        <v>25</v>
      </c>
      <c r="B204">
        <v>256</v>
      </c>
      <c r="C204" t="s">
        <v>116</v>
      </c>
      <c r="D204" s="9">
        <v>46156</v>
      </c>
      <c r="E204">
        <v>286</v>
      </c>
      <c r="F204" t="s">
        <v>9</v>
      </c>
      <c r="G204">
        <v>4</v>
      </c>
      <c r="H204" t="s">
        <v>5</v>
      </c>
      <c r="I204">
        <v>10</v>
      </c>
      <c r="J204">
        <v>0</v>
      </c>
      <c r="K204">
        <f>IF(Convert_to_Games[[#This Row],[Total Score]]&gt;9, 1, 0)</f>
        <v>1</v>
      </c>
      <c r="L204">
        <f>IF(Convert_to_Games[[#This Row],[DD]]=0, 0, IF(L203 = "Cons DD", Convert_to_Games[[#This Row],[DD]], L203+L203))</f>
        <v>6.4277521770359611E+60</v>
      </c>
    </row>
    <row r="205" spans="1:12">
      <c r="A205" t="s">
        <v>25</v>
      </c>
      <c r="B205">
        <v>256</v>
      </c>
      <c r="C205" t="s">
        <v>116</v>
      </c>
      <c r="D205" s="9">
        <v>46198</v>
      </c>
      <c r="E205">
        <v>288</v>
      </c>
      <c r="F205" t="s">
        <v>11</v>
      </c>
      <c r="G205">
        <v>4</v>
      </c>
      <c r="H205" t="s">
        <v>5</v>
      </c>
      <c r="I205">
        <v>10</v>
      </c>
      <c r="J205">
        <v>0</v>
      </c>
      <c r="K205">
        <f>IF(Convert_to_Games[[#This Row],[Total Score]]&gt;9, 1, 0)</f>
        <v>1</v>
      </c>
      <c r="L205">
        <f>IF(Convert_to_Games[[#This Row],[DD]]=0, 0, IF(L204 = "Cons DD", Convert_to_Games[[#This Row],[DD]], L204+L204))</f>
        <v>1.2855504354071922E+61</v>
      </c>
    </row>
    <row r="206" spans="1:12">
      <c r="A206" t="s">
        <v>25</v>
      </c>
      <c r="B206" t="s">
        <v>20</v>
      </c>
      <c r="C206" t="s">
        <v>18</v>
      </c>
      <c r="D206" s="9">
        <v>45712</v>
      </c>
      <c r="E206">
        <v>7</v>
      </c>
      <c r="F206" t="s">
        <v>11</v>
      </c>
      <c r="G206">
        <v>3</v>
      </c>
      <c r="H206" t="s">
        <v>5</v>
      </c>
      <c r="I206">
        <v>9</v>
      </c>
      <c r="J206">
        <v>1</v>
      </c>
      <c r="K206">
        <f>IF(Convert_to_Games[[#This Row],[Total Score]]&gt;9, 1, 0)</f>
        <v>0</v>
      </c>
      <c r="L206">
        <f>IF(Convert_to_Games[[#This Row],[DD]]=0, 0, IF(L205 = "Cons DD", Convert_to_Games[[#This Row],[DD]], L205+L205))</f>
        <v>0</v>
      </c>
    </row>
    <row r="207" spans="1:12">
      <c r="A207" t="s">
        <v>25</v>
      </c>
      <c r="B207" t="s">
        <v>20</v>
      </c>
      <c r="C207" t="s">
        <v>18</v>
      </c>
      <c r="D207" s="9">
        <v>45713</v>
      </c>
      <c r="E207">
        <v>9</v>
      </c>
      <c r="F207" t="s">
        <v>8</v>
      </c>
      <c r="G207">
        <v>3</v>
      </c>
      <c r="H207" t="s">
        <v>4</v>
      </c>
      <c r="I207">
        <v>9</v>
      </c>
      <c r="J207">
        <v>0</v>
      </c>
      <c r="K207">
        <f>IF(Convert_to_Games[[#This Row],[Total Score]]&gt;9, 1, 0)</f>
        <v>0</v>
      </c>
      <c r="L207">
        <f>IF(Convert_to_Games[[#This Row],[DD]]=0, 0, IF(L206 = "Cons DD", Convert_to_Games[[#This Row],[DD]], L206+L206))</f>
        <v>0</v>
      </c>
    </row>
    <row r="208" spans="1:12">
      <c r="A208" t="s">
        <v>25</v>
      </c>
      <c r="B208" t="s">
        <v>20</v>
      </c>
      <c r="C208" t="s">
        <v>16</v>
      </c>
      <c r="D208" s="9">
        <v>45720</v>
      </c>
      <c r="E208">
        <v>16</v>
      </c>
      <c r="F208" t="s">
        <v>14</v>
      </c>
      <c r="G208">
        <v>3</v>
      </c>
      <c r="H208" t="s">
        <v>4</v>
      </c>
      <c r="I208">
        <v>9</v>
      </c>
      <c r="J208">
        <v>1</v>
      </c>
      <c r="K208">
        <f>IF(Convert_to_Games[[#This Row],[Total Score]]&gt;9, 1, 0)</f>
        <v>0</v>
      </c>
      <c r="L208">
        <f>IF(Convert_to_Games[[#This Row],[DD]]=0, 0, IF(L207 = "Cons DD", Convert_to_Games[[#This Row],[DD]], L207+L207))</f>
        <v>0</v>
      </c>
    </row>
    <row r="209" spans="1:12">
      <c r="A209" t="s">
        <v>25</v>
      </c>
      <c r="B209" t="s">
        <v>20</v>
      </c>
      <c r="C209" t="s">
        <v>16</v>
      </c>
      <c r="D209" s="9">
        <v>45722</v>
      </c>
      <c r="E209">
        <v>18</v>
      </c>
      <c r="F209" t="s">
        <v>11</v>
      </c>
      <c r="G209">
        <v>3</v>
      </c>
      <c r="H209" t="s">
        <v>4</v>
      </c>
      <c r="I209">
        <v>9</v>
      </c>
      <c r="J209">
        <v>1</v>
      </c>
      <c r="K209">
        <f>IF(Convert_to_Games[[#This Row],[Total Score]]&gt;9, 1, 0)</f>
        <v>0</v>
      </c>
      <c r="L209">
        <f>IF(Convert_to_Games[[#This Row],[DD]]=0, 0, IF(L208 = "Cons DD", Convert_to_Games[[#This Row],[DD]], L208+L208))</f>
        <v>0</v>
      </c>
    </row>
    <row r="210" spans="1:12">
      <c r="A210" t="s">
        <v>25</v>
      </c>
      <c r="B210" t="s">
        <v>21</v>
      </c>
      <c r="C210" t="s">
        <v>16</v>
      </c>
      <c r="D210" s="9">
        <v>45755</v>
      </c>
      <c r="E210">
        <v>38</v>
      </c>
      <c r="F210" t="s">
        <v>13</v>
      </c>
      <c r="G210">
        <v>3</v>
      </c>
      <c r="H210" t="s">
        <v>7</v>
      </c>
      <c r="I210">
        <v>9</v>
      </c>
      <c r="J210">
        <v>1</v>
      </c>
      <c r="K210">
        <f>IF(Convert_to_Games[[#This Row],[Total Score]]&gt;9, 1, 0)</f>
        <v>0</v>
      </c>
      <c r="L210">
        <f>IF(Convert_to_Games[[#This Row],[DD]]=0, 0, IF(L209 = "Cons DD", Convert_to_Games[[#This Row],[DD]], L209+L209))</f>
        <v>0</v>
      </c>
    </row>
    <row r="211" spans="1:12">
      <c r="A211" t="s">
        <v>25</v>
      </c>
      <c r="B211" t="s">
        <v>20</v>
      </c>
      <c r="C211" t="s">
        <v>16</v>
      </c>
      <c r="D211" s="9">
        <v>45765</v>
      </c>
      <c r="E211">
        <v>55</v>
      </c>
      <c r="F211" t="s">
        <v>11</v>
      </c>
      <c r="G211">
        <v>3</v>
      </c>
      <c r="H211" t="s">
        <v>4</v>
      </c>
      <c r="I211">
        <v>9</v>
      </c>
      <c r="J211">
        <v>1</v>
      </c>
      <c r="K211">
        <f>IF(Convert_to_Games[[#This Row],[Total Score]]&gt;9, 1, 0)</f>
        <v>0</v>
      </c>
      <c r="L211">
        <f>IF(Convert_to_Games[[#This Row],[DD]]=0, 0, IF(L210 = "Cons DD", Convert_to_Games[[#This Row],[DD]], L210+L210))</f>
        <v>0</v>
      </c>
    </row>
    <row r="212" spans="1:12">
      <c r="A212" t="s">
        <v>25</v>
      </c>
      <c r="B212" t="s">
        <v>19</v>
      </c>
      <c r="C212" t="s">
        <v>16</v>
      </c>
      <c r="D212" s="9">
        <v>45768</v>
      </c>
      <c r="E212">
        <v>58</v>
      </c>
      <c r="F212" t="s">
        <v>32</v>
      </c>
      <c r="G212">
        <v>5</v>
      </c>
      <c r="H212" t="s">
        <v>4</v>
      </c>
      <c r="I212">
        <v>9</v>
      </c>
      <c r="J212">
        <v>1</v>
      </c>
      <c r="K212">
        <f>IF(Convert_to_Games[[#This Row],[Total Score]]&gt;9, 1, 0)</f>
        <v>0</v>
      </c>
      <c r="L212">
        <f>IF(Convert_to_Games[[#This Row],[DD]]=0, 0, IF(L211 = "Cons DD", Convert_to_Games[[#This Row],[DD]], L211+L211))</f>
        <v>0</v>
      </c>
    </row>
    <row r="213" spans="1:12">
      <c r="A213" t="s">
        <v>25</v>
      </c>
      <c r="B213" t="s">
        <v>20</v>
      </c>
      <c r="C213" t="s">
        <v>16</v>
      </c>
      <c r="D213" s="9">
        <v>45770</v>
      </c>
      <c r="E213">
        <v>63</v>
      </c>
      <c r="F213" t="s">
        <v>11</v>
      </c>
      <c r="G213">
        <v>3</v>
      </c>
      <c r="H213" t="s">
        <v>4</v>
      </c>
      <c r="I213">
        <v>9</v>
      </c>
      <c r="J213">
        <v>1</v>
      </c>
      <c r="K213">
        <f>IF(Convert_to_Games[[#This Row],[Total Score]]&gt;9, 1, 0)</f>
        <v>0</v>
      </c>
      <c r="L213">
        <f>IF(Convert_to_Games[[#This Row],[DD]]=0, 0, IF(L212 = "Cons DD", Convert_to_Games[[#This Row],[DD]], L212+L212))</f>
        <v>0</v>
      </c>
    </row>
    <row r="214" spans="1:12">
      <c r="A214" t="s">
        <v>25</v>
      </c>
      <c r="B214" t="s">
        <v>20</v>
      </c>
      <c r="C214" t="s">
        <v>16</v>
      </c>
      <c r="D214" s="9">
        <v>45770</v>
      </c>
      <c r="E214">
        <v>64</v>
      </c>
      <c r="F214" t="s">
        <v>34</v>
      </c>
      <c r="G214">
        <v>5</v>
      </c>
      <c r="H214" t="s">
        <v>5</v>
      </c>
      <c r="I214">
        <v>9</v>
      </c>
      <c r="J214">
        <v>1</v>
      </c>
      <c r="K214">
        <f>IF(Convert_to_Games[[#This Row],[Total Score]]&gt;9, 1, 0)</f>
        <v>0</v>
      </c>
      <c r="L214">
        <f>IF(Convert_to_Games[[#This Row],[DD]]=0, 0, IF(L213 = "Cons DD", Convert_to_Games[[#This Row],[DD]], L213+L213))</f>
        <v>0</v>
      </c>
    </row>
    <row r="215" spans="1:12">
      <c r="A215" t="s">
        <v>25</v>
      </c>
      <c r="B215" t="s">
        <v>20</v>
      </c>
      <c r="C215" t="s">
        <v>16</v>
      </c>
      <c r="D215" s="9">
        <v>45772</v>
      </c>
      <c r="E215">
        <v>70</v>
      </c>
      <c r="F215" t="s">
        <v>9</v>
      </c>
      <c r="G215">
        <v>3</v>
      </c>
      <c r="H215" t="s">
        <v>4</v>
      </c>
      <c r="I215">
        <v>9</v>
      </c>
      <c r="J215">
        <v>1</v>
      </c>
      <c r="K215">
        <f>IF(Convert_to_Games[[#This Row],[Total Score]]&gt;9, 1, 0)</f>
        <v>0</v>
      </c>
      <c r="L215">
        <f>IF(Convert_to_Games[[#This Row],[DD]]=0, 0, IF(L214 = "Cons DD", Convert_to_Games[[#This Row],[DD]], L214+L214))</f>
        <v>0</v>
      </c>
    </row>
    <row r="216" spans="1:12">
      <c r="A216" t="s">
        <v>25</v>
      </c>
      <c r="B216" t="s">
        <v>20</v>
      </c>
      <c r="C216" t="s">
        <v>16</v>
      </c>
      <c r="D216" s="9">
        <v>45776</v>
      </c>
      <c r="E216">
        <v>78</v>
      </c>
      <c r="F216" t="s">
        <v>58</v>
      </c>
      <c r="G216">
        <v>3</v>
      </c>
      <c r="H216" t="s">
        <v>4</v>
      </c>
      <c r="I216">
        <v>9</v>
      </c>
      <c r="J216">
        <v>1</v>
      </c>
      <c r="K216">
        <f>IF(Convert_to_Games[[#This Row],[Total Score]]&gt;9, 1, 0)</f>
        <v>0</v>
      </c>
      <c r="L216">
        <f>IF(Convert_to_Games[[#This Row],[DD]]=0, 0, IF(L215 = "Cons DD", Convert_to_Games[[#This Row],[DD]], L215+L215))</f>
        <v>0</v>
      </c>
    </row>
    <row r="217" spans="1:12">
      <c r="A217" t="s">
        <v>25</v>
      </c>
      <c r="B217" t="s">
        <v>20</v>
      </c>
      <c r="C217" t="s">
        <v>16</v>
      </c>
      <c r="D217" s="9">
        <v>45779</v>
      </c>
      <c r="E217">
        <v>88</v>
      </c>
      <c r="F217" t="s">
        <v>11</v>
      </c>
      <c r="G217">
        <v>3</v>
      </c>
      <c r="H217" t="s">
        <v>4</v>
      </c>
      <c r="I217">
        <v>9</v>
      </c>
      <c r="J217">
        <v>1</v>
      </c>
      <c r="K217">
        <f>IF(Convert_to_Games[[#This Row],[Total Score]]&gt;9, 1, 0)</f>
        <v>0</v>
      </c>
      <c r="L217">
        <f>IF(Convert_to_Games[[#This Row],[DD]]=0, 0, IF(L216 = "Cons DD", Convert_to_Games[[#This Row],[DD]], L216+L216))</f>
        <v>0</v>
      </c>
    </row>
    <row r="218" spans="1:12">
      <c r="A218" t="s">
        <v>25</v>
      </c>
      <c r="B218" t="s">
        <v>20</v>
      </c>
      <c r="C218" t="s">
        <v>16</v>
      </c>
      <c r="D218" s="9">
        <v>45791</v>
      </c>
      <c r="E218">
        <v>99</v>
      </c>
      <c r="F218" t="s">
        <v>70</v>
      </c>
      <c r="G218">
        <v>3</v>
      </c>
      <c r="H218" t="s">
        <v>6</v>
      </c>
      <c r="I218">
        <v>9</v>
      </c>
      <c r="J218">
        <v>1</v>
      </c>
      <c r="K218">
        <f>IF(Convert_to_Games[[#This Row],[Total Score]]&gt;9, 1, 0)</f>
        <v>0</v>
      </c>
      <c r="L218">
        <f>IF(Convert_to_Games[[#This Row],[DD]]=0, 0, IF(L217 = "Cons DD", Convert_to_Games[[#This Row],[DD]], L217+L217))</f>
        <v>0</v>
      </c>
    </row>
    <row r="219" spans="1:12">
      <c r="A219" t="s">
        <v>25</v>
      </c>
      <c r="B219" t="s">
        <v>19</v>
      </c>
      <c r="C219" t="s">
        <v>16</v>
      </c>
      <c r="D219" s="9">
        <v>45791</v>
      </c>
      <c r="E219">
        <v>100</v>
      </c>
      <c r="F219" t="s">
        <v>11</v>
      </c>
      <c r="G219">
        <v>3</v>
      </c>
      <c r="H219" t="s">
        <v>4</v>
      </c>
      <c r="I219">
        <v>9</v>
      </c>
      <c r="J219">
        <v>1</v>
      </c>
      <c r="K219">
        <f>IF(Convert_to_Games[[#This Row],[Total Score]]&gt;9, 1, 0)</f>
        <v>0</v>
      </c>
      <c r="L219">
        <f>IF(Convert_to_Games[[#This Row],[DD]]=0, 0, IF(L218 = "Cons DD", Convert_to_Games[[#This Row],[DD]], L218+L218))</f>
        <v>0</v>
      </c>
    </row>
    <row r="220" spans="1:12">
      <c r="A220" t="s">
        <v>25</v>
      </c>
      <c r="B220" t="s">
        <v>20</v>
      </c>
      <c r="C220" t="s">
        <v>16</v>
      </c>
      <c r="D220" s="9">
        <v>45797</v>
      </c>
      <c r="E220">
        <v>101</v>
      </c>
      <c r="F220" t="s">
        <v>71</v>
      </c>
      <c r="G220">
        <v>3</v>
      </c>
      <c r="H220" t="s">
        <v>5</v>
      </c>
      <c r="I220">
        <v>9</v>
      </c>
      <c r="J220">
        <v>1</v>
      </c>
      <c r="K220">
        <f>IF(Convert_to_Games[[#This Row],[Total Score]]&gt;9, 1, 0)</f>
        <v>0</v>
      </c>
      <c r="L220">
        <f>IF(Convert_to_Games[[#This Row],[DD]]=0, 0, IF(L219 = "Cons DD", Convert_to_Games[[#This Row],[DD]], L219+L219))</f>
        <v>0</v>
      </c>
    </row>
    <row r="221" spans="1:12">
      <c r="A221" t="s">
        <v>25</v>
      </c>
      <c r="B221" t="s">
        <v>19</v>
      </c>
      <c r="C221" t="s">
        <v>16</v>
      </c>
      <c r="D221" s="9">
        <v>45826</v>
      </c>
      <c r="E221">
        <v>118</v>
      </c>
      <c r="F221" t="s">
        <v>9</v>
      </c>
      <c r="G221">
        <v>3</v>
      </c>
      <c r="H221" t="s">
        <v>4</v>
      </c>
      <c r="I221">
        <v>9</v>
      </c>
      <c r="J221">
        <v>1</v>
      </c>
      <c r="K221">
        <f>IF(Convert_to_Games[[#This Row],[Total Score]]&gt;9, 1, 0)</f>
        <v>0</v>
      </c>
      <c r="L221">
        <f>IF(Convert_to_Games[[#This Row],[DD]]=0, 0, IF(L220 = "Cons DD", Convert_to_Games[[#This Row],[DD]], L220+L220))</f>
        <v>0</v>
      </c>
    </row>
    <row r="222" spans="1:12">
      <c r="A222" t="s">
        <v>25</v>
      </c>
      <c r="B222" t="s">
        <v>20</v>
      </c>
      <c r="C222" t="s">
        <v>16</v>
      </c>
      <c r="D222" s="9">
        <v>45831</v>
      </c>
      <c r="E222">
        <v>125</v>
      </c>
      <c r="F222" t="s">
        <v>11</v>
      </c>
      <c r="G222">
        <v>3</v>
      </c>
      <c r="H222" t="s">
        <v>4</v>
      </c>
      <c r="I222">
        <v>9</v>
      </c>
      <c r="J222">
        <v>0</v>
      </c>
      <c r="K222">
        <f>IF(Convert_to_Games[[#This Row],[Total Score]]&gt;9, 1, 0)</f>
        <v>0</v>
      </c>
      <c r="L222">
        <f>IF(Convert_to_Games[[#This Row],[DD]]=0, 0, IF(L221 = "Cons DD", Convert_to_Games[[#This Row],[DD]], L221+L221))</f>
        <v>0</v>
      </c>
    </row>
    <row r="223" spans="1:12">
      <c r="A223" t="s">
        <v>25</v>
      </c>
      <c r="B223" t="s">
        <v>20</v>
      </c>
      <c r="C223" t="s">
        <v>16</v>
      </c>
      <c r="D223" s="9">
        <v>45832</v>
      </c>
      <c r="E223">
        <v>126</v>
      </c>
      <c r="F223" t="s">
        <v>9</v>
      </c>
      <c r="G223">
        <v>5</v>
      </c>
      <c r="H223" t="s">
        <v>4</v>
      </c>
      <c r="I223">
        <v>9</v>
      </c>
      <c r="J223">
        <v>1</v>
      </c>
      <c r="K223">
        <f>IF(Convert_to_Games[[#This Row],[Total Score]]&gt;9, 1, 0)</f>
        <v>0</v>
      </c>
      <c r="L223">
        <f>IF(Convert_to_Games[[#This Row],[DD]]=0, 0, IF(L222 = "Cons DD", Convert_to_Games[[#This Row],[DD]], L222+L222))</f>
        <v>0</v>
      </c>
    </row>
    <row r="224" spans="1:12">
      <c r="A224" t="s">
        <v>25</v>
      </c>
      <c r="B224" t="s">
        <v>20</v>
      </c>
      <c r="C224" t="s">
        <v>16</v>
      </c>
      <c r="D224" s="9">
        <v>45833</v>
      </c>
      <c r="E224">
        <v>131</v>
      </c>
      <c r="F224" t="s">
        <v>9</v>
      </c>
      <c r="G224">
        <v>4</v>
      </c>
      <c r="H224" t="s">
        <v>4</v>
      </c>
      <c r="I224">
        <v>9</v>
      </c>
      <c r="J224">
        <v>1</v>
      </c>
      <c r="K224">
        <f>IF(Convert_to_Games[[#This Row],[Total Score]]&gt;9, 1, 0)</f>
        <v>0</v>
      </c>
      <c r="L224">
        <f>IF(Convert_to_Games[[#This Row],[DD]]=0, 0, IF(L223 = "Cons DD", Convert_to_Games[[#This Row],[DD]], L223+L223))</f>
        <v>0</v>
      </c>
    </row>
    <row r="225" spans="1:12">
      <c r="A225" t="s">
        <v>25</v>
      </c>
      <c r="B225" t="s">
        <v>19</v>
      </c>
      <c r="C225" t="s">
        <v>16</v>
      </c>
      <c r="D225" s="9">
        <v>45835</v>
      </c>
      <c r="E225">
        <v>136</v>
      </c>
      <c r="F225" t="s">
        <v>9</v>
      </c>
      <c r="G225">
        <v>3</v>
      </c>
      <c r="H225" t="s">
        <v>5</v>
      </c>
      <c r="I225">
        <v>9</v>
      </c>
      <c r="J225">
        <v>1</v>
      </c>
      <c r="K225">
        <f>IF(Convert_to_Games[[#This Row],[Total Score]]&gt;9, 1, 0)</f>
        <v>0</v>
      </c>
      <c r="L225">
        <f>IF(Convert_to_Games[[#This Row],[DD]]=0, 0, IF(L224 = "Cons DD", Convert_to_Games[[#This Row],[DD]], L224+L224))</f>
        <v>0</v>
      </c>
    </row>
    <row r="226" spans="1:12">
      <c r="A226" t="s">
        <v>25</v>
      </c>
      <c r="B226" t="s">
        <v>20</v>
      </c>
      <c r="C226" t="s">
        <v>16</v>
      </c>
      <c r="D226" s="9">
        <v>45838</v>
      </c>
      <c r="E226">
        <v>137</v>
      </c>
      <c r="F226" t="s">
        <v>104</v>
      </c>
      <c r="G226">
        <v>3</v>
      </c>
      <c r="H226" t="s">
        <v>5</v>
      </c>
      <c r="I226">
        <v>9</v>
      </c>
      <c r="J226">
        <v>1</v>
      </c>
      <c r="K226">
        <f>IF(Convert_to_Games[[#This Row],[Total Score]]&gt;9, 1, 0)</f>
        <v>0</v>
      </c>
      <c r="L226">
        <f>IF(Convert_to_Games[[#This Row],[DD]]=0, 0, IF(L225 = "Cons DD", Convert_to_Games[[#This Row],[DD]], L225+L225))</f>
        <v>0</v>
      </c>
    </row>
    <row r="227" spans="1:12">
      <c r="A227" t="s">
        <v>25</v>
      </c>
      <c r="B227" t="s">
        <v>20</v>
      </c>
      <c r="C227" t="s">
        <v>16</v>
      </c>
      <c r="D227" s="9">
        <v>45840</v>
      </c>
      <c r="E227">
        <v>144</v>
      </c>
      <c r="F227" t="s">
        <v>8</v>
      </c>
      <c r="G227">
        <v>3</v>
      </c>
      <c r="H227" t="s">
        <v>5</v>
      </c>
      <c r="I227">
        <v>9</v>
      </c>
      <c r="J227">
        <v>0</v>
      </c>
      <c r="K227">
        <f>IF(Convert_to_Games[[#This Row],[Total Score]]&gt;9, 1, 0)</f>
        <v>0</v>
      </c>
      <c r="L227">
        <f>IF(Convert_to_Games[[#This Row],[DD]]=0, 0, IF(L226 = "Cons DD", Convert_to_Games[[#This Row],[DD]], L226+L226))</f>
        <v>0</v>
      </c>
    </row>
    <row r="228" spans="1:12">
      <c r="A228" t="s">
        <v>25</v>
      </c>
      <c r="B228" t="s">
        <v>19</v>
      </c>
      <c r="C228" t="s">
        <v>16</v>
      </c>
      <c r="D228" s="9">
        <v>45841</v>
      </c>
      <c r="E228">
        <v>146</v>
      </c>
      <c r="F228" t="s">
        <v>104</v>
      </c>
      <c r="G228">
        <v>3</v>
      </c>
      <c r="H228" t="s">
        <v>4</v>
      </c>
      <c r="I228">
        <v>9</v>
      </c>
      <c r="J228">
        <v>0</v>
      </c>
      <c r="K228">
        <f>IF(Convert_to_Games[[#This Row],[Total Score]]&gt;9, 1, 0)</f>
        <v>0</v>
      </c>
      <c r="L228">
        <f>IF(Convert_to_Games[[#This Row],[DD]]=0, 0, IF(L227 = "Cons DD", Convert_to_Games[[#This Row],[DD]], L227+L227))</f>
        <v>0</v>
      </c>
    </row>
    <row r="229" spans="1:12">
      <c r="A229" t="s">
        <v>25</v>
      </c>
      <c r="B229" t="s">
        <v>20</v>
      </c>
      <c r="C229" t="s">
        <v>16</v>
      </c>
      <c r="D229" s="9">
        <v>45845</v>
      </c>
      <c r="E229">
        <v>149</v>
      </c>
      <c r="F229" t="s">
        <v>110</v>
      </c>
      <c r="G229">
        <v>3</v>
      </c>
      <c r="H229" t="s">
        <v>4</v>
      </c>
      <c r="I229">
        <v>9</v>
      </c>
      <c r="J229">
        <v>1</v>
      </c>
      <c r="K229">
        <f>IF(Convert_to_Games[[#This Row],[Total Score]]&gt;9, 1, 0)</f>
        <v>0</v>
      </c>
      <c r="L229">
        <f>IF(Convert_to_Games[[#This Row],[DD]]=0, 0, IF(L228 = "Cons DD", Convert_to_Games[[#This Row],[DD]], L228+L228))</f>
        <v>0</v>
      </c>
    </row>
    <row r="230" spans="1:12">
      <c r="A230" t="s">
        <v>25</v>
      </c>
      <c r="B230" t="s">
        <v>20</v>
      </c>
      <c r="C230" t="s">
        <v>16</v>
      </c>
      <c r="D230" s="9">
        <v>45845</v>
      </c>
      <c r="E230">
        <v>150</v>
      </c>
      <c r="F230" t="s">
        <v>111</v>
      </c>
      <c r="G230">
        <v>3</v>
      </c>
      <c r="H230" t="s">
        <v>4</v>
      </c>
      <c r="I230">
        <v>9</v>
      </c>
      <c r="J230">
        <v>0</v>
      </c>
      <c r="K230">
        <f>IF(Convert_to_Games[[#This Row],[Total Score]]&gt;9, 1, 0)</f>
        <v>0</v>
      </c>
      <c r="L230">
        <f>IF(Convert_to_Games[[#This Row],[DD]]=0, 0, IF(L229 = "Cons DD", Convert_to_Games[[#This Row],[DD]], L229+L229))</f>
        <v>0</v>
      </c>
    </row>
    <row r="231" spans="1:12">
      <c r="A231" t="s">
        <v>25</v>
      </c>
      <c r="B231" t="s">
        <v>20</v>
      </c>
      <c r="C231" t="s">
        <v>16</v>
      </c>
      <c r="D231" s="9">
        <v>45847</v>
      </c>
      <c r="E231">
        <v>155</v>
      </c>
      <c r="F231" t="s">
        <v>103</v>
      </c>
      <c r="G231">
        <v>3</v>
      </c>
      <c r="H231" t="s">
        <v>4</v>
      </c>
      <c r="I231">
        <v>9</v>
      </c>
      <c r="J231">
        <v>1</v>
      </c>
      <c r="K231">
        <f>IF(Convert_to_Games[[#This Row],[Total Score]]&gt;9, 1, 0)</f>
        <v>0</v>
      </c>
      <c r="L231">
        <f>IF(Convert_to_Games[[#This Row],[DD]]=0, 0, IF(L230 = "Cons DD", Convert_to_Games[[#This Row],[DD]], L230+L230))</f>
        <v>0</v>
      </c>
    </row>
    <row r="232" spans="1:12">
      <c r="A232" t="s">
        <v>25</v>
      </c>
      <c r="B232" t="s">
        <v>20</v>
      </c>
      <c r="C232" t="s">
        <v>16</v>
      </c>
      <c r="D232" s="9">
        <v>45852</v>
      </c>
      <c r="E232">
        <v>162</v>
      </c>
      <c r="F232" t="s">
        <v>111</v>
      </c>
      <c r="G232">
        <v>3</v>
      </c>
      <c r="H232" t="s">
        <v>4</v>
      </c>
      <c r="I232">
        <v>9</v>
      </c>
      <c r="J232">
        <v>1</v>
      </c>
      <c r="K232">
        <f>IF(Convert_to_Games[[#This Row],[Total Score]]&gt;9, 1, 0)</f>
        <v>0</v>
      </c>
      <c r="L232">
        <f>IF(Convert_to_Games[[#This Row],[DD]]=0, 0, IF(L231 = "Cons DD", Convert_to_Games[[#This Row],[DD]], L231+L231))</f>
        <v>0</v>
      </c>
    </row>
    <row r="233" spans="1:12">
      <c r="A233" t="s">
        <v>25</v>
      </c>
      <c r="B233" t="s">
        <v>20</v>
      </c>
      <c r="C233" t="s">
        <v>16</v>
      </c>
      <c r="D233" s="9">
        <v>45853</v>
      </c>
      <c r="E233">
        <v>165</v>
      </c>
      <c r="F233" t="s">
        <v>108</v>
      </c>
      <c r="G233">
        <v>3</v>
      </c>
      <c r="H233" t="s">
        <v>78</v>
      </c>
      <c r="I233">
        <v>9</v>
      </c>
      <c r="J233">
        <v>1</v>
      </c>
      <c r="K233">
        <f>IF(Convert_to_Games[[#This Row],[Total Score]]&gt;9, 1, 0)</f>
        <v>0</v>
      </c>
      <c r="L233">
        <f>IF(Convert_to_Games[[#This Row],[DD]]=0, 0, IF(L232 = "Cons DD", Convert_to_Games[[#This Row],[DD]], L232+L232))</f>
        <v>0</v>
      </c>
    </row>
    <row r="234" spans="1:12">
      <c r="A234" t="s">
        <v>25</v>
      </c>
      <c r="B234" t="s">
        <v>20</v>
      </c>
      <c r="C234" t="s">
        <v>16</v>
      </c>
      <c r="D234" s="9">
        <v>45855</v>
      </c>
      <c r="E234">
        <v>170</v>
      </c>
      <c r="F234" t="s">
        <v>108</v>
      </c>
      <c r="G234">
        <v>3</v>
      </c>
      <c r="H234" t="s">
        <v>5</v>
      </c>
      <c r="I234">
        <v>9</v>
      </c>
      <c r="J234">
        <v>1</v>
      </c>
      <c r="K234">
        <f>IF(Convert_to_Games[[#This Row],[Total Score]]&gt;9, 1, 0)</f>
        <v>0</v>
      </c>
      <c r="L234">
        <f>IF(Convert_to_Games[[#This Row],[DD]]=0, 0, IF(L233 = "Cons DD", Convert_to_Games[[#This Row],[DD]], L233+L233))</f>
        <v>0</v>
      </c>
    </row>
    <row r="235" spans="1:12">
      <c r="A235" t="s">
        <v>25</v>
      </c>
      <c r="B235" t="s">
        <v>20</v>
      </c>
      <c r="C235" t="s">
        <v>16</v>
      </c>
      <c r="D235" s="9">
        <v>45861</v>
      </c>
      <c r="E235">
        <v>178</v>
      </c>
      <c r="F235" t="s">
        <v>8</v>
      </c>
      <c r="G235">
        <v>3</v>
      </c>
      <c r="H235" t="s">
        <v>4</v>
      </c>
      <c r="I235">
        <v>9</v>
      </c>
      <c r="J235">
        <v>1</v>
      </c>
      <c r="K235">
        <f>IF(Convert_to_Games[[#This Row],[Total Score]]&gt;9, 1, 0)</f>
        <v>0</v>
      </c>
      <c r="L235">
        <f>IF(Convert_to_Games[[#This Row],[DD]]=0, 0, IF(L234 = "Cons DD", Convert_to_Games[[#This Row],[DD]], L234+L234))</f>
        <v>0</v>
      </c>
    </row>
    <row r="236" spans="1:12">
      <c r="A236" t="s">
        <v>25</v>
      </c>
      <c r="B236" t="s">
        <v>20</v>
      </c>
      <c r="C236" t="s">
        <v>116</v>
      </c>
      <c r="D236" s="9">
        <v>45869</v>
      </c>
      <c r="E236">
        <v>190</v>
      </c>
      <c r="F236" t="s">
        <v>11</v>
      </c>
      <c r="G236">
        <v>4</v>
      </c>
      <c r="H236" t="s">
        <v>4</v>
      </c>
      <c r="I236">
        <v>9</v>
      </c>
      <c r="J236">
        <v>1</v>
      </c>
      <c r="K236">
        <f>IF(Convert_to_Games[[#This Row],[Total Score]]&gt;9, 1, 0)</f>
        <v>0</v>
      </c>
      <c r="L236">
        <f>IF(Convert_to_Games[[#This Row],[DD]]=0, 0, IF(L235 = "Cons DD", Convert_to_Games[[#This Row],[DD]], L235+L235))</f>
        <v>0</v>
      </c>
    </row>
    <row r="237" spans="1:12">
      <c r="A237" t="s">
        <v>25</v>
      </c>
      <c r="B237" t="s">
        <v>19</v>
      </c>
      <c r="C237" t="s">
        <v>116</v>
      </c>
      <c r="D237" s="9">
        <v>45870</v>
      </c>
      <c r="E237">
        <v>192</v>
      </c>
      <c r="F237" t="s">
        <v>11</v>
      </c>
      <c r="G237">
        <v>3</v>
      </c>
      <c r="H237" t="s">
        <v>5</v>
      </c>
      <c r="I237">
        <v>9</v>
      </c>
      <c r="J237">
        <v>1</v>
      </c>
      <c r="K237">
        <f>IF(Convert_to_Games[[#This Row],[Total Score]]&gt;9, 1, 0)</f>
        <v>0</v>
      </c>
      <c r="L237">
        <f>IF(Convert_to_Games[[#This Row],[DD]]=0, 0, IF(L236 = "Cons DD", Convert_to_Games[[#This Row],[DD]], L236+L236))</f>
        <v>0</v>
      </c>
    </row>
    <row r="238" spans="1:12">
      <c r="A238" t="s">
        <v>25</v>
      </c>
      <c r="B238" t="s">
        <v>20</v>
      </c>
      <c r="C238" t="s">
        <v>116</v>
      </c>
      <c r="D238" s="9">
        <v>45870</v>
      </c>
      <c r="E238">
        <v>194</v>
      </c>
      <c r="F238" t="s">
        <v>9</v>
      </c>
      <c r="G238">
        <v>3</v>
      </c>
      <c r="H238" t="s">
        <v>4</v>
      </c>
      <c r="I238">
        <v>9</v>
      </c>
      <c r="J238">
        <v>1</v>
      </c>
      <c r="K238">
        <f>IF(Convert_to_Games[[#This Row],[Total Score]]&gt;9, 1, 0)</f>
        <v>0</v>
      </c>
      <c r="L238">
        <f>IF(Convert_to_Games[[#This Row],[DD]]=0, 0, IF(L237 = "Cons DD", Convert_to_Games[[#This Row],[DD]], L237+L237))</f>
        <v>0</v>
      </c>
    </row>
    <row r="239" spans="1:12">
      <c r="A239" t="s">
        <v>25</v>
      </c>
      <c r="B239" t="s">
        <v>20</v>
      </c>
      <c r="C239" t="s">
        <v>116</v>
      </c>
      <c r="D239" s="9">
        <v>45875</v>
      </c>
      <c r="E239">
        <v>198</v>
      </c>
      <c r="F239" t="s">
        <v>9</v>
      </c>
      <c r="G239">
        <v>3</v>
      </c>
      <c r="H239" t="s">
        <v>4</v>
      </c>
      <c r="I239">
        <v>9</v>
      </c>
      <c r="J239">
        <v>0</v>
      </c>
      <c r="K239">
        <f>IF(Convert_to_Games[[#This Row],[Total Score]]&gt;9, 1, 0)</f>
        <v>0</v>
      </c>
      <c r="L239">
        <f>IF(Convert_to_Games[[#This Row],[DD]]=0, 0, IF(L238 = "Cons DD", Convert_to_Games[[#This Row],[DD]], L238+L238))</f>
        <v>0</v>
      </c>
    </row>
    <row r="240" spans="1:12">
      <c r="A240" t="s">
        <v>25</v>
      </c>
      <c r="B240" t="s">
        <v>20</v>
      </c>
      <c r="C240" t="s">
        <v>116</v>
      </c>
      <c r="D240" s="9">
        <v>45875</v>
      </c>
      <c r="E240">
        <v>199</v>
      </c>
      <c r="F240" t="s">
        <v>11</v>
      </c>
      <c r="G240">
        <v>3</v>
      </c>
      <c r="H240" t="s">
        <v>4</v>
      </c>
      <c r="I240">
        <v>9</v>
      </c>
      <c r="J240">
        <v>1</v>
      </c>
      <c r="K240">
        <f>IF(Convert_to_Games[[#This Row],[Total Score]]&gt;9, 1, 0)</f>
        <v>0</v>
      </c>
      <c r="L240">
        <f>IF(Convert_to_Games[[#This Row],[DD]]=0, 0, IF(L239 = "Cons DD", Convert_to_Games[[#This Row],[DD]], L239+L239))</f>
        <v>0</v>
      </c>
    </row>
    <row r="241" spans="1:12">
      <c r="A241" t="s">
        <v>25</v>
      </c>
      <c r="B241">
        <v>256</v>
      </c>
      <c r="C241" t="s">
        <v>116</v>
      </c>
      <c r="D241" s="9">
        <v>45880</v>
      </c>
      <c r="E241">
        <v>201</v>
      </c>
      <c r="F241" t="s">
        <v>9</v>
      </c>
      <c r="G241">
        <v>3</v>
      </c>
      <c r="H241" t="s">
        <v>4</v>
      </c>
      <c r="I241">
        <v>9</v>
      </c>
      <c r="J241">
        <v>1</v>
      </c>
      <c r="K241">
        <f>IF(Convert_to_Games[[#This Row],[Total Score]]&gt;9, 1, 0)</f>
        <v>0</v>
      </c>
      <c r="L241">
        <f>IF(Convert_to_Games[[#This Row],[DD]]=0, 0, IF(L240 = "Cons DD", Convert_to_Games[[#This Row],[DD]], L240+L240))</f>
        <v>0</v>
      </c>
    </row>
    <row r="242" spans="1:12">
      <c r="A242" t="s">
        <v>25</v>
      </c>
      <c r="B242">
        <v>256</v>
      </c>
      <c r="C242" t="s">
        <v>116</v>
      </c>
      <c r="D242" s="9">
        <v>45883</v>
      </c>
      <c r="E242">
        <v>205</v>
      </c>
      <c r="F242" t="s">
        <v>11</v>
      </c>
      <c r="G242">
        <v>3</v>
      </c>
      <c r="H242" t="s">
        <v>5</v>
      </c>
      <c r="I242">
        <v>9</v>
      </c>
      <c r="J242">
        <v>1</v>
      </c>
      <c r="K242">
        <f>IF(Convert_to_Games[[#This Row],[Total Score]]&gt;9, 1, 0)</f>
        <v>0</v>
      </c>
      <c r="L242">
        <f>IF(Convert_to_Games[[#This Row],[DD]]=0, 0, IF(L241 = "Cons DD", Convert_to_Games[[#This Row],[DD]], L241+L241))</f>
        <v>0</v>
      </c>
    </row>
    <row r="243" spans="1:12">
      <c r="A243" t="s">
        <v>25</v>
      </c>
      <c r="B243">
        <v>256</v>
      </c>
      <c r="C243" t="s">
        <v>116</v>
      </c>
      <c r="D243" s="9">
        <v>45888</v>
      </c>
      <c r="E243">
        <v>207</v>
      </c>
      <c r="F243" t="s">
        <v>11</v>
      </c>
      <c r="G243">
        <v>3</v>
      </c>
      <c r="H243" t="s">
        <v>5</v>
      </c>
      <c r="I243">
        <v>9</v>
      </c>
      <c r="J243">
        <v>0</v>
      </c>
      <c r="K243">
        <f>IF(Convert_to_Games[[#This Row],[Total Score]]&gt;9, 1, 0)</f>
        <v>0</v>
      </c>
      <c r="L243">
        <f>IF(Convert_to_Games[[#This Row],[DD]]=0, 0, IF(L242 = "Cons DD", Convert_to_Games[[#This Row],[DD]], L242+L242))</f>
        <v>0</v>
      </c>
    </row>
    <row r="244" spans="1:12">
      <c r="A244" t="s">
        <v>25</v>
      </c>
      <c r="B244">
        <v>256</v>
      </c>
      <c r="C244" t="s">
        <v>116</v>
      </c>
      <c r="D244" s="9">
        <v>45890</v>
      </c>
      <c r="E244">
        <v>209</v>
      </c>
      <c r="F244" t="s">
        <v>11</v>
      </c>
      <c r="G244">
        <v>3</v>
      </c>
      <c r="H244" t="s">
        <v>5</v>
      </c>
      <c r="I244">
        <v>9</v>
      </c>
      <c r="J244">
        <v>0</v>
      </c>
      <c r="K244">
        <f>IF(Convert_to_Games[[#This Row],[Total Score]]&gt;9, 1, 0)</f>
        <v>0</v>
      </c>
      <c r="L244">
        <f>IF(Convert_to_Games[[#This Row],[DD]]=0, 0, IF(L243 = "Cons DD", Convert_to_Games[[#This Row],[DD]], L243+L243))</f>
        <v>0</v>
      </c>
    </row>
    <row r="245" spans="1:12">
      <c r="A245" t="s">
        <v>25</v>
      </c>
      <c r="B245">
        <v>256</v>
      </c>
      <c r="C245" t="s">
        <v>116</v>
      </c>
      <c r="D245" s="9">
        <v>45897</v>
      </c>
      <c r="E245">
        <v>212</v>
      </c>
      <c r="F245" t="s">
        <v>11</v>
      </c>
      <c r="G245">
        <v>3</v>
      </c>
      <c r="H245" t="s">
        <v>5</v>
      </c>
      <c r="I245">
        <v>9</v>
      </c>
      <c r="J245">
        <v>0</v>
      </c>
      <c r="K245">
        <f>IF(Convert_to_Games[[#This Row],[Total Score]]&gt;9, 1, 0)</f>
        <v>0</v>
      </c>
      <c r="L245">
        <f>IF(Convert_to_Games[[#This Row],[DD]]=0, 0, IF(L244 = "Cons DD", Convert_to_Games[[#This Row],[DD]], L244+L244))</f>
        <v>0</v>
      </c>
    </row>
    <row r="246" spans="1:12">
      <c r="A246" t="s">
        <v>25</v>
      </c>
      <c r="B246">
        <v>256</v>
      </c>
      <c r="C246" t="s">
        <v>116</v>
      </c>
      <c r="D246" s="9">
        <v>45898</v>
      </c>
      <c r="E246">
        <v>213</v>
      </c>
      <c r="F246" t="s">
        <v>15</v>
      </c>
      <c r="G246">
        <v>3</v>
      </c>
      <c r="H246" t="s">
        <v>5</v>
      </c>
      <c r="I246">
        <v>9</v>
      </c>
      <c r="J246">
        <v>0</v>
      </c>
      <c r="K246">
        <f>IF(Convert_to_Games[[#This Row],[Total Score]]&gt;9, 1, 0)</f>
        <v>0</v>
      </c>
      <c r="L246">
        <f>IF(Convert_to_Games[[#This Row],[DD]]=0, 0, IF(L245 = "Cons DD", Convert_to_Games[[#This Row],[DD]], L245+L245))</f>
        <v>0</v>
      </c>
    </row>
    <row r="247" spans="1:12">
      <c r="A247" t="s">
        <v>25</v>
      </c>
      <c r="B247">
        <v>256</v>
      </c>
      <c r="C247" t="s">
        <v>116</v>
      </c>
      <c r="D247" s="9">
        <v>45902</v>
      </c>
      <c r="E247">
        <v>214</v>
      </c>
      <c r="F247" t="s">
        <v>11</v>
      </c>
      <c r="G247">
        <v>3</v>
      </c>
      <c r="H247" t="s">
        <v>5</v>
      </c>
      <c r="I247">
        <v>9</v>
      </c>
      <c r="J247">
        <v>1</v>
      </c>
      <c r="K247">
        <f>IF(Convert_to_Games[[#This Row],[Total Score]]&gt;9, 1, 0)</f>
        <v>0</v>
      </c>
      <c r="L247">
        <f>IF(Convert_to_Games[[#This Row],[DD]]=0, 0, IF(L246 = "Cons DD", Convert_to_Games[[#This Row],[DD]], L246+L246))</f>
        <v>0</v>
      </c>
    </row>
    <row r="248" spans="1:12">
      <c r="A248" t="s">
        <v>25</v>
      </c>
      <c r="B248">
        <v>256</v>
      </c>
      <c r="C248" t="s">
        <v>116</v>
      </c>
      <c r="D248" s="9">
        <v>45938</v>
      </c>
      <c r="E248">
        <v>230</v>
      </c>
      <c r="F248" t="s">
        <v>11</v>
      </c>
      <c r="G248">
        <v>3</v>
      </c>
      <c r="H248" t="s">
        <v>4</v>
      </c>
      <c r="I248">
        <v>9</v>
      </c>
      <c r="J248">
        <v>0</v>
      </c>
      <c r="K248">
        <f>IF(Convert_to_Games[[#This Row],[Total Score]]&gt;9, 1, 0)</f>
        <v>0</v>
      </c>
      <c r="L248">
        <f>IF(Convert_to_Games[[#This Row],[DD]]=0, 0, IF(L247 = "Cons DD", Convert_to_Games[[#This Row],[DD]], L247+L247))</f>
        <v>0</v>
      </c>
    </row>
    <row r="249" spans="1:12">
      <c r="A249" t="s">
        <v>25</v>
      </c>
      <c r="B249">
        <v>256</v>
      </c>
      <c r="C249" t="s">
        <v>116</v>
      </c>
      <c r="D249" s="9">
        <v>45952</v>
      </c>
      <c r="E249">
        <v>233</v>
      </c>
      <c r="F249" t="s">
        <v>15</v>
      </c>
      <c r="G249">
        <v>3</v>
      </c>
      <c r="H249" t="s">
        <v>5</v>
      </c>
      <c r="I249">
        <v>9</v>
      </c>
      <c r="J249">
        <v>1</v>
      </c>
      <c r="K249">
        <f>IF(Convert_to_Games[[#This Row],[Total Score]]&gt;9, 1, 0)</f>
        <v>0</v>
      </c>
      <c r="L249">
        <f>IF(Convert_to_Games[[#This Row],[DD]]=0, 0, IF(L248 = "Cons DD", Convert_to_Games[[#This Row],[DD]], L248+L248))</f>
        <v>0</v>
      </c>
    </row>
    <row r="250" spans="1:12">
      <c r="A250" t="s">
        <v>25</v>
      </c>
      <c r="B250">
        <v>256</v>
      </c>
      <c r="C250" t="s">
        <v>116</v>
      </c>
      <c r="D250" s="9">
        <v>45954</v>
      </c>
      <c r="E250">
        <v>235</v>
      </c>
      <c r="F250" t="s">
        <v>8</v>
      </c>
      <c r="G250">
        <v>3</v>
      </c>
      <c r="H250" t="s">
        <v>5</v>
      </c>
      <c r="I250">
        <v>9</v>
      </c>
      <c r="J250">
        <v>0</v>
      </c>
      <c r="K250">
        <f>IF(Convert_to_Games[[#This Row],[Total Score]]&gt;9, 1, 0)</f>
        <v>0</v>
      </c>
      <c r="L250">
        <f>IF(Convert_to_Games[[#This Row],[DD]]=0, 0, IF(L249 = "Cons DD", Convert_to_Games[[#This Row],[DD]], L249+L249))</f>
        <v>0</v>
      </c>
    </row>
    <row r="251" spans="1:12">
      <c r="A251" t="s">
        <v>25</v>
      </c>
      <c r="B251">
        <v>256</v>
      </c>
      <c r="C251" t="s">
        <v>116</v>
      </c>
      <c r="D251" s="9">
        <v>45972</v>
      </c>
      <c r="E251">
        <v>239</v>
      </c>
      <c r="F251" t="s">
        <v>15</v>
      </c>
      <c r="G251">
        <v>3</v>
      </c>
      <c r="H251" t="s">
        <v>4</v>
      </c>
      <c r="I251">
        <v>9</v>
      </c>
      <c r="J251">
        <v>0</v>
      </c>
      <c r="K251">
        <f>IF(Convert_to_Games[[#This Row],[Total Score]]&gt;9, 1, 0)</f>
        <v>0</v>
      </c>
      <c r="L251">
        <f>IF(Convert_to_Games[[#This Row],[DD]]=0, 0, IF(L250 = "Cons DD", Convert_to_Games[[#This Row],[DD]], L250+L250))</f>
        <v>0</v>
      </c>
    </row>
    <row r="252" spans="1:12">
      <c r="A252" t="s">
        <v>25</v>
      </c>
      <c r="B252">
        <v>256</v>
      </c>
      <c r="C252" t="s">
        <v>116</v>
      </c>
      <c r="D252" s="9">
        <v>45982</v>
      </c>
      <c r="E252">
        <v>243</v>
      </c>
      <c r="F252" t="s">
        <v>11</v>
      </c>
      <c r="G252">
        <v>3</v>
      </c>
      <c r="H252" t="s">
        <v>4</v>
      </c>
      <c r="I252">
        <v>9</v>
      </c>
      <c r="J252">
        <v>0</v>
      </c>
      <c r="K252">
        <f>IF(Convert_to_Games[[#This Row],[Total Score]]&gt;9, 1, 0)</f>
        <v>0</v>
      </c>
      <c r="L252">
        <f>IF(Convert_to_Games[[#This Row],[DD]]=0, 0, IF(L251 = "Cons DD", Convert_to_Games[[#This Row],[DD]], L251+L251))</f>
        <v>0</v>
      </c>
    </row>
    <row r="253" spans="1:12">
      <c r="A253" t="s">
        <v>25</v>
      </c>
      <c r="B253">
        <v>256</v>
      </c>
      <c r="C253" t="s">
        <v>116</v>
      </c>
      <c r="D253" s="9">
        <v>46036</v>
      </c>
      <c r="E253">
        <v>255</v>
      </c>
      <c r="F253" t="s">
        <v>11</v>
      </c>
      <c r="G253">
        <v>3</v>
      </c>
      <c r="H253" t="s">
        <v>5</v>
      </c>
      <c r="I253">
        <v>9</v>
      </c>
      <c r="J253">
        <v>0</v>
      </c>
      <c r="K253">
        <f>IF(Convert_to_Games[[#This Row],[Total Score]]&gt;9, 1, 0)</f>
        <v>0</v>
      </c>
      <c r="L253">
        <f>IF(Convert_to_Games[[#This Row],[DD]]=0, 0, IF(L252 = "Cons DD", Convert_to_Games[[#This Row],[DD]], L252+L252))</f>
        <v>0</v>
      </c>
    </row>
    <row r="254" spans="1:12">
      <c r="A254" t="s">
        <v>25</v>
      </c>
      <c r="B254">
        <v>256</v>
      </c>
      <c r="C254" t="s">
        <v>116</v>
      </c>
      <c r="D254" s="9">
        <v>46084</v>
      </c>
      <c r="E254">
        <v>268</v>
      </c>
      <c r="F254" t="s">
        <v>9</v>
      </c>
      <c r="G254">
        <v>3</v>
      </c>
      <c r="H254" t="s">
        <v>5</v>
      </c>
      <c r="I254">
        <v>9</v>
      </c>
      <c r="J254">
        <v>0</v>
      </c>
      <c r="K254">
        <f>IF(Convert_to_Games[[#This Row],[Total Score]]&gt;9, 1, 0)</f>
        <v>0</v>
      </c>
      <c r="L254">
        <f>IF(Convert_to_Games[[#This Row],[DD]]=0, 0, IF(L253 = "Cons DD", Convert_to_Games[[#This Row],[DD]], L253+L253))</f>
        <v>0</v>
      </c>
    </row>
    <row r="255" spans="1:12">
      <c r="A255" t="s">
        <v>25</v>
      </c>
      <c r="B255">
        <v>256</v>
      </c>
      <c r="C255" t="s">
        <v>116</v>
      </c>
      <c r="D255" s="9">
        <v>46086</v>
      </c>
      <c r="E255">
        <v>270</v>
      </c>
      <c r="F255" t="s">
        <v>117</v>
      </c>
      <c r="G255">
        <v>3</v>
      </c>
      <c r="H255" t="s">
        <v>5</v>
      </c>
      <c r="I255">
        <v>9</v>
      </c>
      <c r="J255">
        <v>0</v>
      </c>
      <c r="K255">
        <f>IF(Convert_to_Games[[#This Row],[Total Score]]&gt;9, 1, 0)</f>
        <v>0</v>
      </c>
      <c r="L255">
        <f>IF(Convert_to_Games[[#This Row],[DD]]=0, 0, IF(L254 = "Cons DD", Convert_to_Games[[#This Row],[DD]], L254+L254))</f>
        <v>0</v>
      </c>
    </row>
    <row r="256" spans="1:12">
      <c r="A256" t="s">
        <v>25</v>
      </c>
      <c r="B256">
        <v>256</v>
      </c>
      <c r="C256" t="s">
        <v>116</v>
      </c>
      <c r="D256" s="9">
        <v>46106</v>
      </c>
      <c r="E256">
        <v>277</v>
      </c>
      <c r="F256" t="s">
        <v>11</v>
      </c>
      <c r="G256">
        <v>4</v>
      </c>
      <c r="H256" t="s">
        <v>5</v>
      </c>
      <c r="I256">
        <v>9</v>
      </c>
      <c r="J256">
        <v>0</v>
      </c>
      <c r="K256">
        <f>IF(Convert_to_Games[[#This Row],[Total Score]]&gt;9, 1, 0)</f>
        <v>0</v>
      </c>
      <c r="L256">
        <f>IF(Convert_to_Games[[#This Row],[DD]]=0, 0, IF(L255 = "Cons DD", Convert_to_Games[[#This Row],[DD]], L255+L255))</f>
        <v>0</v>
      </c>
    </row>
    <row r="257" spans="1:12">
      <c r="A257" t="s">
        <v>25</v>
      </c>
      <c r="B257">
        <v>256</v>
      </c>
      <c r="C257" t="s">
        <v>116</v>
      </c>
      <c r="D257" s="9">
        <v>46106</v>
      </c>
      <c r="E257">
        <v>277</v>
      </c>
      <c r="F257" t="s">
        <v>11</v>
      </c>
      <c r="G257">
        <v>4</v>
      </c>
      <c r="H257" t="s">
        <v>7</v>
      </c>
      <c r="I257">
        <v>9</v>
      </c>
      <c r="J257">
        <v>0</v>
      </c>
      <c r="K257">
        <f>IF(Convert_to_Games[[#This Row],[Total Score]]&gt;9, 1, 0)</f>
        <v>0</v>
      </c>
      <c r="L257">
        <f>IF(Convert_to_Games[[#This Row],[DD]]=0, 0, IF(L256 = "Cons DD", Convert_to_Games[[#This Row],[DD]], L256+L256))</f>
        <v>0</v>
      </c>
    </row>
    <row r="258" spans="1:12">
      <c r="A258" t="s">
        <v>25</v>
      </c>
      <c r="B258">
        <v>256</v>
      </c>
      <c r="C258" t="s">
        <v>116</v>
      </c>
      <c r="D258" s="9">
        <v>46108</v>
      </c>
      <c r="E258">
        <v>278</v>
      </c>
      <c r="F258" t="s">
        <v>9</v>
      </c>
      <c r="G258">
        <v>4</v>
      </c>
      <c r="H258" t="s">
        <v>5</v>
      </c>
      <c r="I258">
        <v>9</v>
      </c>
      <c r="J258">
        <v>0</v>
      </c>
      <c r="K258">
        <f>IF(Convert_to_Games[[#This Row],[Total Score]]&gt;9, 1, 0)</f>
        <v>0</v>
      </c>
      <c r="L258">
        <f>IF(Convert_to_Games[[#This Row],[DD]]=0, 0, IF(L257 = "Cons DD", Convert_to_Games[[#This Row],[DD]], L257+L257))</f>
        <v>0</v>
      </c>
    </row>
    <row r="259" spans="1:12">
      <c r="A259" t="s">
        <v>25</v>
      </c>
      <c r="B259">
        <v>256</v>
      </c>
      <c r="C259" t="s">
        <v>116</v>
      </c>
      <c r="D259" s="9">
        <v>46122</v>
      </c>
      <c r="E259">
        <v>281</v>
      </c>
      <c r="F259" t="s">
        <v>9</v>
      </c>
      <c r="G259">
        <v>4</v>
      </c>
      <c r="H259" t="s">
        <v>5</v>
      </c>
      <c r="I259">
        <v>9</v>
      </c>
      <c r="J259">
        <v>0</v>
      </c>
      <c r="K259">
        <f>IF(Convert_to_Games[[#This Row],[Total Score]]&gt;9, 1, 0)</f>
        <v>0</v>
      </c>
      <c r="L259">
        <f>IF(Convert_to_Games[[#This Row],[DD]]=0, 0, IF(L258 = "Cons DD", Convert_to_Games[[#This Row],[DD]], L258+L258))</f>
        <v>0</v>
      </c>
    </row>
    <row r="260" spans="1:12">
      <c r="A260" t="s">
        <v>25</v>
      </c>
      <c r="B260">
        <v>256</v>
      </c>
      <c r="C260" t="s">
        <v>116</v>
      </c>
      <c r="D260" s="9">
        <v>46154</v>
      </c>
      <c r="E260">
        <v>285</v>
      </c>
      <c r="F260" t="s">
        <v>11</v>
      </c>
      <c r="G260">
        <v>4</v>
      </c>
      <c r="H260" t="s">
        <v>5</v>
      </c>
      <c r="I260">
        <v>9</v>
      </c>
      <c r="J260">
        <v>0</v>
      </c>
      <c r="K260">
        <f>IF(Convert_to_Games[[#This Row],[Total Score]]&gt;9, 1, 0)</f>
        <v>0</v>
      </c>
      <c r="L260">
        <f>IF(Convert_to_Games[[#This Row],[DD]]=0, 0, IF(L259 = "Cons DD", Convert_to_Games[[#This Row],[DD]], L259+L259))</f>
        <v>0</v>
      </c>
    </row>
    <row r="261" spans="1:12">
      <c r="A261" t="s">
        <v>25</v>
      </c>
      <c r="B261" t="s">
        <v>20</v>
      </c>
      <c r="C261" t="s">
        <v>16</v>
      </c>
      <c r="D261" s="9">
        <v>45721</v>
      </c>
      <c r="E261">
        <v>17</v>
      </c>
      <c r="F261" t="s">
        <v>9</v>
      </c>
      <c r="G261">
        <v>3</v>
      </c>
      <c r="H261" t="s">
        <v>4</v>
      </c>
      <c r="I261">
        <v>8</v>
      </c>
      <c r="J261">
        <v>1</v>
      </c>
      <c r="K261">
        <f>IF(Convert_to_Games[[#This Row],[Total Score]]&gt;9, 1, 0)</f>
        <v>0</v>
      </c>
      <c r="L261">
        <f>IF(Convert_to_Games[[#This Row],[DD]]=0, 0, IF(L260 = "Cons DD", Convert_to_Games[[#This Row],[DD]], L260+L260))</f>
        <v>0</v>
      </c>
    </row>
    <row r="262" spans="1:12">
      <c r="A262" t="s">
        <v>25</v>
      </c>
      <c r="B262" t="s">
        <v>20</v>
      </c>
      <c r="C262" t="s">
        <v>17</v>
      </c>
      <c r="D262" s="9">
        <v>45722</v>
      </c>
      <c r="E262">
        <v>19</v>
      </c>
      <c r="F262" t="s">
        <v>9</v>
      </c>
      <c r="G262">
        <v>3</v>
      </c>
      <c r="H262" t="s">
        <v>5</v>
      </c>
      <c r="I262">
        <v>8</v>
      </c>
      <c r="J262">
        <v>1</v>
      </c>
      <c r="K262">
        <f>IF(Convert_to_Games[[#This Row],[Total Score]]&gt;9, 1, 0)</f>
        <v>0</v>
      </c>
      <c r="L262">
        <f>IF(Convert_to_Games[[#This Row],[DD]]=0, 0, IF(L261 = "Cons DD", Convert_to_Games[[#This Row],[DD]], L261+L261))</f>
        <v>0</v>
      </c>
    </row>
    <row r="263" spans="1:12">
      <c r="A263" t="s">
        <v>25</v>
      </c>
      <c r="B263" t="s">
        <v>21</v>
      </c>
      <c r="C263" t="s">
        <v>16</v>
      </c>
      <c r="D263" s="9">
        <v>45750</v>
      </c>
      <c r="E263">
        <v>34</v>
      </c>
      <c r="F263" t="s">
        <v>15</v>
      </c>
      <c r="G263">
        <v>3</v>
      </c>
      <c r="H263" t="s">
        <v>4</v>
      </c>
      <c r="I263">
        <v>8</v>
      </c>
      <c r="J263">
        <v>1</v>
      </c>
      <c r="K263">
        <f>IF(Convert_to_Games[[#This Row],[Total Score]]&gt;9, 1, 0)</f>
        <v>0</v>
      </c>
      <c r="L263">
        <f>IF(Convert_to_Games[[#This Row],[DD]]=0, 0, IF(L262 = "Cons DD", Convert_to_Games[[#This Row],[DD]], L262+L262))</f>
        <v>0</v>
      </c>
    </row>
    <row r="264" spans="1:12">
      <c r="A264" t="s">
        <v>25</v>
      </c>
      <c r="B264" t="s">
        <v>20</v>
      </c>
      <c r="C264" t="s">
        <v>16</v>
      </c>
      <c r="D264" s="9">
        <v>45751</v>
      </c>
      <c r="E264">
        <v>35</v>
      </c>
      <c r="F264" t="s">
        <v>11</v>
      </c>
      <c r="G264">
        <v>3</v>
      </c>
      <c r="H264" t="s">
        <v>4</v>
      </c>
      <c r="I264">
        <v>8</v>
      </c>
      <c r="J264">
        <v>1</v>
      </c>
      <c r="K264">
        <f>IF(Convert_to_Games[[#This Row],[Total Score]]&gt;9, 1, 0)</f>
        <v>0</v>
      </c>
      <c r="L264">
        <f>IF(Convert_to_Games[[#This Row],[DD]]=0, 0, IF(L263 = "Cons DD", Convert_to_Games[[#This Row],[DD]], L263+L263))</f>
        <v>0</v>
      </c>
    </row>
    <row r="265" spans="1:12">
      <c r="A265" t="s">
        <v>25</v>
      </c>
      <c r="B265" t="s">
        <v>20</v>
      </c>
      <c r="C265" t="s">
        <v>16</v>
      </c>
      <c r="D265" s="9">
        <v>45754</v>
      </c>
      <c r="E265">
        <v>37</v>
      </c>
      <c r="F265" t="s">
        <v>9</v>
      </c>
      <c r="G265">
        <v>3</v>
      </c>
      <c r="H265" t="s">
        <v>4</v>
      </c>
      <c r="I265">
        <v>8</v>
      </c>
      <c r="J265">
        <v>1</v>
      </c>
      <c r="K265">
        <f>IF(Convert_to_Games[[#This Row],[Total Score]]&gt;9, 1, 0)</f>
        <v>0</v>
      </c>
      <c r="L265">
        <f>IF(Convert_to_Games[[#This Row],[DD]]=0, 0, IF(L264 = "Cons DD", Convert_to_Games[[#This Row],[DD]], L264+L264))</f>
        <v>0</v>
      </c>
    </row>
    <row r="266" spans="1:12">
      <c r="A266" t="s">
        <v>25</v>
      </c>
      <c r="B266" t="s">
        <v>19</v>
      </c>
      <c r="C266" t="s">
        <v>16</v>
      </c>
      <c r="D266" s="9">
        <v>45756</v>
      </c>
      <c r="E266">
        <v>40</v>
      </c>
      <c r="F266" t="s">
        <v>11</v>
      </c>
      <c r="G266">
        <v>3</v>
      </c>
      <c r="H266" t="s">
        <v>4</v>
      </c>
      <c r="I266">
        <v>8</v>
      </c>
      <c r="J266">
        <v>1</v>
      </c>
      <c r="K266">
        <f>IF(Convert_to_Games[[#This Row],[Total Score]]&gt;9, 1, 0)</f>
        <v>0</v>
      </c>
      <c r="L266">
        <f>IF(Convert_to_Games[[#This Row],[DD]]=0, 0, IF(L265 = "Cons DD", Convert_to_Games[[#This Row],[DD]], L265+L265))</f>
        <v>0</v>
      </c>
    </row>
    <row r="267" spans="1:12">
      <c r="A267" t="s">
        <v>25</v>
      </c>
      <c r="B267" t="s">
        <v>20</v>
      </c>
      <c r="C267" t="s">
        <v>16</v>
      </c>
      <c r="D267" s="9">
        <v>45761</v>
      </c>
      <c r="E267">
        <v>43</v>
      </c>
      <c r="F267" t="s">
        <v>33</v>
      </c>
      <c r="G267">
        <v>3</v>
      </c>
      <c r="H267" t="s">
        <v>4</v>
      </c>
      <c r="I267">
        <v>8</v>
      </c>
      <c r="J267">
        <v>1</v>
      </c>
      <c r="K267">
        <f>IF(Convert_to_Games[[#This Row],[Total Score]]&gt;9, 1, 0)</f>
        <v>0</v>
      </c>
      <c r="L267">
        <f>IF(Convert_to_Games[[#This Row],[DD]]=0, 0, IF(L266 = "Cons DD", Convert_to_Games[[#This Row],[DD]], L266+L266))</f>
        <v>0</v>
      </c>
    </row>
    <row r="268" spans="1:12">
      <c r="A268" t="s">
        <v>25</v>
      </c>
      <c r="B268" t="s">
        <v>21</v>
      </c>
      <c r="C268" t="s">
        <v>16</v>
      </c>
      <c r="D268" s="9">
        <v>45769</v>
      </c>
      <c r="E268">
        <v>62</v>
      </c>
      <c r="F268" t="s">
        <v>33</v>
      </c>
      <c r="G268">
        <v>3</v>
      </c>
      <c r="H268" t="s">
        <v>4</v>
      </c>
      <c r="I268">
        <v>8</v>
      </c>
      <c r="J268">
        <v>1</v>
      </c>
      <c r="K268">
        <f>IF(Convert_to_Games[[#This Row],[Total Score]]&gt;9, 1, 0)</f>
        <v>0</v>
      </c>
      <c r="L268">
        <f>IF(Convert_to_Games[[#This Row],[DD]]=0, 0, IF(L267 = "Cons DD", Convert_to_Games[[#This Row],[DD]], L267+L267))</f>
        <v>0</v>
      </c>
    </row>
    <row r="269" spans="1:12">
      <c r="A269" t="s">
        <v>25</v>
      </c>
      <c r="B269" t="s">
        <v>19</v>
      </c>
      <c r="C269" t="s">
        <v>16</v>
      </c>
      <c r="D269" s="9">
        <v>45772</v>
      </c>
      <c r="E269">
        <v>71</v>
      </c>
      <c r="F269" t="s">
        <v>11</v>
      </c>
      <c r="G269">
        <v>3</v>
      </c>
      <c r="H269" t="s">
        <v>5</v>
      </c>
      <c r="I269">
        <v>8</v>
      </c>
      <c r="J269">
        <v>0</v>
      </c>
      <c r="K269">
        <f>IF(Convert_to_Games[[#This Row],[Total Score]]&gt;9, 1, 0)</f>
        <v>0</v>
      </c>
      <c r="L269">
        <f>IF(Convert_to_Games[[#This Row],[DD]]=0, 0, IF(L268 = "Cons DD", Convert_to_Games[[#This Row],[DD]], L268+L268))</f>
        <v>0</v>
      </c>
    </row>
    <row r="270" spans="1:12">
      <c r="A270" t="s">
        <v>25</v>
      </c>
      <c r="B270" t="s">
        <v>20</v>
      </c>
      <c r="C270" t="s">
        <v>16</v>
      </c>
      <c r="D270" s="9">
        <v>45775</v>
      </c>
      <c r="E270">
        <v>75</v>
      </c>
      <c r="F270" t="s">
        <v>11</v>
      </c>
      <c r="G270">
        <v>4</v>
      </c>
      <c r="H270" t="s">
        <v>5</v>
      </c>
      <c r="I270">
        <v>8</v>
      </c>
      <c r="J270">
        <v>0</v>
      </c>
      <c r="K270">
        <f>IF(Convert_to_Games[[#This Row],[Total Score]]&gt;9, 1, 0)</f>
        <v>0</v>
      </c>
      <c r="L270">
        <f>IF(Convert_to_Games[[#This Row],[DD]]=0, 0, IF(L269 = "Cons DD", Convert_to_Games[[#This Row],[DD]], L269+L269))</f>
        <v>0</v>
      </c>
    </row>
    <row r="271" spans="1:12">
      <c r="A271" t="s">
        <v>25</v>
      </c>
      <c r="B271" t="s">
        <v>20</v>
      </c>
      <c r="C271" t="s">
        <v>16</v>
      </c>
      <c r="D271" s="9">
        <v>45776</v>
      </c>
      <c r="E271">
        <v>77</v>
      </c>
      <c r="F271" t="s">
        <v>57</v>
      </c>
      <c r="G271">
        <v>3</v>
      </c>
      <c r="H271" t="s">
        <v>6</v>
      </c>
      <c r="I271">
        <v>8</v>
      </c>
      <c r="J271">
        <v>1</v>
      </c>
      <c r="K271">
        <f>IF(Convert_to_Games[[#This Row],[Total Score]]&gt;9, 1, 0)</f>
        <v>0</v>
      </c>
      <c r="L271">
        <f>IF(Convert_to_Games[[#This Row],[DD]]=0, 0, IF(L270 = "Cons DD", Convert_to_Games[[#This Row],[DD]], L270+L270))</f>
        <v>0</v>
      </c>
    </row>
    <row r="272" spans="1:12">
      <c r="A272" t="s">
        <v>25</v>
      </c>
      <c r="B272" t="s">
        <v>21</v>
      </c>
      <c r="C272" t="s">
        <v>16</v>
      </c>
      <c r="D272" s="9">
        <v>45778</v>
      </c>
      <c r="E272">
        <v>86</v>
      </c>
      <c r="F272" t="s">
        <v>11</v>
      </c>
      <c r="G272">
        <v>3</v>
      </c>
      <c r="H272" t="s">
        <v>4</v>
      </c>
      <c r="I272">
        <v>8</v>
      </c>
      <c r="J272">
        <v>1</v>
      </c>
      <c r="K272">
        <f>IF(Convert_to_Games[[#This Row],[Total Score]]&gt;9, 1, 0)</f>
        <v>0</v>
      </c>
      <c r="L272">
        <f>IF(Convert_to_Games[[#This Row],[DD]]=0, 0, IF(L271 = "Cons DD", Convert_to_Games[[#This Row],[DD]], L271+L271))</f>
        <v>0</v>
      </c>
    </row>
    <row r="273" spans="1:12">
      <c r="A273" t="s">
        <v>25</v>
      </c>
      <c r="B273" t="s">
        <v>20</v>
      </c>
      <c r="C273" t="s">
        <v>16</v>
      </c>
      <c r="D273" s="9">
        <v>45779</v>
      </c>
      <c r="E273">
        <v>88</v>
      </c>
      <c r="F273" t="s">
        <v>11</v>
      </c>
      <c r="G273">
        <v>3</v>
      </c>
      <c r="H273" t="s">
        <v>5</v>
      </c>
      <c r="I273">
        <v>8</v>
      </c>
      <c r="J273">
        <v>0</v>
      </c>
      <c r="K273">
        <f>IF(Convert_to_Games[[#This Row],[Total Score]]&gt;9, 1, 0)</f>
        <v>0</v>
      </c>
      <c r="L273">
        <f>IF(Convert_to_Games[[#This Row],[DD]]=0, 0, IF(L272 = "Cons DD", Convert_to_Games[[#This Row],[DD]], L272+L272))</f>
        <v>0</v>
      </c>
    </row>
    <row r="274" spans="1:12">
      <c r="A274" t="s">
        <v>25</v>
      </c>
      <c r="B274" t="s">
        <v>19</v>
      </c>
      <c r="C274" t="s">
        <v>16</v>
      </c>
      <c r="D274" s="9">
        <v>45784</v>
      </c>
      <c r="E274">
        <v>94</v>
      </c>
      <c r="F274" t="s">
        <v>9</v>
      </c>
      <c r="G274">
        <v>3</v>
      </c>
      <c r="H274" t="s">
        <v>5</v>
      </c>
      <c r="I274">
        <v>8</v>
      </c>
      <c r="J274">
        <v>1</v>
      </c>
      <c r="K274">
        <f>IF(Convert_to_Games[[#This Row],[Total Score]]&gt;9, 1, 0)</f>
        <v>0</v>
      </c>
      <c r="L274">
        <f>IF(Convert_to_Games[[#This Row],[DD]]=0, 0, IF(L273 = "Cons DD", Convert_to_Games[[#This Row],[DD]], L273+L273))</f>
        <v>0</v>
      </c>
    </row>
    <row r="275" spans="1:12">
      <c r="A275" t="s">
        <v>25</v>
      </c>
      <c r="B275" t="s">
        <v>20</v>
      </c>
      <c r="C275" t="s">
        <v>16</v>
      </c>
      <c r="D275" s="9">
        <v>45797</v>
      </c>
      <c r="E275">
        <v>102</v>
      </c>
      <c r="F275" t="s">
        <v>27</v>
      </c>
      <c r="G275">
        <v>3</v>
      </c>
      <c r="H275" t="s">
        <v>5</v>
      </c>
      <c r="I275">
        <v>8</v>
      </c>
      <c r="J275">
        <v>1</v>
      </c>
      <c r="K275">
        <f>IF(Convert_to_Games[[#This Row],[Total Score]]&gt;9, 1, 0)</f>
        <v>0</v>
      </c>
      <c r="L275">
        <f>IF(Convert_to_Games[[#This Row],[DD]]=0, 0, IF(L274 = "Cons DD", Convert_to_Games[[#This Row],[DD]], L274+L274))</f>
        <v>0</v>
      </c>
    </row>
    <row r="276" spans="1:12">
      <c r="A276" t="s">
        <v>25</v>
      </c>
      <c r="B276" t="s">
        <v>20</v>
      </c>
      <c r="C276" t="s">
        <v>16</v>
      </c>
      <c r="D276" s="9">
        <v>45819</v>
      </c>
      <c r="E276">
        <v>108</v>
      </c>
      <c r="F276" t="s">
        <v>9</v>
      </c>
      <c r="G276">
        <v>3</v>
      </c>
      <c r="H276" t="s">
        <v>4</v>
      </c>
      <c r="I276">
        <v>8</v>
      </c>
      <c r="J276">
        <v>1</v>
      </c>
      <c r="K276">
        <f>IF(Convert_to_Games[[#This Row],[Total Score]]&gt;9, 1, 0)</f>
        <v>0</v>
      </c>
      <c r="L276">
        <f>IF(Convert_to_Games[[#This Row],[DD]]=0, 0, IF(L275 = "Cons DD", Convert_to_Games[[#This Row],[DD]], L275+L275))</f>
        <v>0</v>
      </c>
    </row>
    <row r="277" spans="1:12">
      <c r="A277" t="s">
        <v>25</v>
      </c>
      <c r="B277" t="s">
        <v>20</v>
      </c>
      <c r="C277" t="s">
        <v>16</v>
      </c>
      <c r="D277" s="9">
        <v>45820</v>
      </c>
      <c r="E277">
        <v>109</v>
      </c>
      <c r="F277" t="s">
        <v>11</v>
      </c>
      <c r="G277">
        <v>3</v>
      </c>
      <c r="H277" t="s">
        <v>5</v>
      </c>
      <c r="I277">
        <v>8</v>
      </c>
      <c r="J277">
        <v>1</v>
      </c>
      <c r="K277">
        <f>IF(Convert_to_Games[[#This Row],[Total Score]]&gt;9, 1, 0)</f>
        <v>0</v>
      </c>
      <c r="L277">
        <f>IF(Convert_to_Games[[#This Row],[DD]]=0, 0, IF(L276 = "Cons DD", Convert_to_Games[[#This Row],[DD]], L276+L276))</f>
        <v>0</v>
      </c>
    </row>
    <row r="278" spans="1:12">
      <c r="A278" t="s">
        <v>25</v>
      </c>
      <c r="B278" t="s">
        <v>20</v>
      </c>
      <c r="C278" t="s">
        <v>16</v>
      </c>
      <c r="D278" s="9">
        <v>45827</v>
      </c>
      <c r="E278">
        <v>119</v>
      </c>
      <c r="F278" t="s">
        <v>9</v>
      </c>
      <c r="G278">
        <v>3</v>
      </c>
      <c r="H278" t="s">
        <v>4</v>
      </c>
      <c r="I278">
        <v>8</v>
      </c>
      <c r="J278">
        <v>0</v>
      </c>
      <c r="K278">
        <f>IF(Convert_to_Games[[#This Row],[Total Score]]&gt;9, 1, 0)</f>
        <v>0</v>
      </c>
      <c r="L278">
        <f>IF(Convert_to_Games[[#This Row],[DD]]=0, 0, IF(L277 = "Cons DD", Convert_to_Games[[#This Row],[DD]], L277+L277))</f>
        <v>0</v>
      </c>
    </row>
    <row r="279" spans="1:12">
      <c r="A279" t="s">
        <v>25</v>
      </c>
      <c r="B279" t="s">
        <v>20</v>
      </c>
      <c r="C279" t="s">
        <v>16</v>
      </c>
      <c r="D279" s="9">
        <v>45827</v>
      </c>
      <c r="E279">
        <v>120</v>
      </c>
      <c r="F279" t="s">
        <v>11</v>
      </c>
      <c r="G279">
        <v>4</v>
      </c>
      <c r="H279" t="s">
        <v>5</v>
      </c>
      <c r="I279">
        <v>8</v>
      </c>
      <c r="J279">
        <v>0</v>
      </c>
      <c r="K279">
        <f>IF(Convert_to_Games[[#This Row],[Total Score]]&gt;9, 1, 0)</f>
        <v>0</v>
      </c>
      <c r="L279">
        <f>IF(Convert_to_Games[[#This Row],[DD]]=0, 0, IF(L278 = "Cons DD", Convert_to_Games[[#This Row],[DD]], L278+L278))</f>
        <v>0</v>
      </c>
    </row>
    <row r="280" spans="1:12">
      <c r="A280" t="s">
        <v>25</v>
      </c>
      <c r="B280" t="s">
        <v>20</v>
      </c>
      <c r="C280" t="s">
        <v>16</v>
      </c>
      <c r="D280" s="9">
        <v>45839</v>
      </c>
      <c r="E280">
        <v>140</v>
      </c>
      <c r="F280" t="s">
        <v>100</v>
      </c>
      <c r="G280">
        <v>4</v>
      </c>
      <c r="H280" t="s">
        <v>4</v>
      </c>
      <c r="I280">
        <v>8</v>
      </c>
      <c r="J280">
        <v>0</v>
      </c>
      <c r="K280">
        <f>IF(Convert_to_Games[[#This Row],[Total Score]]&gt;9, 1, 0)</f>
        <v>0</v>
      </c>
      <c r="L280">
        <f>IF(Convert_to_Games[[#This Row],[DD]]=0, 0, IF(L279 = "Cons DD", Convert_to_Games[[#This Row],[DD]], L279+L279))</f>
        <v>0</v>
      </c>
    </row>
    <row r="281" spans="1:12">
      <c r="A281" t="s">
        <v>25</v>
      </c>
      <c r="B281" t="s">
        <v>20</v>
      </c>
      <c r="C281" t="s">
        <v>16</v>
      </c>
      <c r="D281" s="9">
        <v>45839</v>
      </c>
      <c r="E281">
        <v>142</v>
      </c>
      <c r="F281" t="s">
        <v>106</v>
      </c>
      <c r="G281">
        <v>3</v>
      </c>
      <c r="H281" t="s">
        <v>5</v>
      </c>
      <c r="I281">
        <v>8</v>
      </c>
      <c r="J281">
        <v>1</v>
      </c>
      <c r="K281">
        <f>IF(Convert_to_Games[[#This Row],[Total Score]]&gt;9, 1, 0)</f>
        <v>0</v>
      </c>
      <c r="L281">
        <f>IF(Convert_to_Games[[#This Row],[DD]]=0, 0, IF(L280 = "Cons DD", Convert_to_Games[[#This Row],[DD]], L280+L280))</f>
        <v>0</v>
      </c>
    </row>
    <row r="282" spans="1:12">
      <c r="A282" t="s">
        <v>25</v>
      </c>
      <c r="B282" t="s">
        <v>20</v>
      </c>
      <c r="C282" t="s">
        <v>16</v>
      </c>
      <c r="D282" s="9">
        <v>45840</v>
      </c>
      <c r="E282">
        <v>143</v>
      </c>
      <c r="F282" t="s">
        <v>107</v>
      </c>
      <c r="G282">
        <v>3</v>
      </c>
      <c r="H282" t="s">
        <v>78</v>
      </c>
      <c r="I282">
        <v>8</v>
      </c>
      <c r="J282">
        <v>0</v>
      </c>
      <c r="K282">
        <f>IF(Convert_to_Games[[#This Row],[Total Score]]&gt;9, 1, 0)</f>
        <v>0</v>
      </c>
      <c r="L282">
        <f>IF(Convert_to_Games[[#This Row],[DD]]=0, 0, IF(L281 = "Cons DD", Convert_to_Games[[#This Row],[DD]], L281+L281))</f>
        <v>0</v>
      </c>
    </row>
    <row r="283" spans="1:12">
      <c r="A283" t="s">
        <v>25</v>
      </c>
      <c r="B283" t="s">
        <v>19</v>
      </c>
      <c r="C283" t="s">
        <v>16</v>
      </c>
      <c r="D283" s="9">
        <v>45853</v>
      </c>
      <c r="E283">
        <v>166</v>
      </c>
      <c r="F283" t="s">
        <v>94</v>
      </c>
      <c r="G283">
        <v>3</v>
      </c>
      <c r="H283" t="s">
        <v>78</v>
      </c>
      <c r="I283">
        <v>8</v>
      </c>
      <c r="J283">
        <v>1</v>
      </c>
      <c r="K283">
        <f>IF(Convert_to_Games[[#This Row],[Total Score]]&gt;9, 1, 0)</f>
        <v>0</v>
      </c>
      <c r="L283">
        <f>IF(Convert_to_Games[[#This Row],[DD]]=0, 0, IF(L282 = "Cons DD", Convert_to_Games[[#This Row],[DD]], L282+L282))</f>
        <v>0</v>
      </c>
    </row>
    <row r="284" spans="1:12">
      <c r="A284" t="s">
        <v>25</v>
      </c>
      <c r="B284" t="s">
        <v>21</v>
      </c>
      <c r="C284" t="s">
        <v>16</v>
      </c>
      <c r="D284" s="9">
        <v>45853</v>
      </c>
      <c r="E284">
        <v>167</v>
      </c>
      <c r="F284" t="s">
        <v>111</v>
      </c>
      <c r="G284">
        <v>3</v>
      </c>
      <c r="H284" t="s">
        <v>4</v>
      </c>
      <c r="I284">
        <v>8</v>
      </c>
      <c r="J284">
        <v>1</v>
      </c>
      <c r="K284">
        <f>IF(Convert_to_Games[[#This Row],[Total Score]]&gt;9, 1, 0)</f>
        <v>0</v>
      </c>
      <c r="L284">
        <f>IF(Convert_to_Games[[#This Row],[DD]]=0, 0, IF(L283 = "Cons DD", Convert_to_Games[[#This Row],[DD]], L283+L283))</f>
        <v>0</v>
      </c>
    </row>
    <row r="285" spans="1:12">
      <c r="A285" t="s">
        <v>25</v>
      </c>
      <c r="B285" t="s">
        <v>20</v>
      </c>
      <c r="C285" t="s">
        <v>16</v>
      </c>
      <c r="D285" s="9">
        <v>45854</v>
      </c>
      <c r="E285">
        <v>169</v>
      </c>
      <c r="F285" t="s">
        <v>108</v>
      </c>
      <c r="G285">
        <v>3</v>
      </c>
      <c r="H285" t="s">
        <v>4</v>
      </c>
      <c r="I285">
        <v>8</v>
      </c>
      <c r="J285">
        <v>1</v>
      </c>
      <c r="K285">
        <f>IF(Convert_to_Games[[#This Row],[Total Score]]&gt;9, 1, 0)</f>
        <v>0</v>
      </c>
      <c r="L285">
        <f>IF(Convert_to_Games[[#This Row],[DD]]=0, 0, IF(L284 = "Cons DD", Convert_to_Games[[#This Row],[DD]], L284+L284))</f>
        <v>0</v>
      </c>
    </row>
    <row r="286" spans="1:12">
      <c r="A286" t="s">
        <v>25</v>
      </c>
      <c r="B286" t="s">
        <v>20</v>
      </c>
      <c r="C286" t="s">
        <v>16</v>
      </c>
      <c r="D286" s="9">
        <v>45860</v>
      </c>
      <c r="E286">
        <v>176</v>
      </c>
      <c r="F286" t="s">
        <v>11</v>
      </c>
      <c r="G286">
        <v>3</v>
      </c>
      <c r="H286" t="s">
        <v>4</v>
      </c>
      <c r="I286">
        <v>8</v>
      </c>
      <c r="J286">
        <v>1</v>
      </c>
      <c r="K286">
        <f>IF(Convert_to_Games[[#This Row],[Total Score]]&gt;9, 1, 0)</f>
        <v>0</v>
      </c>
      <c r="L286">
        <f>IF(Convert_to_Games[[#This Row],[DD]]=0, 0, IF(L285 = "Cons DD", Convert_to_Games[[#This Row],[DD]], L285+L285))</f>
        <v>0</v>
      </c>
    </row>
    <row r="287" spans="1:12">
      <c r="A287" t="s">
        <v>25</v>
      </c>
      <c r="B287" t="s">
        <v>20</v>
      </c>
      <c r="C287" t="s">
        <v>16</v>
      </c>
      <c r="D287" s="9">
        <v>45862</v>
      </c>
      <c r="E287">
        <v>180</v>
      </c>
      <c r="F287" t="s">
        <v>34</v>
      </c>
      <c r="G287">
        <v>3</v>
      </c>
      <c r="H287" t="s">
        <v>6</v>
      </c>
      <c r="I287">
        <v>8</v>
      </c>
      <c r="J287">
        <v>1</v>
      </c>
      <c r="K287">
        <f>IF(Convert_to_Games[[#This Row],[Total Score]]&gt;9, 1, 0)</f>
        <v>0</v>
      </c>
      <c r="L287">
        <f>IF(Convert_to_Games[[#This Row],[DD]]=0, 0, IF(L286 = "Cons DD", Convert_to_Games[[#This Row],[DD]], L286+L286))</f>
        <v>0</v>
      </c>
    </row>
    <row r="288" spans="1:12">
      <c r="A288" t="s">
        <v>25</v>
      </c>
      <c r="B288" t="s">
        <v>20</v>
      </c>
      <c r="C288" t="s">
        <v>16</v>
      </c>
      <c r="D288" s="9">
        <v>45866</v>
      </c>
      <c r="E288">
        <v>184</v>
      </c>
      <c r="F288" t="s">
        <v>71</v>
      </c>
      <c r="G288">
        <v>3</v>
      </c>
      <c r="H288" t="s">
        <v>5</v>
      </c>
      <c r="I288">
        <v>8</v>
      </c>
      <c r="J288">
        <v>1</v>
      </c>
      <c r="K288">
        <f>IF(Convert_to_Games[[#This Row],[Total Score]]&gt;9, 1, 0)</f>
        <v>0</v>
      </c>
      <c r="L288">
        <f>IF(Convert_to_Games[[#This Row],[DD]]=0, 0, IF(L287 = "Cons DD", Convert_to_Games[[#This Row],[DD]], L287+L287))</f>
        <v>0</v>
      </c>
    </row>
    <row r="289" spans="1:12">
      <c r="A289" t="s">
        <v>25</v>
      </c>
      <c r="B289" t="s">
        <v>20</v>
      </c>
      <c r="C289" t="s">
        <v>116</v>
      </c>
      <c r="D289" s="9">
        <v>45868</v>
      </c>
      <c r="E289">
        <v>188</v>
      </c>
      <c r="F289" t="s">
        <v>11</v>
      </c>
      <c r="G289">
        <v>3</v>
      </c>
      <c r="H289" t="s">
        <v>4</v>
      </c>
      <c r="I289">
        <v>8</v>
      </c>
      <c r="J289">
        <v>1</v>
      </c>
      <c r="K289">
        <f>IF(Convert_to_Games[[#This Row],[Total Score]]&gt;9, 1, 0)</f>
        <v>0</v>
      </c>
      <c r="L289">
        <f>IF(Convert_to_Games[[#This Row],[DD]]=0, 0, IF(L288 = "Cons DD", Convert_to_Games[[#This Row],[DD]], L288+L288))</f>
        <v>0</v>
      </c>
    </row>
    <row r="290" spans="1:12">
      <c r="A290" t="s">
        <v>25</v>
      </c>
      <c r="B290" t="s">
        <v>19</v>
      </c>
      <c r="C290" t="s">
        <v>116</v>
      </c>
      <c r="D290" s="9">
        <v>45870</v>
      </c>
      <c r="E290">
        <v>192</v>
      </c>
      <c r="F290" t="s">
        <v>11</v>
      </c>
      <c r="G290">
        <v>3</v>
      </c>
      <c r="H290" t="s">
        <v>4</v>
      </c>
      <c r="I290">
        <v>8</v>
      </c>
      <c r="J290">
        <v>0</v>
      </c>
      <c r="K290">
        <f>IF(Convert_to_Games[[#This Row],[Total Score]]&gt;9, 1, 0)</f>
        <v>0</v>
      </c>
      <c r="L290">
        <f>IF(Convert_to_Games[[#This Row],[DD]]=0, 0, IF(L289 = "Cons DD", Convert_to_Games[[#This Row],[DD]], L289+L289))</f>
        <v>0</v>
      </c>
    </row>
    <row r="291" spans="1:12">
      <c r="A291" t="s">
        <v>25</v>
      </c>
      <c r="B291" t="s">
        <v>20</v>
      </c>
      <c r="C291" t="s">
        <v>116</v>
      </c>
      <c r="D291" s="9">
        <v>45870</v>
      </c>
      <c r="E291">
        <v>193</v>
      </c>
      <c r="F291" t="s">
        <v>11</v>
      </c>
      <c r="G291">
        <v>3</v>
      </c>
      <c r="H291" t="s">
        <v>4</v>
      </c>
      <c r="I291">
        <v>8</v>
      </c>
      <c r="J291">
        <v>0</v>
      </c>
      <c r="K291">
        <f>IF(Convert_to_Games[[#This Row],[Total Score]]&gt;9, 1, 0)</f>
        <v>0</v>
      </c>
      <c r="L291">
        <f>IF(Convert_to_Games[[#This Row],[DD]]=0, 0, IF(L290 = "Cons DD", Convert_to_Games[[#This Row],[DD]], L290+L290))</f>
        <v>0</v>
      </c>
    </row>
    <row r="292" spans="1:12">
      <c r="A292" t="s">
        <v>25</v>
      </c>
      <c r="B292">
        <v>256</v>
      </c>
      <c r="C292" t="s">
        <v>116</v>
      </c>
      <c r="D292" s="9">
        <v>45883</v>
      </c>
      <c r="E292">
        <v>205</v>
      </c>
      <c r="F292" t="s">
        <v>11</v>
      </c>
      <c r="G292">
        <v>3</v>
      </c>
      <c r="H292" t="s">
        <v>4</v>
      </c>
      <c r="I292">
        <v>8</v>
      </c>
      <c r="J292">
        <v>0</v>
      </c>
      <c r="K292">
        <f>IF(Convert_to_Games[[#This Row],[Total Score]]&gt;9, 1, 0)</f>
        <v>0</v>
      </c>
      <c r="L292">
        <f>IF(Convert_to_Games[[#This Row],[DD]]=0, 0, IF(L291 = "Cons DD", Convert_to_Games[[#This Row],[DD]], L291+L291))</f>
        <v>0</v>
      </c>
    </row>
    <row r="293" spans="1:12">
      <c r="A293" t="s">
        <v>25</v>
      </c>
      <c r="B293">
        <v>256</v>
      </c>
      <c r="C293" t="s">
        <v>116</v>
      </c>
      <c r="D293" s="9">
        <v>45887</v>
      </c>
      <c r="E293">
        <v>206</v>
      </c>
      <c r="F293" t="s">
        <v>9</v>
      </c>
      <c r="G293">
        <v>3</v>
      </c>
      <c r="H293" t="s">
        <v>4</v>
      </c>
      <c r="I293">
        <v>8</v>
      </c>
      <c r="J293">
        <v>1</v>
      </c>
      <c r="K293">
        <f>IF(Convert_to_Games[[#This Row],[Total Score]]&gt;9, 1, 0)</f>
        <v>0</v>
      </c>
      <c r="L293">
        <f>IF(Convert_to_Games[[#This Row],[DD]]=0, 0, IF(L292 = "Cons DD", Convert_to_Games[[#This Row],[DD]], L292+L292))</f>
        <v>0</v>
      </c>
    </row>
    <row r="294" spans="1:12">
      <c r="A294" t="s">
        <v>25</v>
      </c>
      <c r="B294">
        <v>256</v>
      </c>
      <c r="C294" t="s">
        <v>116</v>
      </c>
      <c r="D294" s="9">
        <v>45898</v>
      </c>
      <c r="E294">
        <v>213</v>
      </c>
      <c r="F294" t="s">
        <v>15</v>
      </c>
      <c r="G294">
        <v>3</v>
      </c>
      <c r="H294" t="s">
        <v>6</v>
      </c>
      <c r="I294">
        <v>8</v>
      </c>
      <c r="J294">
        <v>0</v>
      </c>
      <c r="K294">
        <f>IF(Convert_to_Games[[#This Row],[Total Score]]&gt;9, 1, 0)</f>
        <v>0</v>
      </c>
      <c r="L294">
        <f>IF(Convert_to_Games[[#This Row],[DD]]=0, 0, IF(L293 = "Cons DD", Convert_to_Games[[#This Row],[DD]], L293+L293))</f>
        <v>0</v>
      </c>
    </row>
    <row r="295" spans="1:12">
      <c r="A295" t="s">
        <v>25</v>
      </c>
      <c r="B295">
        <v>256</v>
      </c>
      <c r="C295" t="s">
        <v>116</v>
      </c>
      <c r="D295" s="9">
        <v>45902</v>
      </c>
      <c r="E295">
        <v>214</v>
      </c>
      <c r="F295" t="s">
        <v>11</v>
      </c>
      <c r="G295">
        <v>3</v>
      </c>
      <c r="H295" t="s">
        <v>4</v>
      </c>
      <c r="I295">
        <v>8</v>
      </c>
      <c r="J295">
        <v>0</v>
      </c>
      <c r="K295">
        <f>IF(Convert_to_Games[[#This Row],[Total Score]]&gt;9, 1, 0)</f>
        <v>0</v>
      </c>
      <c r="L295">
        <f>IF(Convert_to_Games[[#This Row],[DD]]=0, 0, IF(L294 = "Cons DD", Convert_to_Games[[#This Row],[DD]], L294+L294))</f>
        <v>0</v>
      </c>
    </row>
    <row r="296" spans="1:12">
      <c r="A296" t="s">
        <v>25</v>
      </c>
      <c r="B296">
        <v>256</v>
      </c>
      <c r="C296" t="s">
        <v>116</v>
      </c>
      <c r="D296" s="9">
        <v>45903</v>
      </c>
      <c r="E296">
        <v>215</v>
      </c>
      <c r="F296" t="s">
        <v>11</v>
      </c>
      <c r="G296">
        <v>3</v>
      </c>
      <c r="H296" t="s">
        <v>5</v>
      </c>
      <c r="I296">
        <v>8</v>
      </c>
      <c r="J296">
        <v>0</v>
      </c>
      <c r="K296">
        <f>IF(Convert_to_Games[[#This Row],[Total Score]]&gt;9, 1, 0)</f>
        <v>0</v>
      </c>
      <c r="L296">
        <f>IF(Convert_to_Games[[#This Row],[DD]]=0, 0, IF(L295 = "Cons DD", Convert_to_Games[[#This Row],[DD]], L295+L295))</f>
        <v>0</v>
      </c>
    </row>
    <row r="297" spans="1:12">
      <c r="A297" t="s">
        <v>25</v>
      </c>
      <c r="B297">
        <v>256</v>
      </c>
      <c r="C297" t="s">
        <v>116</v>
      </c>
      <c r="D297" s="9">
        <v>45911</v>
      </c>
      <c r="E297">
        <v>218</v>
      </c>
      <c r="F297" t="s">
        <v>11</v>
      </c>
      <c r="G297">
        <v>3</v>
      </c>
      <c r="H297" t="s">
        <v>4</v>
      </c>
      <c r="I297">
        <v>8</v>
      </c>
      <c r="J297">
        <v>0</v>
      </c>
      <c r="K297">
        <f>IF(Convert_to_Games[[#This Row],[Total Score]]&gt;9, 1, 0)</f>
        <v>0</v>
      </c>
      <c r="L297">
        <f>IF(Convert_to_Games[[#This Row],[DD]]=0, 0, IF(L296 = "Cons DD", Convert_to_Games[[#This Row],[DD]], L296+L296))</f>
        <v>0</v>
      </c>
    </row>
    <row r="298" spans="1:12">
      <c r="A298" t="s">
        <v>25</v>
      </c>
      <c r="B298">
        <v>256</v>
      </c>
      <c r="C298" t="s">
        <v>116</v>
      </c>
      <c r="D298" s="9">
        <v>45916</v>
      </c>
      <c r="E298">
        <v>220</v>
      </c>
      <c r="F298" t="s">
        <v>9</v>
      </c>
      <c r="G298">
        <v>3</v>
      </c>
      <c r="H298" t="s">
        <v>4</v>
      </c>
      <c r="I298">
        <v>8</v>
      </c>
      <c r="J298">
        <v>0</v>
      </c>
      <c r="K298">
        <f>IF(Convert_to_Games[[#This Row],[Total Score]]&gt;9, 1, 0)</f>
        <v>0</v>
      </c>
      <c r="L298">
        <f>IF(Convert_to_Games[[#This Row],[DD]]=0, 0, IF(L297 = "Cons DD", Convert_to_Games[[#This Row],[DD]], L297+L297))</f>
        <v>0</v>
      </c>
    </row>
    <row r="299" spans="1:12">
      <c r="A299" t="s">
        <v>25</v>
      </c>
      <c r="B299">
        <v>256</v>
      </c>
      <c r="C299" t="s">
        <v>116</v>
      </c>
      <c r="D299" s="9">
        <v>45917</v>
      </c>
      <c r="E299">
        <v>221</v>
      </c>
      <c r="F299" t="s">
        <v>11</v>
      </c>
      <c r="G299">
        <v>3</v>
      </c>
      <c r="H299" t="s">
        <v>4</v>
      </c>
      <c r="I299">
        <v>8</v>
      </c>
      <c r="J299">
        <v>1</v>
      </c>
      <c r="K299">
        <f>IF(Convert_to_Games[[#This Row],[Total Score]]&gt;9, 1, 0)</f>
        <v>0</v>
      </c>
      <c r="L299">
        <f>IF(Convert_to_Games[[#This Row],[DD]]=0, 0, IF(L298 = "Cons DD", Convert_to_Games[[#This Row],[DD]], L298+L298))</f>
        <v>0</v>
      </c>
    </row>
    <row r="300" spans="1:12">
      <c r="A300" t="s">
        <v>25</v>
      </c>
      <c r="B300">
        <v>256</v>
      </c>
      <c r="C300" t="s">
        <v>116</v>
      </c>
      <c r="D300" s="9">
        <v>45923</v>
      </c>
      <c r="E300">
        <v>224</v>
      </c>
      <c r="F300" t="s">
        <v>9</v>
      </c>
      <c r="G300">
        <v>3</v>
      </c>
      <c r="H300" t="s">
        <v>5</v>
      </c>
      <c r="I300">
        <v>8</v>
      </c>
      <c r="J300">
        <v>0</v>
      </c>
      <c r="K300">
        <f>IF(Convert_to_Games[[#This Row],[Total Score]]&gt;9, 1, 0)</f>
        <v>0</v>
      </c>
      <c r="L300">
        <f>IF(Convert_to_Games[[#This Row],[DD]]=0, 0, IF(L299 = "Cons DD", Convert_to_Games[[#This Row],[DD]], L299+L299))</f>
        <v>0</v>
      </c>
    </row>
    <row r="301" spans="1:12">
      <c r="A301" t="s">
        <v>25</v>
      </c>
      <c r="B301">
        <v>256</v>
      </c>
      <c r="C301" t="s">
        <v>116</v>
      </c>
      <c r="D301" s="9">
        <v>45952</v>
      </c>
      <c r="E301">
        <v>233</v>
      </c>
      <c r="F301" t="s">
        <v>15</v>
      </c>
      <c r="G301">
        <v>3</v>
      </c>
      <c r="H301" t="s">
        <v>6</v>
      </c>
      <c r="I301">
        <v>8</v>
      </c>
      <c r="J301">
        <v>0</v>
      </c>
      <c r="K301">
        <f>IF(Convert_to_Games[[#This Row],[Total Score]]&gt;9, 1, 0)</f>
        <v>0</v>
      </c>
      <c r="L301">
        <f>IF(Convert_to_Games[[#This Row],[DD]]=0, 0, IF(L300 = "Cons DD", Convert_to_Games[[#This Row],[DD]], L300+L300))</f>
        <v>0</v>
      </c>
    </row>
    <row r="302" spans="1:12">
      <c r="A302" t="s">
        <v>25</v>
      </c>
      <c r="B302">
        <v>256</v>
      </c>
      <c r="C302" t="s">
        <v>116</v>
      </c>
      <c r="D302" s="9">
        <v>45972</v>
      </c>
      <c r="E302">
        <v>239</v>
      </c>
      <c r="F302" t="s">
        <v>15</v>
      </c>
      <c r="G302">
        <v>3</v>
      </c>
      <c r="H302" t="s">
        <v>5</v>
      </c>
      <c r="I302">
        <v>8</v>
      </c>
      <c r="J302">
        <v>0</v>
      </c>
      <c r="K302">
        <f>IF(Convert_to_Games[[#This Row],[Total Score]]&gt;9, 1, 0)</f>
        <v>0</v>
      </c>
      <c r="L302">
        <f>IF(Convert_to_Games[[#This Row],[DD]]=0, 0, IF(L301 = "Cons DD", Convert_to_Games[[#This Row],[DD]], L301+L301))</f>
        <v>0</v>
      </c>
    </row>
    <row r="303" spans="1:12">
      <c r="A303" t="s">
        <v>25</v>
      </c>
      <c r="B303">
        <v>256</v>
      </c>
      <c r="C303" t="s">
        <v>116</v>
      </c>
      <c r="D303" s="9">
        <v>46035</v>
      </c>
      <c r="E303">
        <v>254</v>
      </c>
      <c r="F303" t="s">
        <v>11</v>
      </c>
      <c r="G303">
        <v>3</v>
      </c>
      <c r="H303" t="s">
        <v>5</v>
      </c>
      <c r="I303">
        <v>8</v>
      </c>
      <c r="J303">
        <v>1</v>
      </c>
      <c r="K303">
        <f>IF(Convert_to_Games[[#This Row],[Total Score]]&gt;9, 1, 0)</f>
        <v>0</v>
      </c>
      <c r="L303">
        <f>IF(Convert_to_Games[[#This Row],[DD]]=0, 0, IF(L302 = "Cons DD", Convert_to_Games[[#This Row],[DD]], L302+L302))</f>
        <v>0</v>
      </c>
    </row>
    <row r="304" spans="1:12">
      <c r="A304" t="s">
        <v>25</v>
      </c>
      <c r="B304">
        <v>256</v>
      </c>
      <c r="C304" t="s">
        <v>116</v>
      </c>
      <c r="D304" s="9">
        <v>46051</v>
      </c>
      <c r="E304">
        <v>257</v>
      </c>
      <c r="F304" t="s">
        <v>9</v>
      </c>
      <c r="G304">
        <v>3</v>
      </c>
      <c r="H304" t="s">
        <v>5</v>
      </c>
      <c r="I304">
        <v>8</v>
      </c>
      <c r="J304">
        <v>0</v>
      </c>
      <c r="K304">
        <f>IF(Convert_to_Games[[#This Row],[Total Score]]&gt;9, 1, 0)</f>
        <v>0</v>
      </c>
      <c r="L304">
        <f>IF(Convert_to_Games[[#This Row],[DD]]=0, 0, IF(L303 = "Cons DD", Convert_to_Games[[#This Row],[DD]], L303+L303))</f>
        <v>0</v>
      </c>
    </row>
    <row r="305" spans="1:12">
      <c r="A305" t="s">
        <v>25</v>
      </c>
      <c r="B305">
        <v>256</v>
      </c>
      <c r="C305" t="s">
        <v>116</v>
      </c>
      <c r="D305" s="9">
        <v>46093</v>
      </c>
      <c r="E305">
        <v>274</v>
      </c>
      <c r="F305" t="s">
        <v>9</v>
      </c>
      <c r="G305">
        <v>4</v>
      </c>
      <c r="H305" t="s">
        <v>5</v>
      </c>
      <c r="I305">
        <v>8</v>
      </c>
      <c r="J305">
        <v>0</v>
      </c>
      <c r="K305">
        <f>IF(Convert_to_Games[[#This Row],[Total Score]]&gt;9, 1, 0)</f>
        <v>0</v>
      </c>
      <c r="L305">
        <f>IF(Convert_to_Games[[#This Row],[DD]]=0, 0, IF(L304 = "Cons DD", Convert_to_Games[[#This Row],[DD]], L304+L304))</f>
        <v>0</v>
      </c>
    </row>
    <row r="306" spans="1:12">
      <c r="A306" t="s">
        <v>25</v>
      </c>
      <c r="B306">
        <v>256</v>
      </c>
      <c r="C306" t="s">
        <v>116</v>
      </c>
      <c r="D306" s="9">
        <v>46127</v>
      </c>
      <c r="E306">
        <v>282</v>
      </c>
      <c r="F306" t="s">
        <v>11</v>
      </c>
      <c r="G306">
        <v>4</v>
      </c>
      <c r="H306" t="s">
        <v>5</v>
      </c>
      <c r="I306">
        <v>8</v>
      </c>
      <c r="J306">
        <v>0</v>
      </c>
      <c r="K306">
        <f>IF(Convert_to_Games[[#This Row],[Total Score]]&gt;9, 1, 0)</f>
        <v>0</v>
      </c>
      <c r="L306">
        <f>IF(Convert_to_Games[[#This Row],[DD]]=0, 0, IF(L305 = "Cons DD", Convert_to_Games[[#This Row],[DD]], L305+L305))</f>
        <v>0</v>
      </c>
    </row>
    <row r="307" spans="1:12">
      <c r="A307" t="s">
        <v>25</v>
      </c>
      <c r="B307" t="s">
        <v>20</v>
      </c>
      <c r="C307" t="s">
        <v>18</v>
      </c>
      <c r="D307" s="9">
        <v>45708</v>
      </c>
      <c r="E307">
        <v>4</v>
      </c>
      <c r="F307" t="s">
        <v>8</v>
      </c>
      <c r="G307">
        <v>3</v>
      </c>
      <c r="H307" t="s">
        <v>6</v>
      </c>
      <c r="I307">
        <v>7</v>
      </c>
      <c r="J307">
        <v>1</v>
      </c>
      <c r="K307">
        <f>IF(Convert_to_Games[[#This Row],[Total Score]]&gt;9, 1, 0)</f>
        <v>0</v>
      </c>
      <c r="L307">
        <f>IF(Convert_to_Games[[#This Row],[DD]]=0, 0, IF(L306 = "Cons DD", Convert_to_Games[[#This Row],[DD]], L306+L306))</f>
        <v>0</v>
      </c>
    </row>
    <row r="308" spans="1:12">
      <c r="A308" t="s">
        <v>25</v>
      </c>
      <c r="B308" t="s">
        <v>20</v>
      </c>
      <c r="C308" t="s">
        <v>16</v>
      </c>
      <c r="D308" s="9">
        <v>45726</v>
      </c>
      <c r="E308">
        <v>21</v>
      </c>
      <c r="F308" t="s">
        <v>11</v>
      </c>
      <c r="G308">
        <v>3</v>
      </c>
      <c r="H308" t="s">
        <v>5</v>
      </c>
      <c r="I308">
        <v>7</v>
      </c>
      <c r="J308">
        <v>0</v>
      </c>
      <c r="K308">
        <f>IF(Convert_to_Games[[#This Row],[Total Score]]&gt;9, 1, 0)</f>
        <v>0</v>
      </c>
      <c r="L308">
        <f>IF(Convert_to_Games[[#This Row],[DD]]=0, 0, IF(L307 = "Cons DD", Convert_to_Games[[#This Row],[DD]], L307+L307))</f>
        <v>0</v>
      </c>
    </row>
    <row r="309" spans="1:12">
      <c r="A309" t="s">
        <v>25</v>
      </c>
      <c r="B309" t="s">
        <v>20</v>
      </c>
      <c r="C309" t="s">
        <v>16</v>
      </c>
      <c r="D309" s="9">
        <v>45743</v>
      </c>
      <c r="E309">
        <v>28</v>
      </c>
      <c r="F309" t="s">
        <v>11</v>
      </c>
      <c r="G309">
        <v>3</v>
      </c>
      <c r="H309" t="s">
        <v>4</v>
      </c>
      <c r="I309">
        <v>7</v>
      </c>
      <c r="J309">
        <v>1</v>
      </c>
      <c r="K309">
        <f>IF(Convert_to_Games[[#This Row],[Total Score]]&gt;9, 1, 0)</f>
        <v>0</v>
      </c>
      <c r="L309">
        <f>IF(Convert_to_Games[[#This Row],[DD]]=0, 0, IF(L308 = "Cons DD", Convert_to_Games[[#This Row],[DD]], L308+L308))</f>
        <v>0</v>
      </c>
    </row>
    <row r="310" spans="1:12">
      <c r="A310" t="s">
        <v>25</v>
      </c>
      <c r="B310" t="s">
        <v>20</v>
      </c>
      <c r="C310" t="s">
        <v>16</v>
      </c>
      <c r="D310" s="9">
        <v>45747</v>
      </c>
      <c r="E310">
        <v>30</v>
      </c>
      <c r="F310" t="s">
        <v>9</v>
      </c>
      <c r="G310">
        <v>3</v>
      </c>
      <c r="H310" t="s">
        <v>4</v>
      </c>
      <c r="I310">
        <v>7</v>
      </c>
      <c r="J310">
        <v>1</v>
      </c>
      <c r="K310">
        <f>IF(Convert_to_Games[[#This Row],[Total Score]]&gt;9, 1, 0)</f>
        <v>0</v>
      </c>
      <c r="L310">
        <f>IF(Convert_to_Games[[#This Row],[DD]]=0, 0, IF(L309 = "Cons DD", Convert_to_Games[[#This Row],[DD]], L309+L309))</f>
        <v>0</v>
      </c>
    </row>
    <row r="311" spans="1:12">
      <c r="A311" t="s">
        <v>25</v>
      </c>
      <c r="B311" t="s">
        <v>20</v>
      </c>
      <c r="C311" t="s">
        <v>16</v>
      </c>
      <c r="D311" s="9">
        <v>45761</v>
      </c>
      <c r="E311">
        <v>43</v>
      </c>
      <c r="F311" t="s">
        <v>33</v>
      </c>
      <c r="G311">
        <v>3</v>
      </c>
      <c r="H311" t="s">
        <v>5</v>
      </c>
      <c r="I311">
        <v>7</v>
      </c>
      <c r="J311">
        <v>0</v>
      </c>
      <c r="K311">
        <f>IF(Convert_to_Games[[#This Row],[Total Score]]&gt;9, 1, 0)</f>
        <v>0</v>
      </c>
      <c r="L311">
        <f>IF(Convert_to_Games[[#This Row],[DD]]=0, 0, IF(L310 = "Cons DD", Convert_to_Games[[#This Row],[DD]], L310+L310))</f>
        <v>0</v>
      </c>
    </row>
    <row r="312" spans="1:12">
      <c r="A312" t="s">
        <v>25</v>
      </c>
      <c r="B312" t="s">
        <v>20</v>
      </c>
      <c r="C312" t="s">
        <v>16</v>
      </c>
      <c r="D312" s="9">
        <v>45762</v>
      </c>
      <c r="E312">
        <v>44</v>
      </c>
      <c r="F312" t="s">
        <v>24</v>
      </c>
      <c r="G312">
        <v>3</v>
      </c>
      <c r="H312" t="s">
        <v>4</v>
      </c>
      <c r="I312">
        <v>7</v>
      </c>
      <c r="J312">
        <v>1</v>
      </c>
      <c r="K312">
        <f>IF(Convert_to_Games[[#This Row],[Total Score]]&gt;9, 1, 0)</f>
        <v>0</v>
      </c>
      <c r="L312">
        <f>IF(Convert_to_Games[[#This Row],[DD]]=0, 0, IF(L311 = "Cons DD", Convert_to_Games[[#This Row],[DD]], L311+L311))</f>
        <v>0</v>
      </c>
    </row>
    <row r="313" spans="1:12">
      <c r="A313" t="s">
        <v>26</v>
      </c>
      <c r="B313" t="s">
        <v>20</v>
      </c>
      <c r="C313" t="s">
        <v>16</v>
      </c>
      <c r="D313" s="9">
        <v>45762</v>
      </c>
      <c r="E313">
        <v>45</v>
      </c>
      <c r="F313" t="s">
        <v>9</v>
      </c>
      <c r="G313">
        <v>3</v>
      </c>
      <c r="H313" t="s">
        <v>4</v>
      </c>
      <c r="I313">
        <v>7</v>
      </c>
      <c r="J313">
        <v>1</v>
      </c>
      <c r="K313">
        <f>IF(Convert_to_Games[[#This Row],[Total Score]]&gt;9, 1, 0)</f>
        <v>0</v>
      </c>
      <c r="L313">
        <f>IF(Convert_to_Games[[#This Row],[DD]]=0, 0, IF(L312 = "Cons DD", Convert_to_Games[[#This Row],[DD]], L312+L312))</f>
        <v>0</v>
      </c>
    </row>
    <row r="314" spans="1:12">
      <c r="A314" t="s">
        <v>25</v>
      </c>
      <c r="B314" t="s">
        <v>19</v>
      </c>
      <c r="C314" t="s">
        <v>16</v>
      </c>
      <c r="D314" s="9">
        <v>45763</v>
      </c>
      <c r="E314">
        <v>49</v>
      </c>
      <c r="F314" t="s">
        <v>11</v>
      </c>
      <c r="G314">
        <v>3</v>
      </c>
      <c r="H314" t="s">
        <v>4</v>
      </c>
      <c r="I314">
        <v>7</v>
      </c>
      <c r="J314">
        <v>1</v>
      </c>
      <c r="K314">
        <f>IF(Convert_to_Games[[#This Row],[Total Score]]&gt;9, 1, 0)</f>
        <v>0</v>
      </c>
      <c r="L314">
        <f>IF(Convert_to_Games[[#This Row],[DD]]=0, 0, IF(L313 = "Cons DD", Convert_to_Games[[#This Row],[DD]], L313+L313))</f>
        <v>0</v>
      </c>
    </row>
    <row r="315" spans="1:12">
      <c r="A315" t="s">
        <v>25</v>
      </c>
      <c r="B315" t="s">
        <v>20</v>
      </c>
      <c r="C315" t="s">
        <v>16</v>
      </c>
      <c r="D315" s="9">
        <v>45763</v>
      </c>
      <c r="E315">
        <v>51</v>
      </c>
      <c r="F315" t="s">
        <v>9</v>
      </c>
      <c r="G315">
        <v>3</v>
      </c>
      <c r="H315" t="s">
        <v>5</v>
      </c>
      <c r="I315">
        <v>7</v>
      </c>
      <c r="J315">
        <v>1</v>
      </c>
      <c r="K315">
        <f>IF(Convert_to_Games[[#This Row],[Total Score]]&gt;9, 1, 0)</f>
        <v>0</v>
      </c>
      <c r="L315">
        <f>IF(Convert_to_Games[[#This Row],[DD]]=0, 0, IF(L314 = "Cons DD", Convert_to_Games[[#This Row],[DD]], L314+L314))</f>
        <v>0</v>
      </c>
    </row>
    <row r="316" spans="1:12">
      <c r="A316" t="s">
        <v>25</v>
      </c>
      <c r="B316" t="s">
        <v>20</v>
      </c>
      <c r="C316" t="s">
        <v>16</v>
      </c>
      <c r="D316" s="9">
        <v>45765</v>
      </c>
      <c r="E316">
        <v>55</v>
      </c>
      <c r="F316" t="s">
        <v>11</v>
      </c>
      <c r="G316">
        <v>3</v>
      </c>
      <c r="H316" t="s">
        <v>5</v>
      </c>
      <c r="I316">
        <v>7</v>
      </c>
      <c r="J316">
        <v>0</v>
      </c>
      <c r="K316">
        <f>IF(Convert_to_Games[[#This Row],[Total Score]]&gt;9, 1, 0)</f>
        <v>0</v>
      </c>
      <c r="L316">
        <f>IF(Convert_to_Games[[#This Row],[DD]]=0, 0, IF(L315 = "Cons DD", Convert_to_Games[[#This Row],[DD]], L315+L315))</f>
        <v>0</v>
      </c>
    </row>
    <row r="317" spans="1:12">
      <c r="A317" t="s">
        <v>25</v>
      </c>
      <c r="B317" t="s">
        <v>20</v>
      </c>
      <c r="C317" t="s">
        <v>16</v>
      </c>
      <c r="D317" s="9">
        <v>45768</v>
      </c>
      <c r="E317">
        <v>57</v>
      </c>
      <c r="F317" t="s">
        <v>30</v>
      </c>
      <c r="G317">
        <v>3</v>
      </c>
      <c r="H317" t="s">
        <v>5</v>
      </c>
      <c r="I317">
        <v>7</v>
      </c>
      <c r="J317">
        <v>1</v>
      </c>
      <c r="K317">
        <f>IF(Convert_to_Games[[#This Row],[Total Score]]&gt;9, 1, 0)</f>
        <v>0</v>
      </c>
      <c r="L317">
        <f>IF(Convert_to_Games[[#This Row],[DD]]=0, 0, IF(L316 = "Cons DD", Convert_to_Games[[#This Row],[DD]], L316+L316))</f>
        <v>0</v>
      </c>
    </row>
    <row r="318" spans="1:12">
      <c r="A318" t="s">
        <v>25</v>
      </c>
      <c r="B318" t="s">
        <v>20</v>
      </c>
      <c r="C318" t="s">
        <v>16</v>
      </c>
      <c r="D318" s="9">
        <v>45770</v>
      </c>
      <c r="E318">
        <v>64</v>
      </c>
      <c r="F318" t="s">
        <v>34</v>
      </c>
      <c r="G318">
        <v>5</v>
      </c>
      <c r="H318" t="s">
        <v>6</v>
      </c>
      <c r="I318">
        <v>7</v>
      </c>
      <c r="J318">
        <v>0</v>
      </c>
      <c r="K318">
        <f>IF(Convert_to_Games[[#This Row],[Total Score]]&gt;9, 1, 0)</f>
        <v>0</v>
      </c>
      <c r="L318">
        <f>IF(Convert_to_Games[[#This Row],[DD]]=0, 0, IF(L317 = "Cons DD", Convert_to_Games[[#This Row],[DD]], L317+L317))</f>
        <v>0</v>
      </c>
    </row>
    <row r="319" spans="1:12">
      <c r="A319" t="s">
        <v>25</v>
      </c>
      <c r="B319" t="s">
        <v>20</v>
      </c>
      <c r="C319" t="s">
        <v>16</v>
      </c>
      <c r="D319" s="9">
        <v>45770</v>
      </c>
      <c r="E319">
        <v>65</v>
      </c>
      <c r="F319" t="s">
        <v>12</v>
      </c>
      <c r="G319">
        <v>3</v>
      </c>
      <c r="H319" t="s">
        <v>4</v>
      </c>
      <c r="I319">
        <v>7</v>
      </c>
      <c r="J319">
        <v>1</v>
      </c>
      <c r="K319">
        <f>IF(Convert_to_Games[[#This Row],[Total Score]]&gt;9, 1, 0)</f>
        <v>0</v>
      </c>
      <c r="L319">
        <f>IF(Convert_to_Games[[#This Row],[DD]]=0, 0, IF(L318 = "Cons DD", Convert_to_Games[[#This Row],[DD]], L318+L318))</f>
        <v>0</v>
      </c>
    </row>
    <row r="320" spans="1:12">
      <c r="A320" t="s">
        <v>25</v>
      </c>
      <c r="B320" t="s">
        <v>20</v>
      </c>
      <c r="C320" t="s">
        <v>16</v>
      </c>
      <c r="D320" s="9">
        <v>45772</v>
      </c>
      <c r="E320">
        <v>70</v>
      </c>
      <c r="F320" t="s">
        <v>9</v>
      </c>
      <c r="G320">
        <v>3</v>
      </c>
      <c r="H320" t="s">
        <v>5</v>
      </c>
      <c r="I320">
        <v>7</v>
      </c>
      <c r="J320">
        <v>0</v>
      </c>
      <c r="K320">
        <f>IF(Convert_to_Games[[#This Row],[Total Score]]&gt;9, 1, 0)</f>
        <v>0</v>
      </c>
      <c r="L320">
        <f>IF(Convert_to_Games[[#This Row],[DD]]=0, 0, IF(L319 = "Cons DD", Convert_to_Games[[#This Row],[DD]], L319+L319))</f>
        <v>0</v>
      </c>
    </row>
    <row r="321" spans="1:12">
      <c r="A321" t="s">
        <v>25</v>
      </c>
      <c r="B321" t="s">
        <v>21</v>
      </c>
      <c r="C321" t="s">
        <v>16</v>
      </c>
      <c r="D321" s="9">
        <v>45775</v>
      </c>
      <c r="E321">
        <v>74</v>
      </c>
      <c r="F321" t="s">
        <v>33</v>
      </c>
      <c r="G321">
        <v>3</v>
      </c>
      <c r="H321" t="s">
        <v>4</v>
      </c>
      <c r="I321">
        <v>7</v>
      </c>
      <c r="J321">
        <v>1</v>
      </c>
      <c r="K321">
        <f>IF(Convert_to_Games[[#This Row],[Total Score]]&gt;9, 1, 0)</f>
        <v>0</v>
      </c>
      <c r="L321">
        <f>IF(Convert_to_Games[[#This Row],[DD]]=0, 0, IF(L320 = "Cons DD", Convert_to_Games[[#This Row],[DD]], L320+L320))</f>
        <v>0</v>
      </c>
    </row>
    <row r="322" spans="1:12">
      <c r="A322" t="s">
        <v>25</v>
      </c>
      <c r="B322" t="s">
        <v>20</v>
      </c>
      <c r="C322" t="s">
        <v>16</v>
      </c>
      <c r="D322" s="9">
        <v>45776</v>
      </c>
      <c r="E322">
        <v>79</v>
      </c>
      <c r="F322" t="s">
        <v>59</v>
      </c>
      <c r="G322">
        <v>3</v>
      </c>
      <c r="H322" t="s">
        <v>4</v>
      </c>
      <c r="I322">
        <v>7</v>
      </c>
      <c r="J322">
        <v>1</v>
      </c>
      <c r="K322">
        <f>IF(Convert_to_Games[[#This Row],[Total Score]]&gt;9, 1, 0)</f>
        <v>0</v>
      </c>
      <c r="L322">
        <f>IF(Convert_to_Games[[#This Row],[DD]]=0, 0, IF(L321 = "Cons DD", Convert_to_Games[[#This Row],[DD]], L321+L321))</f>
        <v>0</v>
      </c>
    </row>
    <row r="323" spans="1:12">
      <c r="A323" t="s">
        <v>25</v>
      </c>
      <c r="B323" t="s">
        <v>20</v>
      </c>
      <c r="C323" t="s">
        <v>16</v>
      </c>
      <c r="D323" s="9">
        <v>45782</v>
      </c>
      <c r="E323">
        <v>91</v>
      </c>
      <c r="F323" t="s">
        <v>9</v>
      </c>
      <c r="G323">
        <v>3</v>
      </c>
      <c r="H323" t="s">
        <v>4</v>
      </c>
      <c r="I323">
        <v>7</v>
      </c>
      <c r="J323">
        <v>0</v>
      </c>
      <c r="K323">
        <f>IF(Convert_to_Games[[#This Row],[Total Score]]&gt;9, 1, 0)</f>
        <v>0</v>
      </c>
      <c r="L323">
        <f>IF(Convert_to_Games[[#This Row],[DD]]=0, 0, IF(L322 = "Cons DD", Convert_to_Games[[#This Row],[DD]], L322+L322))</f>
        <v>0</v>
      </c>
    </row>
    <row r="324" spans="1:12">
      <c r="A324" t="s">
        <v>25</v>
      </c>
      <c r="B324" t="s">
        <v>20</v>
      </c>
      <c r="C324" t="s">
        <v>16</v>
      </c>
      <c r="D324" s="9">
        <v>45783</v>
      </c>
      <c r="E324">
        <v>92</v>
      </c>
      <c r="F324" t="s">
        <v>11</v>
      </c>
      <c r="G324">
        <v>3</v>
      </c>
      <c r="H324" t="s">
        <v>4</v>
      </c>
      <c r="I324">
        <v>7</v>
      </c>
      <c r="J324">
        <v>1</v>
      </c>
      <c r="K324">
        <f>IF(Convert_to_Games[[#This Row],[Total Score]]&gt;9, 1, 0)</f>
        <v>0</v>
      </c>
      <c r="L324">
        <f>IF(Convert_to_Games[[#This Row],[DD]]=0, 0, IF(L323 = "Cons DD", Convert_to_Games[[#This Row],[DD]], L323+L323))</f>
        <v>0</v>
      </c>
    </row>
    <row r="325" spans="1:12">
      <c r="A325" t="s">
        <v>25</v>
      </c>
      <c r="B325" t="s">
        <v>19</v>
      </c>
      <c r="C325" t="s">
        <v>16</v>
      </c>
      <c r="D325" s="9">
        <v>45784</v>
      </c>
      <c r="E325">
        <v>94</v>
      </c>
      <c r="F325" t="s">
        <v>9</v>
      </c>
      <c r="G325">
        <v>3</v>
      </c>
      <c r="H325" t="s">
        <v>4</v>
      </c>
      <c r="I325">
        <v>7</v>
      </c>
      <c r="J325">
        <v>0</v>
      </c>
      <c r="K325">
        <f>IF(Convert_to_Games[[#This Row],[Total Score]]&gt;9, 1, 0)</f>
        <v>0</v>
      </c>
      <c r="L325">
        <f>IF(Convert_to_Games[[#This Row],[DD]]=0, 0, IF(L324 = "Cons DD", Convert_to_Games[[#This Row],[DD]], L324+L324))</f>
        <v>0</v>
      </c>
    </row>
    <row r="326" spans="1:12">
      <c r="A326" t="s">
        <v>25</v>
      </c>
      <c r="B326" t="s">
        <v>20</v>
      </c>
      <c r="C326" t="s">
        <v>16</v>
      </c>
      <c r="D326" s="9">
        <v>45791</v>
      </c>
      <c r="E326">
        <v>99</v>
      </c>
      <c r="F326" t="s">
        <v>70</v>
      </c>
      <c r="G326">
        <v>3</v>
      </c>
      <c r="H326" t="s">
        <v>5</v>
      </c>
      <c r="I326">
        <v>7</v>
      </c>
      <c r="J326">
        <v>0</v>
      </c>
      <c r="K326">
        <f>IF(Convert_to_Games[[#This Row],[Total Score]]&gt;9, 1, 0)</f>
        <v>0</v>
      </c>
      <c r="L326">
        <f>IF(Convert_to_Games[[#This Row],[DD]]=0, 0, IF(L325 = "Cons DD", Convert_to_Games[[#This Row],[DD]], L325+L325))</f>
        <v>0</v>
      </c>
    </row>
    <row r="327" spans="1:12">
      <c r="A327" t="s">
        <v>25</v>
      </c>
      <c r="B327" t="s">
        <v>19</v>
      </c>
      <c r="C327" t="s">
        <v>16</v>
      </c>
      <c r="D327" s="9">
        <v>45791</v>
      </c>
      <c r="E327">
        <v>100</v>
      </c>
      <c r="F327" t="s">
        <v>11</v>
      </c>
      <c r="G327">
        <v>3</v>
      </c>
      <c r="H327" t="s">
        <v>5</v>
      </c>
      <c r="I327">
        <v>7</v>
      </c>
      <c r="J327">
        <v>0</v>
      </c>
      <c r="K327">
        <f>IF(Convert_to_Games[[#This Row],[Total Score]]&gt;9, 1, 0)</f>
        <v>0</v>
      </c>
      <c r="L327">
        <f>IF(Convert_to_Games[[#This Row],[DD]]=0, 0, IF(L326 = "Cons DD", Convert_to_Games[[#This Row],[DD]], L326+L326))</f>
        <v>0</v>
      </c>
    </row>
    <row r="328" spans="1:12">
      <c r="A328" t="s">
        <v>25</v>
      </c>
      <c r="B328" t="s">
        <v>20</v>
      </c>
      <c r="C328" t="s">
        <v>16</v>
      </c>
      <c r="D328" s="9">
        <v>45824</v>
      </c>
      <c r="E328">
        <v>111</v>
      </c>
      <c r="F328" t="s">
        <v>9</v>
      </c>
      <c r="G328">
        <v>3</v>
      </c>
      <c r="H328" t="s">
        <v>4</v>
      </c>
      <c r="I328">
        <v>7</v>
      </c>
      <c r="J328">
        <v>1</v>
      </c>
      <c r="K328">
        <f>IF(Convert_to_Games[[#This Row],[Total Score]]&gt;9, 1, 0)</f>
        <v>0</v>
      </c>
      <c r="L328">
        <f>IF(Convert_to_Games[[#This Row],[DD]]=0, 0, IF(L327 = "Cons DD", Convert_to_Games[[#This Row],[DD]], L327+L327))</f>
        <v>0</v>
      </c>
    </row>
    <row r="329" spans="1:12">
      <c r="A329" t="s">
        <v>25</v>
      </c>
      <c r="B329" t="s">
        <v>20</v>
      </c>
      <c r="C329" t="s">
        <v>16</v>
      </c>
      <c r="D329" s="9">
        <v>45825</v>
      </c>
      <c r="E329">
        <v>113</v>
      </c>
      <c r="F329" t="s">
        <v>11</v>
      </c>
      <c r="G329">
        <v>3</v>
      </c>
      <c r="H329" t="s">
        <v>5</v>
      </c>
      <c r="I329">
        <v>7</v>
      </c>
      <c r="J329">
        <v>0</v>
      </c>
      <c r="K329">
        <f>IF(Convert_to_Games[[#This Row],[Total Score]]&gt;9, 1, 0)</f>
        <v>0</v>
      </c>
      <c r="L329">
        <f>IF(Convert_to_Games[[#This Row],[DD]]=0, 0, IF(L328 = "Cons DD", Convert_to_Games[[#This Row],[DD]], L328+L328))</f>
        <v>0</v>
      </c>
    </row>
    <row r="330" spans="1:12">
      <c r="A330" t="s">
        <v>25</v>
      </c>
      <c r="B330" t="s">
        <v>20</v>
      </c>
      <c r="C330" t="s">
        <v>16</v>
      </c>
      <c r="D330" s="9">
        <v>45826</v>
      </c>
      <c r="E330">
        <v>116</v>
      </c>
      <c r="F330" t="s">
        <v>9</v>
      </c>
      <c r="G330">
        <v>4</v>
      </c>
      <c r="H330" t="s">
        <v>4</v>
      </c>
      <c r="I330">
        <v>7</v>
      </c>
      <c r="J330">
        <v>0</v>
      </c>
      <c r="K330">
        <f>IF(Convert_to_Games[[#This Row],[Total Score]]&gt;9, 1, 0)</f>
        <v>0</v>
      </c>
      <c r="L330">
        <f>IF(Convert_to_Games[[#This Row],[DD]]=0, 0, IF(L329 = "Cons DD", Convert_to_Games[[#This Row],[DD]], L329+L329))</f>
        <v>0</v>
      </c>
    </row>
    <row r="331" spans="1:12">
      <c r="A331" t="s">
        <v>25</v>
      </c>
      <c r="B331" t="s">
        <v>19</v>
      </c>
      <c r="C331" t="s">
        <v>16</v>
      </c>
      <c r="D331" s="9">
        <v>45828</v>
      </c>
      <c r="E331">
        <v>122</v>
      </c>
      <c r="F331" t="s">
        <v>11</v>
      </c>
      <c r="G331">
        <v>3</v>
      </c>
      <c r="H331" t="s">
        <v>4</v>
      </c>
      <c r="I331">
        <v>7</v>
      </c>
      <c r="J331">
        <v>0</v>
      </c>
      <c r="K331">
        <f>IF(Convert_to_Games[[#This Row],[Total Score]]&gt;9, 1, 0)</f>
        <v>0</v>
      </c>
      <c r="L331">
        <f>IF(Convert_to_Games[[#This Row],[DD]]=0, 0, IF(L330 = "Cons DD", Convert_to_Games[[#This Row],[DD]], L330+L330))</f>
        <v>0</v>
      </c>
    </row>
    <row r="332" spans="1:12">
      <c r="A332" t="s">
        <v>25</v>
      </c>
      <c r="B332" t="s">
        <v>20</v>
      </c>
      <c r="C332" t="s">
        <v>16</v>
      </c>
      <c r="D332" s="9">
        <v>45832</v>
      </c>
      <c r="E332">
        <v>128</v>
      </c>
      <c r="F332" t="s">
        <v>9</v>
      </c>
      <c r="G332">
        <v>3</v>
      </c>
      <c r="H332" t="s">
        <v>4</v>
      </c>
      <c r="I332">
        <v>7</v>
      </c>
      <c r="J332">
        <v>1</v>
      </c>
      <c r="K332">
        <f>IF(Convert_to_Games[[#This Row],[Total Score]]&gt;9, 1, 0)</f>
        <v>0</v>
      </c>
      <c r="L332">
        <f>IF(Convert_to_Games[[#This Row],[DD]]=0, 0, IF(L331 = "Cons DD", Convert_to_Games[[#This Row],[DD]], L331+L331))</f>
        <v>0</v>
      </c>
    </row>
    <row r="333" spans="1:12">
      <c r="A333" t="s">
        <v>25</v>
      </c>
      <c r="B333" t="s">
        <v>20</v>
      </c>
      <c r="C333" t="s">
        <v>16</v>
      </c>
      <c r="D333" s="9">
        <v>45833</v>
      </c>
      <c r="E333">
        <v>129</v>
      </c>
      <c r="F333" t="s">
        <v>11</v>
      </c>
      <c r="G333">
        <v>3</v>
      </c>
      <c r="H333" t="s">
        <v>5</v>
      </c>
      <c r="I333">
        <v>7</v>
      </c>
      <c r="J333">
        <v>1</v>
      </c>
      <c r="K333">
        <f>IF(Convert_to_Games[[#This Row],[Total Score]]&gt;9, 1, 0)</f>
        <v>0</v>
      </c>
      <c r="L333">
        <f>IF(Convert_to_Games[[#This Row],[DD]]=0, 0, IF(L332 = "Cons DD", Convert_to_Games[[#This Row],[DD]], L332+L332))</f>
        <v>0</v>
      </c>
    </row>
    <row r="334" spans="1:12">
      <c r="A334" t="s">
        <v>25</v>
      </c>
      <c r="B334" t="s">
        <v>20</v>
      </c>
      <c r="C334" t="s">
        <v>16</v>
      </c>
      <c r="D334" s="9">
        <v>45833</v>
      </c>
      <c r="E334">
        <v>131</v>
      </c>
      <c r="F334" t="s">
        <v>9</v>
      </c>
      <c r="G334">
        <v>4</v>
      </c>
      <c r="H334" t="s">
        <v>5</v>
      </c>
      <c r="I334">
        <v>7</v>
      </c>
      <c r="J334">
        <v>0</v>
      </c>
      <c r="K334">
        <f>IF(Convert_to_Games[[#This Row],[Total Score]]&gt;9, 1, 0)</f>
        <v>0</v>
      </c>
      <c r="L334">
        <f>IF(Convert_to_Games[[#This Row],[DD]]=0, 0, IF(L333 = "Cons DD", Convert_to_Games[[#This Row],[DD]], L333+L333))</f>
        <v>0</v>
      </c>
    </row>
    <row r="335" spans="1:12">
      <c r="A335" t="s">
        <v>25</v>
      </c>
      <c r="B335" t="s">
        <v>20</v>
      </c>
      <c r="C335" t="s">
        <v>16</v>
      </c>
      <c r="D335" s="9">
        <v>45852</v>
      </c>
      <c r="E335">
        <v>163</v>
      </c>
      <c r="F335" t="s">
        <v>103</v>
      </c>
      <c r="G335">
        <v>3</v>
      </c>
      <c r="H335" t="s">
        <v>78</v>
      </c>
      <c r="I335">
        <v>7</v>
      </c>
      <c r="J335">
        <v>1</v>
      </c>
      <c r="K335">
        <f>IF(Convert_to_Games[[#This Row],[Total Score]]&gt;9, 1, 0)</f>
        <v>0</v>
      </c>
      <c r="L335">
        <f>IF(Convert_to_Games[[#This Row],[DD]]=0, 0, IF(L334 = "Cons DD", Convert_to_Games[[#This Row],[DD]], L334+L334))</f>
        <v>0</v>
      </c>
    </row>
    <row r="336" spans="1:12">
      <c r="A336" t="s">
        <v>25</v>
      </c>
      <c r="B336" t="s">
        <v>19</v>
      </c>
      <c r="C336" t="s">
        <v>16</v>
      </c>
      <c r="D336" s="9">
        <v>45860</v>
      </c>
      <c r="E336">
        <v>177</v>
      </c>
      <c r="F336" t="s">
        <v>9</v>
      </c>
      <c r="G336">
        <v>3</v>
      </c>
      <c r="H336" t="s">
        <v>5</v>
      </c>
      <c r="I336">
        <v>7</v>
      </c>
      <c r="J336">
        <v>1</v>
      </c>
      <c r="K336">
        <f>IF(Convert_to_Games[[#This Row],[Total Score]]&gt;9, 1, 0)</f>
        <v>0</v>
      </c>
      <c r="L336">
        <f>IF(Convert_to_Games[[#This Row],[DD]]=0, 0, IF(L335 = "Cons DD", Convert_to_Games[[#This Row],[DD]], L335+L335))</f>
        <v>0</v>
      </c>
    </row>
    <row r="337" spans="1:12">
      <c r="A337" t="s">
        <v>25</v>
      </c>
      <c r="B337" t="s">
        <v>20</v>
      </c>
      <c r="C337" t="s">
        <v>116</v>
      </c>
      <c r="D337" s="9">
        <v>45868</v>
      </c>
      <c r="E337">
        <v>186</v>
      </c>
      <c r="F337" t="s">
        <v>9</v>
      </c>
      <c r="G337">
        <v>3</v>
      </c>
      <c r="H337" t="s">
        <v>5</v>
      </c>
      <c r="I337">
        <v>7</v>
      </c>
      <c r="J337">
        <v>0</v>
      </c>
      <c r="K337">
        <f>IF(Convert_to_Games[[#This Row],[Total Score]]&gt;9, 1, 0)</f>
        <v>0</v>
      </c>
      <c r="L337">
        <f>IF(Convert_to_Games[[#This Row],[DD]]=0, 0, IF(L336 = "Cons DD", Convert_to_Games[[#This Row],[DD]], L336+L336))</f>
        <v>0</v>
      </c>
    </row>
    <row r="338" spans="1:12">
      <c r="A338" t="s">
        <v>25</v>
      </c>
      <c r="B338" t="s">
        <v>20</v>
      </c>
      <c r="C338" t="s">
        <v>116</v>
      </c>
      <c r="D338" s="9">
        <v>45869</v>
      </c>
      <c r="E338">
        <v>191</v>
      </c>
      <c r="F338" t="s">
        <v>9</v>
      </c>
      <c r="G338">
        <v>3</v>
      </c>
      <c r="H338" t="s">
        <v>5</v>
      </c>
      <c r="I338">
        <v>7</v>
      </c>
      <c r="J338">
        <v>1</v>
      </c>
      <c r="K338">
        <f>IF(Convert_to_Games[[#This Row],[Total Score]]&gt;9, 1, 0)</f>
        <v>0</v>
      </c>
      <c r="L338">
        <f>IF(Convert_to_Games[[#This Row],[DD]]=0, 0, IF(L337 = "Cons DD", Convert_to_Games[[#This Row],[DD]], L337+L337))</f>
        <v>0</v>
      </c>
    </row>
    <row r="339" spans="1:12">
      <c r="A339" t="s">
        <v>25</v>
      </c>
      <c r="B339" t="s">
        <v>20</v>
      </c>
      <c r="C339" t="s">
        <v>116</v>
      </c>
      <c r="D339" s="9">
        <v>45870</v>
      </c>
      <c r="E339">
        <v>194</v>
      </c>
      <c r="F339" t="s">
        <v>9</v>
      </c>
      <c r="G339">
        <v>3</v>
      </c>
      <c r="H339" t="s">
        <v>5</v>
      </c>
      <c r="I339">
        <v>7</v>
      </c>
      <c r="J339">
        <v>0</v>
      </c>
      <c r="K339">
        <f>IF(Convert_to_Games[[#This Row],[Total Score]]&gt;9, 1, 0)</f>
        <v>0</v>
      </c>
      <c r="L339">
        <f>IF(Convert_to_Games[[#This Row],[DD]]=0, 0, IF(L338 = "Cons DD", Convert_to_Games[[#This Row],[DD]], L338+L338))</f>
        <v>0</v>
      </c>
    </row>
    <row r="340" spans="1:12">
      <c r="A340" t="s">
        <v>25</v>
      </c>
      <c r="B340" t="s">
        <v>20</v>
      </c>
      <c r="C340" t="s">
        <v>116</v>
      </c>
      <c r="D340" s="9">
        <v>45875</v>
      </c>
      <c r="E340">
        <v>199</v>
      </c>
      <c r="F340" t="s">
        <v>11</v>
      </c>
      <c r="G340">
        <v>3</v>
      </c>
      <c r="H340" t="s">
        <v>5</v>
      </c>
      <c r="I340">
        <v>7</v>
      </c>
      <c r="J340">
        <v>0</v>
      </c>
      <c r="K340">
        <f>IF(Convert_to_Games[[#This Row],[Total Score]]&gt;9, 1, 0)</f>
        <v>0</v>
      </c>
      <c r="L340">
        <f>IF(Convert_to_Games[[#This Row],[DD]]=0, 0, IF(L339 = "Cons DD", Convert_to_Games[[#This Row],[DD]], L339+L339))</f>
        <v>0</v>
      </c>
    </row>
    <row r="341" spans="1:12">
      <c r="A341" t="s">
        <v>25</v>
      </c>
      <c r="B341" t="s">
        <v>20</v>
      </c>
      <c r="C341" t="s">
        <v>116</v>
      </c>
      <c r="D341" s="9">
        <v>45876</v>
      </c>
      <c r="E341">
        <v>200</v>
      </c>
      <c r="F341" t="s">
        <v>9</v>
      </c>
      <c r="G341">
        <v>3</v>
      </c>
      <c r="H341" t="s">
        <v>5</v>
      </c>
      <c r="I341">
        <v>7</v>
      </c>
      <c r="J341">
        <v>0</v>
      </c>
      <c r="K341">
        <f>IF(Convert_to_Games[[#This Row],[Total Score]]&gt;9, 1, 0)</f>
        <v>0</v>
      </c>
      <c r="L341">
        <f>IF(Convert_to_Games[[#This Row],[DD]]=0, 0, IF(L340 = "Cons DD", Convert_to_Games[[#This Row],[DD]], L340+L340))</f>
        <v>0</v>
      </c>
    </row>
    <row r="342" spans="1:12">
      <c r="A342" t="s">
        <v>25</v>
      </c>
      <c r="B342">
        <v>256</v>
      </c>
      <c r="C342" t="s">
        <v>116</v>
      </c>
      <c r="D342" s="9">
        <v>45924</v>
      </c>
      <c r="E342">
        <v>225</v>
      </c>
      <c r="F342" t="s">
        <v>9</v>
      </c>
      <c r="G342">
        <v>4</v>
      </c>
      <c r="H342" t="s">
        <v>4</v>
      </c>
      <c r="I342">
        <v>7</v>
      </c>
      <c r="J342">
        <v>0</v>
      </c>
      <c r="K342">
        <f>IF(Convert_to_Games[[#This Row],[Total Score]]&gt;9, 1, 0)</f>
        <v>0</v>
      </c>
      <c r="L342">
        <f>IF(Convert_to_Games[[#This Row],[DD]]=0, 0, IF(L341 = "Cons DD", Convert_to_Games[[#This Row],[DD]], L341+L341))</f>
        <v>0</v>
      </c>
    </row>
    <row r="343" spans="1:12">
      <c r="A343" t="s">
        <v>25</v>
      </c>
      <c r="B343">
        <v>256</v>
      </c>
      <c r="C343" t="s">
        <v>116</v>
      </c>
      <c r="D343" s="9">
        <v>45940</v>
      </c>
      <c r="E343">
        <v>231</v>
      </c>
      <c r="F343" t="s">
        <v>11</v>
      </c>
      <c r="G343">
        <v>3</v>
      </c>
      <c r="H343" t="s">
        <v>5</v>
      </c>
      <c r="I343">
        <v>7</v>
      </c>
      <c r="J343">
        <v>0</v>
      </c>
      <c r="K343">
        <f>IF(Convert_to_Games[[#This Row],[Total Score]]&gt;9, 1, 0)</f>
        <v>0</v>
      </c>
      <c r="L343">
        <f>IF(Convert_to_Games[[#This Row],[DD]]=0, 0, IF(L342 = "Cons DD", Convert_to_Games[[#This Row],[DD]], L342+L342))</f>
        <v>0</v>
      </c>
    </row>
    <row r="344" spans="1:12">
      <c r="A344" t="s">
        <v>25</v>
      </c>
      <c r="B344">
        <v>256</v>
      </c>
      <c r="C344" t="s">
        <v>116</v>
      </c>
      <c r="D344" s="9">
        <v>45952</v>
      </c>
      <c r="E344">
        <v>233</v>
      </c>
      <c r="F344" t="s">
        <v>15</v>
      </c>
      <c r="G344">
        <v>3</v>
      </c>
      <c r="H344" t="s">
        <v>4</v>
      </c>
      <c r="I344">
        <v>7</v>
      </c>
      <c r="J344">
        <v>0</v>
      </c>
      <c r="K344">
        <f>IF(Convert_to_Games[[#This Row],[Total Score]]&gt;9, 1, 0)</f>
        <v>0</v>
      </c>
      <c r="L344">
        <f>IF(Convert_to_Games[[#This Row],[DD]]=0, 0, IF(L343 = "Cons DD", Convert_to_Games[[#This Row],[DD]], L343+L343))</f>
        <v>0</v>
      </c>
    </row>
    <row r="345" spans="1:12">
      <c r="A345" t="s">
        <v>25</v>
      </c>
      <c r="B345">
        <v>256</v>
      </c>
      <c r="C345" t="s">
        <v>116</v>
      </c>
      <c r="D345" s="9">
        <v>45973</v>
      </c>
      <c r="E345">
        <v>240</v>
      </c>
      <c r="F345" t="s">
        <v>57</v>
      </c>
      <c r="G345">
        <v>3</v>
      </c>
      <c r="H345" t="s">
        <v>5</v>
      </c>
      <c r="I345">
        <v>7</v>
      </c>
      <c r="J345">
        <v>0</v>
      </c>
      <c r="K345">
        <f>IF(Convert_to_Games[[#This Row],[Total Score]]&gt;9, 1, 0)</f>
        <v>0</v>
      </c>
      <c r="L345">
        <f>IF(Convert_to_Games[[#This Row],[DD]]=0, 0, IF(L344 = "Cons DD", Convert_to_Games[[#This Row],[DD]], L344+L344))</f>
        <v>0</v>
      </c>
    </row>
    <row r="346" spans="1:12">
      <c r="A346" t="s">
        <v>25</v>
      </c>
      <c r="B346">
        <v>256</v>
      </c>
      <c r="C346" t="s">
        <v>116</v>
      </c>
      <c r="D346" s="9">
        <v>45995</v>
      </c>
      <c r="E346">
        <v>247</v>
      </c>
      <c r="F346" t="s">
        <v>11</v>
      </c>
      <c r="G346">
        <v>3</v>
      </c>
      <c r="H346" t="s">
        <v>4</v>
      </c>
      <c r="I346">
        <v>7</v>
      </c>
      <c r="J346">
        <v>1</v>
      </c>
      <c r="K346">
        <f>IF(Convert_to_Games[[#This Row],[Total Score]]&gt;9, 1, 0)</f>
        <v>0</v>
      </c>
      <c r="L346">
        <f>IF(Convert_to_Games[[#This Row],[DD]]=0, 0, IF(L345 = "Cons DD", Convert_to_Games[[#This Row],[DD]], L345+L345))</f>
        <v>0</v>
      </c>
    </row>
    <row r="347" spans="1:12">
      <c r="A347" t="s">
        <v>25</v>
      </c>
      <c r="B347">
        <v>256</v>
      </c>
      <c r="C347" t="s">
        <v>116</v>
      </c>
      <c r="D347" s="9">
        <v>45999</v>
      </c>
      <c r="E347">
        <v>250</v>
      </c>
      <c r="F347" t="s">
        <v>10</v>
      </c>
      <c r="G347">
        <v>3</v>
      </c>
      <c r="H347" t="s">
        <v>6</v>
      </c>
      <c r="I347">
        <v>7</v>
      </c>
      <c r="J347">
        <v>0</v>
      </c>
      <c r="K347">
        <f>IF(Convert_to_Games[[#This Row],[Total Score]]&gt;9, 1, 0)</f>
        <v>0</v>
      </c>
      <c r="L347">
        <f>IF(Convert_to_Games[[#This Row],[DD]]=0, 0, IF(L346 = "Cons DD", Convert_to_Games[[#This Row],[DD]], L346+L346))</f>
        <v>0</v>
      </c>
    </row>
    <row r="348" spans="1:12">
      <c r="A348" t="s">
        <v>25</v>
      </c>
      <c r="B348">
        <v>256</v>
      </c>
      <c r="C348" t="s">
        <v>116</v>
      </c>
      <c r="D348" s="9">
        <v>46035</v>
      </c>
      <c r="E348">
        <v>254</v>
      </c>
      <c r="F348" t="s">
        <v>11</v>
      </c>
      <c r="G348">
        <v>3</v>
      </c>
      <c r="H348" t="s">
        <v>4</v>
      </c>
      <c r="I348">
        <v>7</v>
      </c>
      <c r="J348">
        <v>0</v>
      </c>
      <c r="K348">
        <f>IF(Convert_to_Games[[#This Row],[Total Score]]&gt;9, 1, 0)</f>
        <v>0</v>
      </c>
      <c r="L348">
        <f>IF(Convert_to_Games[[#This Row],[DD]]=0, 0, IF(L347 = "Cons DD", Convert_to_Games[[#This Row],[DD]], L347+L347))</f>
        <v>0</v>
      </c>
    </row>
    <row r="349" spans="1:12">
      <c r="A349" t="s">
        <v>25</v>
      </c>
      <c r="B349">
        <v>256</v>
      </c>
      <c r="C349" t="s">
        <v>116</v>
      </c>
      <c r="D349" s="9">
        <v>46077</v>
      </c>
      <c r="E349">
        <v>265</v>
      </c>
      <c r="F349" t="s">
        <v>11</v>
      </c>
      <c r="G349">
        <v>3</v>
      </c>
      <c r="H349" t="s">
        <v>4</v>
      </c>
      <c r="I349">
        <v>7</v>
      </c>
      <c r="J349">
        <v>0</v>
      </c>
      <c r="K349">
        <f>IF(Convert_to_Games[[#This Row],[Total Score]]&gt;9, 1, 0)</f>
        <v>0</v>
      </c>
      <c r="L349">
        <f>IF(Convert_to_Games[[#This Row],[DD]]=0, 0, IF(L348 = "Cons DD", Convert_to_Games[[#This Row],[DD]], L348+L348))</f>
        <v>0</v>
      </c>
    </row>
    <row r="350" spans="1:12">
      <c r="A350" t="s">
        <v>25</v>
      </c>
      <c r="B350">
        <v>256</v>
      </c>
      <c r="C350" t="s">
        <v>116</v>
      </c>
      <c r="D350" s="9">
        <v>46148</v>
      </c>
      <c r="E350">
        <v>284</v>
      </c>
      <c r="F350" t="s">
        <v>11</v>
      </c>
      <c r="G350">
        <v>4</v>
      </c>
      <c r="H350" t="s">
        <v>5</v>
      </c>
      <c r="I350">
        <v>7</v>
      </c>
      <c r="J350">
        <v>0</v>
      </c>
      <c r="K350">
        <f>IF(Convert_to_Games[[#This Row],[Total Score]]&gt;9, 1, 0)</f>
        <v>0</v>
      </c>
      <c r="L350">
        <f>IF(Convert_to_Games[[#This Row],[DD]]=0, 0, IF(L349 = "Cons DD", Convert_to_Games[[#This Row],[DD]], L349+L349))</f>
        <v>0</v>
      </c>
    </row>
    <row r="351" spans="1:12">
      <c r="A351" t="s">
        <v>25</v>
      </c>
      <c r="B351" t="s">
        <v>20</v>
      </c>
      <c r="C351" t="s">
        <v>18</v>
      </c>
      <c r="D351" s="9">
        <v>45712</v>
      </c>
      <c r="E351">
        <v>8</v>
      </c>
      <c r="F351" t="s">
        <v>11</v>
      </c>
      <c r="G351">
        <v>3</v>
      </c>
      <c r="H351" t="s">
        <v>4</v>
      </c>
      <c r="I351">
        <v>6</v>
      </c>
      <c r="J351">
        <v>1</v>
      </c>
      <c r="K351">
        <f>IF(Convert_to_Games[[#This Row],[Total Score]]&gt;9, 1, 0)</f>
        <v>0</v>
      </c>
      <c r="L351">
        <f>IF(Convert_to_Games[[#This Row],[DD]]=0, 0, IF(L350 = "Cons DD", Convert_to_Games[[#This Row],[DD]], L350+L350))</f>
        <v>0</v>
      </c>
    </row>
    <row r="352" spans="1:12">
      <c r="A352" t="s">
        <v>25</v>
      </c>
      <c r="B352" t="s">
        <v>20</v>
      </c>
      <c r="C352" t="s">
        <v>18</v>
      </c>
      <c r="D352" s="9">
        <v>45713</v>
      </c>
      <c r="E352">
        <v>10</v>
      </c>
      <c r="F352" t="s">
        <v>11</v>
      </c>
      <c r="G352">
        <v>3</v>
      </c>
      <c r="H352" t="s">
        <v>4</v>
      </c>
      <c r="I352">
        <v>6</v>
      </c>
      <c r="J352">
        <v>1</v>
      </c>
      <c r="K352">
        <f>IF(Convert_to_Games[[#This Row],[Total Score]]&gt;9, 1, 0)</f>
        <v>0</v>
      </c>
      <c r="L352">
        <f>IF(Convert_to_Games[[#This Row],[DD]]=0, 0, IF(L351 = "Cons DD", Convert_to_Games[[#This Row],[DD]], L351+L351))</f>
        <v>0</v>
      </c>
    </row>
    <row r="353" spans="1:12">
      <c r="A353" t="s">
        <v>25</v>
      </c>
      <c r="B353" t="s">
        <v>20</v>
      </c>
      <c r="C353" t="s">
        <v>16</v>
      </c>
      <c r="D353" s="9">
        <v>45714</v>
      </c>
      <c r="E353">
        <v>11</v>
      </c>
      <c r="F353" t="s">
        <v>12</v>
      </c>
      <c r="G353">
        <v>3</v>
      </c>
      <c r="H353" t="s">
        <v>7</v>
      </c>
      <c r="I353">
        <v>6</v>
      </c>
      <c r="J353">
        <v>0</v>
      </c>
      <c r="K353">
        <f>IF(Convert_to_Games[[#This Row],[Total Score]]&gt;9, 1, 0)</f>
        <v>0</v>
      </c>
      <c r="L353">
        <f>IF(Convert_to_Games[[#This Row],[DD]]=0, 0, IF(L352 = "Cons DD", Convert_to_Games[[#This Row],[DD]], L352+L352))</f>
        <v>0</v>
      </c>
    </row>
    <row r="354" spans="1:12">
      <c r="A354" t="s">
        <v>25</v>
      </c>
      <c r="B354" t="s">
        <v>20</v>
      </c>
      <c r="C354" t="s">
        <v>18</v>
      </c>
      <c r="D354" s="9">
        <v>45740</v>
      </c>
      <c r="E354">
        <v>25</v>
      </c>
      <c r="F354" t="s">
        <v>13</v>
      </c>
      <c r="G354">
        <v>3</v>
      </c>
      <c r="H354" t="s">
        <v>4</v>
      </c>
      <c r="I354">
        <v>6</v>
      </c>
      <c r="J354">
        <v>1</v>
      </c>
      <c r="K354">
        <f>IF(Convert_to_Games[[#This Row],[Total Score]]&gt;9, 1, 0)</f>
        <v>0</v>
      </c>
      <c r="L354">
        <f>IF(Convert_to_Games[[#This Row],[DD]]=0, 0, IF(L353 = "Cons DD", Convert_to_Games[[#This Row],[DD]], L353+L353))</f>
        <v>0</v>
      </c>
    </row>
    <row r="355" spans="1:12">
      <c r="A355" t="s">
        <v>25</v>
      </c>
      <c r="B355" t="s">
        <v>20</v>
      </c>
      <c r="C355" t="s">
        <v>16</v>
      </c>
      <c r="D355" s="9">
        <v>45748</v>
      </c>
      <c r="E355">
        <v>31</v>
      </c>
      <c r="F355" t="s">
        <v>11</v>
      </c>
      <c r="G355">
        <v>3</v>
      </c>
      <c r="H355" t="s">
        <v>4</v>
      </c>
      <c r="I355">
        <v>6</v>
      </c>
      <c r="J355">
        <v>1</v>
      </c>
      <c r="K355">
        <f>IF(Convert_to_Games[[#This Row],[Total Score]]&gt;9, 1, 0)</f>
        <v>0</v>
      </c>
      <c r="L355">
        <f>IF(Convert_to_Games[[#This Row],[DD]]=0, 0, IF(L354 = "Cons DD", Convert_to_Games[[#This Row],[DD]], L354+L354))</f>
        <v>0</v>
      </c>
    </row>
    <row r="356" spans="1:12">
      <c r="A356" t="s">
        <v>25</v>
      </c>
      <c r="B356" t="s">
        <v>20</v>
      </c>
      <c r="C356" t="s">
        <v>16</v>
      </c>
      <c r="D356" s="9">
        <v>45754</v>
      </c>
      <c r="E356">
        <v>37</v>
      </c>
      <c r="F356" t="s">
        <v>9</v>
      </c>
      <c r="G356">
        <v>3</v>
      </c>
      <c r="H356" t="s">
        <v>5</v>
      </c>
      <c r="I356">
        <v>6</v>
      </c>
      <c r="J356">
        <v>0</v>
      </c>
      <c r="K356">
        <f>IF(Convert_to_Games[[#This Row],[Total Score]]&gt;9, 1, 0)</f>
        <v>0</v>
      </c>
      <c r="L356">
        <f>IF(Convert_to_Games[[#This Row],[DD]]=0, 0, IF(L355 = "Cons DD", Convert_to_Games[[#This Row],[DD]], L355+L355))</f>
        <v>0</v>
      </c>
    </row>
    <row r="357" spans="1:12">
      <c r="A357" t="s">
        <v>25</v>
      </c>
      <c r="B357" t="s">
        <v>20</v>
      </c>
      <c r="C357" t="s">
        <v>16</v>
      </c>
      <c r="D357" s="9">
        <v>45756</v>
      </c>
      <c r="E357">
        <v>39</v>
      </c>
      <c r="F357" t="s">
        <v>11</v>
      </c>
      <c r="G357">
        <v>3</v>
      </c>
      <c r="H357" t="s">
        <v>5</v>
      </c>
      <c r="I357">
        <v>6</v>
      </c>
      <c r="J357">
        <v>0</v>
      </c>
      <c r="K357">
        <f>IF(Convert_to_Games[[#This Row],[Total Score]]&gt;9, 1, 0)</f>
        <v>0</v>
      </c>
      <c r="L357">
        <f>IF(Convert_to_Games[[#This Row],[DD]]=0, 0, IF(L356 = "Cons DD", Convert_to_Games[[#This Row],[DD]], L356+L356))</f>
        <v>0</v>
      </c>
    </row>
    <row r="358" spans="1:12">
      <c r="A358" t="s">
        <v>25</v>
      </c>
      <c r="B358" t="s">
        <v>19</v>
      </c>
      <c r="C358" t="s">
        <v>16</v>
      </c>
      <c r="D358" s="9">
        <v>45756</v>
      </c>
      <c r="E358">
        <v>40</v>
      </c>
      <c r="F358" t="s">
        <v>11</v>
      </c>
      <c r="G358">
        <v>3</v>
      </c>
      <c r="H358" t="s">
        <v>5</v>
      </c>
      <c r="I358">
        <v>6</v>
      </c>
      <c r="J358">
        <v>0</v>
      </c>
      <c r="K358">
        <f>IF(Convert_to_Games[[#This Row],[Total Score]]&gt;9, 1, 0)</f>
        <v>0</v>
      </c>
      <c r="L358">
        <f>IF(Convert_to_Games[[#This Row],[DD]]=0, 0, IF(L357 = "Cons DD", Convert_to_Games[[#This Row],[DD]], L357+L357))</f>
        <v>0</v>
      </c>
    </row>
    <row r="359" spans="1:12">
      <c r="A359" t="s">
        <v>25</v>
      </c>
      <c r="B359" t="s">
        <v>19</v>
      </c>
      <c r="C359" t="s">
        <v>16</v>
      </c>
      <c r="D359" s="9">
        <v>45757</v>
      </c>
      <c r="E359">
        <v>42</v>
      </c>
      <c r="F359" t="s">
        <v>9</v>
      </c>
      <c r="G359">
        <v>3</v>
      </c>
      <c r="H359" t="s">
        <v>5</v>
      </c>
      <c r="I359">
        <v>6</v>
      </c>
      <c r="J359">
        <v>1</v>
      </c>
      <c r="K359">
        <f>IF(Convert_to_Games[[#This Row],[Total Score]]&gt;9, 1, 0)</f>
        <v>0</v>
      </c>
      <c r="L359">
        <f>IF(Convert_to_Games[[#This Row],[DD]]=0, 0, IF(L358 = "Cons DD", Convert_to_Games[[#This Row],[DD]], L358+L358))</f>
        <v>0</v>
      </c>
    </row>
    <row r="360" spans="1:12">
      <c r="A360" t="s">
        <v>25</v>
      </c>
      <c r="B360" t="s">
        <v>20</v>
      </c>
      <c r="C360" t="s">
        <v>16</v>
      </c>
      <c r="D360" s="9">
        <v>45763</v>
      </c>
      <c r="E360">
        <v>51</v>
      </c>
      <c r="F360" t="s">
        <v>9</v>
      </c>
      <c r="G360">
        <v>3</v>
      </c>
      <c r="H360" t="s">
        <v>4</v>
      </c>
      <c r="I360">
        <v>6</v>
      </c>
      <c r="J360">
        <v>0</v>
      </c>
      <c r="K360">
        <f>IF(Convert_to_Games[[#This Row],[Total Score]]&gt;9, 1, 0)</f>
        <v>0</v>
      </c>
      <c r="L360">
        <f>IF(Convert_to_Games[[#This Row],[DD]]=0, 0, IF(L359 = "Cons DD", Convert_to_Games[[#This Row],[DD]], L359+L359))</f>
        <v>0</v>
      </c>
    </row>
    <row r="361" spans="1:12">
      <c r="A361" t="s">
        <v>25</v>
      </c>
      <c r="B361" t="s">
        <v>21</v>
      </c>
      <c r="C361" t="s">
        <v>16</v>
      </c>
      <c r="D361" s="9">
        <v>45764</v>
      </c>
      <c r="E361">
        <v>54</v>
      </c>
      <c r="F361" t="s">
        <v>28</v>
      </c>
      <c r="G361">
        <v>3</v>
      </c>
      <c r="H361" t="s">
        <v>4</v>
      </c>
      <c r="I361">
        <v>6</v>
      </c>
      <c r="J361">
        <v>1</v>
      </c>
      <c r="K361">
        <f>IF(Convert_to_Games[[#This Row],[Total Score]]&gt;9, 1, 0)</f>
        <v>0</v>
      </c>
      <c r="L361">
        <f>IF(Convert_to_Games[[#This Row],[DD]]=0, 0, IF(L360 = "Cons DD", Convert_to_Games[[#This Row],[DD]], L360+L360))</f>
        <v>0</v>
      </c>
    </row>
    <row r="362" spans="1:12">
      <c r="A362" t="s">
        <v>25</v>
      </c>
      <c r="B362" t="s">
        <v>21</v>
      </c>
      <c r="C362" t="s">
        <v>16</v>
      </c>
      <c r="D362" s="9">
        <v>45771</v>
      </c>
      <c r="E362">
        <v>66</v>
      </c>
      <c r="F362" t="s">
        <v>9</v>
      </c>
      <c r="G362">
        <v>3</v>
      </c>
      <c r="H362" t="s">
        <v>4</v>
      </c>
      <c r="I362">
        <v>6</v>
      </c>
      <c r="J362">
        <v>1</v>
      </c>
      <c r="K362">
        <f>IF(Convert_to_Games[[#This Row],[Total Score]]&gt;9, 1, 0)</f>
        <v>0</v>
      </c>
      <c r="L362">
        <f>IF(Convert_to_Games[[#This Row],[DD]]=0, 0, IF(L361 = "Cons DD", Convert_to_Games[[#This Row],[DD]], L361+L361))</f>
        <v>0</v>
      </c>
    </row>
    <row r="363" spans="1:12">
      <c r="A363" t="s">
        <v>25</v>
      </c>
      <c r="B363" t="s">
        <v>19</v>
      </c>
      <c r="C363" t="s">
        <v>16</v>
      </c>
      <c r="D363" s="9">
        <v>45777</v>
      </c>
      <c r="E363">
        <v>81</v>
      </c>
      <c r="F363" t="s">
        <v>11</v>
      </c>
      <c r="G363">
        <v>3</v>
      </c>
      <c r="H363" t="s">
        <v>4</v>
      </c>
      <c r="I363">
        <v>6</v>
      </c>
      <c r="J363">
        <v>1</v>
      </c>
      <c r="K363">
        <f>IF(Convert_to_Games[[#This Row],[Total Score]]&gt;9, 1, 0)</f>
        <v>0</v>
      </c>
      <c r="L363">
        <f>IF(Convert_to_Games[[#This Row],[DD]]=0, 0, IF(L362 = "Cons DD", Convert_to_Games[[#This Row],[DD]], L362+L362))</f>
        <v>0</v>
      </c>
    </row>
    <row r="364" spans="1:12">
      <c r="A364" t="s">
        <v>25</v>
      </c>
      <c r="B364" t="s">
        <v>19</v>
      </c>
      <c r="C364" t="s">
        <v>16</v>
      </c>
      <c r="D364" s="9">
        <v>45778</v>
      </c>
      <c r="E364">
        <v>85</v>
      </c>
      <c r="F364" t="s">
        <v>9</v>
      </c>
      <c r="G364">
        <v>4</v>
      </c>
      <c r="H364" t="s">
        <v>5</v>
      </c>
      <c r="I364">
        <v>6</v>
      </c>
      <c r="J364">
        <v>0</v>
      </c>
      <c r="K364">
        <f>IF(Convert_to_Games[[#This Row],[Total Score]]&gt;9, 1, 0)</f>
        <v>0</v>
      </c>
      <c r="L364">
        <f>IF(Convert_to_Games[[#This Row],[DD]]=0, 0, IF(L363 = "Cons DD", Convert_to_Games[[#This Row],[DD]], L363+L363))</f>
        <v>0</v>
      </c>
    </row>
    <row r="365" spans="1:12">
      <c r="A365" t="s">
        <v>25</v>
      </c>
      <c r="B365" t="s">
        <v>20</v>
      </c>
      <c r="C365" t="s">
        <v>16</v>
      </c>
      <c r="D365" s="9">
        <v>45790</v>
      </c>
      <c r="E365">
        <v>97</v>
      </c>
      <c r="F365" t="s">
        <v>11</v>
      </c>
      <c r="G365">
        <v>4</v>
      </c>
      <c r="H365" t="s">
        <v>4</v>
      </c>
      <c r="I365">
        <v>6</v>
      </c>
      <c r="J365">
        <v>1</v>
      </c>
      <c r="K365">
        <f>IF(Convert_to_Games[[#This Row],[Total Score]]&gt;9, 1, 0)</f>
        <v>0</v>
      </c>
      <c r="L365">
        <f>IF(Convert_to_Games[[#This Row],[DD]]=0, 0, IF(L364 = "Cons DD", Convert_to_Games[[#This Row],[DD]], L364+L364))</f>
        <v>0</v>
      </c>
    </row>
    <row r="366" spans="1:12">
      <c r="A366" t="s">
        <v>25</v>
      </c>
      <c r="B366" t="s">
        <v>20</v>
      </c>
      <c r="C366" t="s">
        <v>16</v>
      </c>
      <c r="D366" s="9">
        <v>45797</v>
      </c>
      <c r="E366">
        <v>101</v>
      </c>
      <c r="F366" t="s">
        <v>71</v>
      </c>
      <c r="G366">
        <v>3</v>
      </c>
      <c r="H366" t="s">
        <v>6</v>
      </c>
      <c r="I366">
        <v>6</v>
      </c>
      <c r="J366">
        <v>0</v>
      </c>
      <c r="K366">
        <f>IF(Convert_to_Games[[#This Row],[Total Score]]&gt;9, 1, 0)</f>
        <v>0</v>
      </c>
      <c r="L366">
        <f>IF(Convert_to_Games[[#This Row],[DD]]=0, 0, IF(L365 = "Cons DD", Convert_to_Games[[#This Row],[DD]], L365+L365))</f>
        <v>0</v>
      </c>
    </row>
    <row r="367" spans="1:12">
      <c r="A367" t="s">
        <v>25</v>
      </c>
      <c r="B367" t="s">
        <v>20</v>
      </c>
      <c r="C367" t="s">
        <v>16</v>
      </c>
      <c r="D367" s="9">
        <v>45818</v>
      </c>
      <c r="E367">
        <v>107</v>
      </c>
      <c r="F367" t="s">
        <v>11</v>
      </c>
      <c r="G367">
        <v>3</v>
      </c>
      <c r="H367" t="s">
        <v>4</v>
      </c>
      <c r="I367">
        <v>6</v>
      </c>
      <c r="J367">
        <v>1</v>
      </c>
      <c r="K367">
        <f>IF(Convert_to_Games[[#This Row],[Total Score]]&gt;9, 1, 0)</f>
        <v>0</v>
      </c>
      <c r="L367">
        <f>IF(Convert_to_Games[[#This Row],[DD]]=0, 0, IF(L366 = "Cons DD", Convert_to_Games[[#This Row],[DD]], L366+L366))</f>
        <v>0</v>
      </c>
    </row>
    <row r="368" spans="1:12">
      <c r="A368" t="s">
        <v>25</v>
      </c>
      <c r="B368" t="s">
        <v>20</v>
      </c>
      <c r="C368" t="s">
        <v>16</v>
      </c>
      <c r="D368" s="9">
        <v>45819</v>
      </c>
      <c r="E368">
        <v>108</v>
      </c>
      <c r="F368" t="s">
        <v>9</v>
      </c>
      <c r="G368">
        <v>3</v>
      </c>
      <c r="H368" t="s">
        <v>5</v>
      </c>
      <c r="I368">
        <v>6</v>
      </c>
      <c r="J368">
        <v>0</v>
      </c>
      <c r="K368">
        <f>IF(Convert_to_Games[[#This Row],[Total Score]]&gt;9, 1, 0)</f>
        <v>0</v>
      </c>
      <c r="L368">
        <f>IF(Convert_to_Games[[#This Row],[DD]]=0, 0, IF(L367 = "Cons DD", Convert_to_Games[[#This Row],[DD]], L367+L367))</f>
        <v>0</v>
      </c>
    </row>
    <row r="369" spans="1:12">
      <c r="A369" t="s">
        <v>25</v>
      </c>
      <c r="B369" t="s">
        <v>20</v>
      </c>
      <c r="C369" t="s">
        <v>16</v>
      </c>
      <c r="D369" s="9">
        <v>45824</v>
      </c>
      <c r="E369">
        <v>112</v>
      </c>
      <c r="F369" t="s">
        <v>59</v>
      </c>
      <c r="G369">
        <v>3</v>
      </c>
      <c r="H369" t="s">
        <v>7</v>
      </c>
      <c r="I369">
        <v>6</v>
      </c>
      <c r="J369">
        <v>1</v>
      </c>
      <c r="K369">
        <f>IF(Convert_to_Games[[#This Row],[Total Score]]&gt;9, 1, 0)</f>
        <v>0</v>
      </c>
      <c r="L369">
        <f>IF(Convert_to_Games[[#This Row],[DD]]=0, 0, IF(L368 = "Cons DD", Convert_to_Games[[#This Row],[DD]], L368+L368))</f>
        <v>0</v>
      </c>
    </row>
    <row r="370" spans="1:12">
      <c r="A370" t="s">
        <v>25</v>
      </c>
      <c r="B370" t="s">
        <v>20</v>
      </c>
      <c r="C370" t="s">
        <v>16</v>
      </c>
      <c r="D370" s="9">
        <v>45828</v>
      </c>
      <c r="E370">
        <v>121</v>
      </c>
      <c r="F370" t="s">
        <v>9</v>
      </c>
      <c r="G370">
        <v>3</v>
      </c>
      <c r="H370" t="s">
        <v>5</v>
      </c>
      <c r="I370">
        <v>6</v>
      </c>
      <c r="J370">
        <v>0</v>
      </c>
      <c r="K370">
        <f>IF(Convert_to_Games[[#This Row],[Total Score]]&gt;9, 1, 0)</f>
        <v>0</v>
      </c>
      <c r="L370">
        <f>IF(Convert_to_Games[[#This Row],[DD]]=0, 0, IF(L369 = "Cons DD", Convert_to_Games[[#This Row],[DD]], L369+L369))</f>
        <v>0</v>
      </c>
    </row>
    <row r="371" spans="1:12">
      <c r="A371" t="s">
        <v>25</v>
      </c>
      <c r="B371" t="s">
        <v>20</v>
      </c>
      <c r="C371" t="s">
        <v>16</v>
      </c>
      <c r="D371" s="9">
        <v>45835</v>
      </c>
      <c r="E371">
        <v>134</v>
      </c>
      <c r="F371" t="s">
        <v>103</v>
      </c>
      <c r="G371">
        <v>3</v>
      </c>
      <c r="H371" t="s">
        <v>4</v>
      </c>
      <c r="I371">
        <v>6</v>
      </c>
      <c r="J371">
        <v>1</v>
      </c>
      <c r="K371">
        <f>IF(Convert_to_Games[[#This Row],[Total Score]]&gt;9, 1, 0)</f>
        <v>0</v>
      </c>
      <c r="L371">
        <f>IF(Convert_to_Games[[#This Row],[DD]]=0, 0, IF(L370 = "Cons DD", Convert_to_Games[[#This Row],[DD]], L370+L370))</f>
        <v>0</v>
      </c>
    </row>
    <row r="372" spans="1:12">
      <c r="A372" t="s">
        <v>25</v>
      </c>
      <c r="B372" t="s">
        <v>20</v>
      </c>
      <c r="C372" t="s">
        <v>16</v>
      </c>
      <c r="D372" s="9">
        <v>45839</v>
      </c>
      <c r="E372">
        <v>142</v>
      </c>
      <c r="F372" t="s">
        <v>106</v>
      </c>
      <c r="G372">
        <v>3</v>
      </c>
      <c r="H372" t="s">
        <v>4</v>
      </c>
      <c r="I372">
        <v>6</v>
      </c>
      <c r="J372">
        <v>0</v>
      </c>
      <c r="K372">
        <f>IF(Convert_to_Games[[#This Row],[Total Score]]&gt;9, 1, 0)</f>
        <v>0</v>
      </c>
      <c r="L372">
        <f>IF(Convert_to_Games[[#This Row],[DD]]=0, 0, IF(L371 = "Cons DD", Convert_to_Games[[#This Row],[DD]], L371+L371))</f>
        <v>0</v>
      </c>
    </row>
    <row r="373" spans="1:12">
      <c r="A373" t="s">
        <v>25</v>
      </c>
      <c r="B373" t="s">
        <v>20</v>
      </c>
      <c r="C373" t="s">
        <v>16</v>
      </c>
      <c r="D373" s="9">
        <v>45845</v>
      </c>
      <c r="E373">
        <v>149</v>
      </c>
      <c r="F373" t="s">
        <v>110</v>
      </c>
      <c r="G373">
        <v>3</v>
      </c>
      <c r="H373" t="s">
        <v>78</v>
      </c>
      <c r="I373">
        <v>6</v>
      </c>
      <c r="J373">
        <v>0</v>
      </c>
      <c r="K373">
        <f>IF(Convert_to_Games[[#This Row],[Total Score]]&gt;9, 1, 0)</f>
        <v>0</v>
      </c>
      <c r="L373">
        <f>IF(Convert_to_Games[[#This Row],[DD]]=0, 0, IF(L372 = "Cons DD", Convert_to_Games[[#This Row],[DD]], L372+L372))</f>
        <v>0</v>
      </c>
    </row>
    <row r="374" spans="1:12">
      <c r="A374" t="s">
        <v>25</v>
      </c>
      <c r="B374" t="s">
        <v>20</v>
      </c>
      <c r="C374" t="s">
        <v>16</v>
      </c>
      <c r="D374" s="9">
        <v>45846</v>
      </c>
      <c r="E374">
        <v>151</v>
      </c>
      <c r="F374" t="s">
        <v>103</v>
      </c>
      <c r="G374">
        <v>3</v>
      </c>
      <c r="H374" t="s">
        <v>78</v>
      </c>
      <c r="I374">
        <v>6</v>
      </c>
      <c r="J374">
        <v>0</v>
      </c>
      <c r="K374">
        <f>IF(Convert_to_Games[[#This Row],[Total Score]]&gt;9, 1, 0)</f>
        <v>0</v>
      </c>
      <c r="L374">
        <f>IF(Convert_to_Games[[#This Row],[DD]]=0, 0, IF(L373 = "Cons DD", Convert_to_Games[[#This Row],[DD]], L373+L373))</f>
        <v>0</v>
      </c>
    </row>
    <row r="375" spans="1:12">
      <c r="A375" t="s">
        <v>25</v>
      </c>
      <c r="B375" t="s">
        <v>19</v>
      </c>
      <c r="C375" t="s">
        <v>16</v>
      </c>
      <c r="D375" s="9">
        <v>45848</v>
      </c>
      <c r="E375">
        <v>158</v>
      </c>
      <c r="F375" t="s">
        <v>103</v>
      </c>
      <c r="G375">
        <v>3</v>
      </c>
      <c r="H375" t="s">
        <v>4</v>
      </c>
      <c r="I375">
        <v>6</v>
      </c>
      <c r="J375">
        <v>1</v>
      </c>
      <c r="K375">
        <f>IF(Convert_to_Games[[#This Row],[Total Score]]&gt;9, 1, 0)</f>
        <v>0</v>
      </c>
      <c r="L375">
        <f>IF(Convert_to_Games[[#This Row],[DD]]=0, 0, IF(L374 = "Cons DD", Convert_to_Games[[#This Row],[DD]], L374+L374))</f>
        <v>0</v>
      </c>
    </row>
    <row r="376" spans="1:12">
      <c r="A376" t="s">
        <v>25</v>
      </c>
      <c r="B376" t="s">
        <v>20</v>
      </c>
      <c r="C376" t="s">
        <v>16</v>
      </c>
      <c r="D376" s="9">
        <v>45849</v>
      </c>
      <c r="E376">
        <v>159</v>
      </c>
      <c r="F376" t="s">
        <v>103</v>
      </c>
      <c r="G376">
        <v>3</v>
      </c>
      <c r="H376" t="s">
        <v>78</v>
      </c>
      <c r="I376">
        <v>6</v>
      </c>
      <c r="J376">
        <v>0</v>
      </c>
      <c r="K376">
        <f>IF(Convert_to_Games[[#This Row],[Total Score]]&gt;9, 1, 0)</f>
        <v>0</v>
      </c>
      <c r="L376">
        <f>IF(Convert_to_Games[[#This Row],[DD]]=0, 0, IF(L375 = "Cons DD", Convert_to_Games[[#This Row],[DD]], L375+L375))</f>
        <v>0</v>
      </c>
    </row>
    <row r="377" spans="1:12">
      <c r="A377" t="s">
        <v>25</v>
      </c>
      <c r="B377" t="s">
        <v>20</v>
      </c>
      <c r="C377" t="s">
        <v>16</v>
      </c>
      <c r="D377" s="9">
        <v>45852</v>
      </c>
      <c r="E377">
        <v>162</v>
      </c>
      <c r="F377" t="s">
        <v>111</v>
      </c>
      <c r="G377">
        <v>3</v>
      </c>
      <c r="H377" t="s">
        <v>78</v>
      </c>
      <c r="I377">
        <v>6</v>
      </c>
      <c r="J377">
        <v>0</v>
      </c>
      <c r="K377">
        <f>IF(Convert_to_Games[[#This Row],[Total Score]]&gt;9, 1, 0)</f>
        <v>0</v>
      </c>
      <c r="L377">
        <f>IF(Convert_to_Games[[#This Row],[DD]]=0, 0, IF(L376 = "Cons DD", Convert_to_Games[[#This Row],[DD]], L376+L376))</f>
        <v>0</v>
      </c>
    </row>
    <row r="378" spans="1:12">
      <c r="A378" t="s">
        <v>25</v>
      </c>
      <c r="B378" t="s">
        <v>20</v>
      </c>
      <c r="C378" t="s">
        <v>16</v>
      </c>
      <c r="D378" s="9">
        <v>45852</v>
      </c>
      <c r="E378">
        <v>163</v>
      </c>
      <c r="F378" t="s">
        <v>103</v>
      </c>
      <c r="G378">
        <v>3</v>
      </c>
      <c r="H378" t="s">
        <v>4</v>
      </c>
      <c r="I378">
        <v>6</v>
      </c>
      <c r="J378">
        <v>0</v>
      </c>
      <c r="K378">
        <f>IF(Convert_to_Games[[#This Row],[Total Score]]&gt;9, 1, 0)</f>
        <v>0</v>
      </c>
      <c r="L378">
        <f>IF(Convert_to_Games[[#This Row],[DD]]=0, 0, IF(L377 = "Cons DD", Convert_to_Games[[#This Row],[DD]], L377+L377))</f>
        <v>0</v>
      </c>
    </row>
    <row r="379" spans="1:12">
      <c r="A379" t="s">
        <v>25</v>
      </c>
      <c r="B379" t="s">
        <v>20</v>
      </c>
      <c r="C379" t="s">
        <v>16</v>
      </c>
      <c r="D379" s="9">
        <v>45855</v>
      </c>
      <c r="E379">
        <v>171</v>
      </c>
      <c r="F379" t="s">
        <v>104</v>
      </c>
      <c r="G379">
        <v>3</v>
      </c>
      <c r="H379" t="s">
        <v>5</v>
      </c>
      <c r="I379">
        <v>6</v>
      </c>
      <c r="J379">
        <v>1</v>
      </c>
      <c r="K379">
        <f>IF(Convert_to_Games[[#This Row],[Total Score]]&gt;9, 1, 0)</f>
        <v>0</v>
      </c>
      <c r="L379">
        <f>IF(Convert_to_Games[[#This Row],[DD]]=0, 0, IF(L378 = "Cons DD", Convert_to_Games[[#This Row],[DD]], L378+L378))</f>
        <v>0</v>
      </c>
    </row>
    <row r="380" spans="1:12">
      <c r="A380" t="s">
        <v>25</v>
      </c>
      <c r="B380" t="s">
        <v>20</v>
      </c>
      <c r="C380" t="s">
        <v>16</v>
      </c>
      <c r="D380" s="9">
        <v>45860</v>
      </c>
      <c r="E380">
        <v>176</v>
      </c>
      <c r="F380" t="s">
        <v>11</v>
      </c>
      <c r="G380">
        <v>3</v>
      </c>
      <c r="H380" t="s">
        <v>5</v>
      </c>
      <c r="I380">
        <v>6</v>
      </c>
      <c r="J380">
        <v>0</v>
      </c>
      <c r="K380">
        <f>IF(Convert_to_Games[[#This Row],[Total Score]]&gt;9, 1, 0)</f>
        <v>0</v>
      </c>
      <c r="L380">
        <f>IF(Convert_to_Games[[#This Row],[DD]]=0, 0, IF(L379 = "Cons DD", Convert_to_Games[[#This Row],[DD]], L379+L379))</f>
        <v>0</v>
      </c>
    </row>
    <row r="381" spans="1:12">
      <c r="A381" t="s">
        <v>25</v>
      </c>
      <c r="B381" t="s">
        <v>20</v>
      </c>
      <c r="C381" t="s">
        <v>16</v>
      </c>
      <c r="D381" s="9">
        <v>45861</v>
      </c>
      <c r="E381">
        <v>179</v>
      </c>
      <c r="F381" t="s">
        <v>9</v>
      </c>
      <c r="G381">
        <v>3</v>
      </c>
      <c r="H381" t="s">
        <v>4</v>
      </c>
      <c r="I381">
        <v>6</v>
      </c>
      <c r="J381">
        <v>1</v>
      </c>
      <c r="K381">
        <f>IF(Convert_to_Games[[#This Row],[Total Score]]&gt;9, 1, 0)</f>
        <v>0</v>
      </c>
      <c r="L381">
        <f>IF(Convert_to_Games[[#This Row],[DD]]=0, 0, IF(L380 = "Cons DD", Convert_to_Games[[#This Row],[DD]], L380+L380))</f>
        <v>0</v>
      </c>
    </row>
    <row r="382" spans="1:12">
      <c r="A382" t="s">
        <v>25</v>
      </c>
      <c r="B382" t="s">
        <v>20</v>
      </c>
      <c r="C382" t="s">
        <v>16</v>
      </c>
      <c r="D382" s="9">
        <v>45868</v>
      </c>
      <c r="E382">
        <v>185</v>
      </c>
      <c r="F382" t="s">
        <v>11</v>
      </c>
      <c r="G382">
        <v>3</v>
      </c>
      <c r="H382" t="s">
        <v>5</v>
      </c>
      <c r="I382">
        <v>6</v>
      </c>
      <c r="J382">
        <v>0</v>
      </c>
      <c r="K382">
        <f>IF(Convert_to_Games[[#This Row],[Total Score]]&gt;9, 1, 0)</f>
        <v>0</v>
      </c>
      <c r="L382">
        <f>IF(Convert_to_Games[[#This Row],[DD]]=0, 0, IF(L381 = "Cons DD", Convert_to_Games[[#This Row],[DD]], L381+L381))</f>
        <v>0</v>
      </c>
    </row>
    <row r="383" spans="1:12">
      <c r="A383" t="s">
        <v>25</v>
      </c>
      <c r="B383" t="s">
        <v>20</v>
      </c>
      <c r="C383" t="s">
        <v>116</v>
      </c>
      <c r="D383" s="9">
        <v>45868</v>
      </c>
      <c r="E383">
        <v>188</v>
      </c>
      <c r="F383" t="s">
        <v>11</v>
      </c>
      <c r="G383">
        <v>3</v>
      </c>
      <c r="H383" t="s">
        <v>5</v>
      </c>
      <c r="I383">
        <v>6</v>
      </c>
      <c r="J383">
        <v>0</v>
      </c>
      <c r="K383">
        <f>IF(Convert_to_Games[[#This Row],[Total Score]]&gt;9, 1, 0)</f>
        <v>0</v>
      </c>
      <c r="L383">
        <f>IF(Convert_to_Games[[#This Row],[DD]]=0, 0, IF(L382 = "Cons DD", Convert_to_Games[[#This Row],[DD]], L382+L382))</f>
        <v>0</v>
      </c>
    </row>
    <row r="384" spans="1:12">
      <c r="A384" t="s">
        <v>25</v>
      </c>
      <c r="B384" t="s">
        <v>20</v>
      </c>
      <c r="C384" t="s">
        <v>116</v>
      </c>
      <c r="D384" s="9">
        <v>45869</v>
      </c>
      <c r="E384">
        <v>189</v>
      </c>
      <c r="F384" t="s">
        <v>9</v>
      </c>
      <c r="G384">
        <v>3</v>
      </c>
      <c r="H384" t="s">
        <v>5</v>
      </c>
      <c r="I384">
        <v>6</v>
      </c>
      <c r="J384">
        <v>0</v>
      </c>
      <c r="K384">
        <f>IF(Convert_to_Games[[#This Row],[Total Score]]&gt;9, 1, 0)</f>
        <v>0</v>
      </c>
      <c r="L384">
        <f>IF(Convert_to_Games[[#This Row],[DD]]=0, 0, IF(L383 = "Cons DD", Convert_to_Games[[#This Row],[DD]], L383+L383))</f>
        <v>0</v>
      </c>
    </row>
    <row r="385" spans="1:12">
      <c r="A385" t="s">
        <v>25</v>
      </c>
      <c r="B385" t="s">
        <v>20</v>
      </c>
      <c r="C385" t="s">
        <v>116</v>
      </c>
      <c r="D385" s="9">
        <v>45873</v>
      </c>
      <c r="E385">
        <v>195</v>
      </c>
      <c r="F385" t="s">
        <v>9</v>
      </c>
      <c r="G385">
        <v>3</v>
      </c>
      <c r="H385" t="s">
        <v>4</v>
      </c>
      <c r="I385">
        <v>6</v>
      </c>
      <c r="J385">
        <v>1</v>
      </c>
      <c r="K385">
        <f>IF(Convert_to_Games[[#This Row],[Total Score]]&gt;9, 1, 0)</f>
        <v>0</v>
      </c>
      <c r="L385">
        <f>IF(Convert_to_Games[[#This Row],[DD]]=0, 0, IF(L384 = "Cons DD", Convert_to_Games[[#This Row],[DD]], L384+L384))</f>
        <v>0</v>
      </c>
    </row>
    <row r="386" spans="1:12">
      <c r="A386" t="s">
        <v>25</v>
      </c>
      <c r="B386">
        <v>256</v>
      </c>
      <c r="C386" t="s">
        <v>116</v>
      </c>
      <c r="D386" s="9">
        <v>45880</v>
      </c>
      <c r="E386">
        <v>201</v>
      </c>
      <c r="F386" t="s">
        <v>9</v>
      </c>
      <c r="G386">
        <v>3</v>
      </c>
      <c r="H386" t="s">
        <v>5</v>
      </c>
      <c r="I386">
        <v>6</v>
      </c>
      <c r="J386">
        <v>0</v>
      </c>
      <c r="K386">
        <f>IF(Convert_to_Games[[#This Row],[Total Score]]&gt;9, 1, 0)</f>
        <v>0</v>
      </c>
      <c r="L386">
        <f>IF(Convert_to_Games[[#This Row],[DD]]=0, 0, IF(L385 = "Cons DD", Convert_to_Games[[#This Row],[DD]], L385+L385))</f>
        <v>0</v>
      </c>
    </row>
    <row r="387" spans="1:12">
      <c r="A387" t="s">
        <v>25</v>
      </c>
      <c r="B387">
        <v>256</v>
      </c>
      <c r="C387" t="s">
        <v>116</v>
      </c>
      <c r="D387" s="9">
        <v>45910</v>
      </c>
      <c r="E387">
        <v>217</v>
      </c>
      <c r="F387" t="s">
        <v>9</v>
      </c>
      <c r="G387">
        <v>3</v>
      </c>
      <c r="H387" t="s">
        <v>5</v>
      </c>
      <c r="I387">
        <v>6</v>
      </c>
      <c r="J387">
        <v>0</v>
      </c>
      <c r="K387">
        <f>IF(Convert_to_Games[[#This Row],[Total Score]]&gt;9, 1, 0)</f>
        <v>0</v>
      </c>
      <c r="L387">
        <f>IF(Convert_to_Games[[#This Row],[DD]]=0, 0, IF(L386 = "Cons DD", Convert_to_Games[[#This Row],[DD]], L386+L386))</f>
        <v>0</v>
      </c>
    </row>
    <row r="388" spans="1:12">
      <c r="A388" t="s">
        <v>25</v>
      </c>
      <c r="B388">
        <v>256</v>
      </c>
      <c r="C388" t="s">
        <v>116</v>
      </c>
      <c r="D388" s="9">
        <v>45917</v>
      </c>
      <c r="E388">
        <v>221</v>
      </c>
      <c r="F388" t="s">
        <v>11</v>
      </c>
      <c r="G388">
        <v>3</v>
      </c>
      <c r="H388" t="s">
        <v>5</v>
      </c>
      <c r="I388">
        <v>6</v>
      </c>
      <c r="J388">
        <v>0</v>
      </c>
      <c r="K388">
        <f>IF(Convert_to_Games[[#This Row],[Total Score]]&gt;9, 1, 0)</f>
        <v>0</v>
      </c>
      <c r="L388">
        <f>IF(Convert_to_Games[[#This Row],[DD]]=0, 0, IF(L387 = "Cons DD", Convert_to_Games[[#This Row],[DD]], L387+L387))</f>
        <v>0</v>
      </c>
    </row>
    <row r="389" spans="1:12">
      <c r="A389" t="s">
        <v>25</v>
      </c>
      <c r="B389">
        <v>256</v>
      </c>
      <c r="C389" t="s">
        <v>116</v>
      </c>
      <c r="D389" s="9">
        <v>45943</v>
      </c>
      <c r="E389">
        <v>232</v>
      </c>
      <c r="F389" t="s">
        <v>9</v>
      </c>
      <c r="G389">
        <v>3</v>
      </c>
      <c r="H389" t="s">
        <v>5</v>
      </c>
      <c r="I389">
        <v>6</v>
      </c>
      <c r="J389">
        <v>0</v>
      </c>
      <c r="K389">
        <f>IF(Convert_to_Games[[#This Row],[Total Score]]&gt;9, 1, 0)</f>
        <v>0</v>
      </c>
      <c r="L389">
        <f>IF(Convert_to_Games[[#This Row],[DD]]=0, 0, IF(L388 = "Cons DD", Convert_to_Games[[#This Row],[DD]], L388+L388))</f>
        <v>0</v>
      </c>
    </row>
    <row r="390" spans="1:12">
      <c r="A390" t="s">
        <v>25</v>
      </c>
      <c r="B390">
        <v>256</v>
      </c>
      <c r="C390" t="s">
        <v>116</v>
      </c>
      <c r="D390" s="9">
        <v>45973</v>
      </c>
      <c r="E390">
        <v>240</v>
      </c>
      <c r="F390" t="s">
        <v>57</v>
      </c>
      <c r="G390">
        <v>3</v>
      </c>
      <c r="H390" t="s">
        <v>6</v>
      </c>
      <c r="I390">
        <v>6</v>
      </c>
      <c r="J390">
        <v>0</v>
      </c>
      <c r="K390">
        <f>IF(Convert_to_Games[[#This Row],[Total Score]]&gt;9, 1, 0)</f>
        <v>0</v>
      </c>
      <c r="L390">
        <f>IF(Convert_to_Games[[#This Row],[DD]]=0, 0, IF(L389 = "Cons DD", Convert_to_Games[[#This Row],[DD]], L389+L389))</f>
        <v>0</v>
      </c>
    </row>
    <row r="391" spans="1:12">
      <c r="A391" t="s">
        <v>25</v>
      </c>
      <c r="B391">
        <v>256</v>
      </c>
      <c r="C391" t="s">
        <v>116</v>
      </c>
      <c r="D391" s="9">
        <v>45979</v>
      </c>
      <c r="E391">
        <v>241</v>
      </c>
      <c r="F391" t="s">
        <v>118</v>
      </c>
      <c r="G391">
        <v>3</v>
      </c>
      <c r="H391" t="s">
        <v>5</v>
      </c>
      <c r="I391">
        <v>6</v>
      </c>
      <c r="J391">
        <v>0</v>
      </c>
      <c r="K391">
        <f>IF(Convert_to_Games[[#This Row],[Total Score]]&gt;9, 1, 0)</f>
        <v>0</v>
      </c>
      <c r="L391">
        <f>IF(Convert_to_Games[[#This Row],[DD]]=0, 0, IF(L390 = "Cons DD", Convert_to_Games[[#This Row],[DD]], L390+L390))</f>
        <v>0</v>
      </c>
    </row>
    <row r="392" spans="1:12">
      <c r="A392" t="s">
        <v>25</v>
      </c>
      <c r="B392">
        <v>256</v>
      </c>
      <c r="C392" t="s">
        <v>116</v>
      </c>
      <c r="D392" s="9">
        <v>45995</v>
      </c>
      <c r="E392">
        <v>247</v>
      </c>
      <c r="F392" t="s">
        <v>11</v>
      </c>
      <c r="G392">
        <v>3</v>
      </c>
      <c r="H392" t="s">
        <v>5</v>
      </c>
      <c r="I392">
        <v>6</v>
      </c>
      <c r="J392">
        <v>0</v>
      </c>
      <c r="K392">
        <f>IF(Convert_to_Games[[#This Row],[Total Score]]&gt;9, 1, 0)</f>
        <v>0</v>
      </c>
      <c r="L392">
        <f>IF(Convert_to_Games[[#This Row],[DD]]=0, 0, IF(L391 = "Cons DD", Convert_to_Games[[#This Row],[DD]], L391+L391))</f>
        <v>0</v>
      </c>
    </row>
    <row r="393" spans="1:12">
      <c r="A393" t="s">
        <v>25</v>
      </c>
      <c r="B393">
        <v>256</v>
      </c>
      <c r="C393" t="s">
        <v>116</v>
      </c>
      <c r="D393" s="9">
        <v>45996</v>
      </c>
      <c r="E393">
        <v>248</v>
      </c>
      <c r="F393" t="s">
        <v>11</v>
      </c>
      <c r="G393">
        <v>3</v>
      </c>
      <c r="H393" t="s">
        <v>5</v>
      </c>
      <c r="I393">
        <v>6</v>
      </c>
      <c r="J393">
        <v>0</v>
      </c>
      <c r="K393">
        <f>IF(Convert_to_Games[[#This Row],[Total Score]]&gt;9, 1, 0)</f>
        <v>0</v>
      </c>
      <c r="L393">
        <f>IF(Convert_to_Games[[#This Row],[DD]]=0, 0, IF(L392 = "Cons DD", Convert_to_Games[[#This Row],[DD]], L392+L392))</f>
        <v>0</v>
      </c>
    </row>
    <row r="394" spans="1:12">
      <c r="A394" t="s">
        <v>25</v>
      </c>
      <c r="B394">
        <v>256</v>
      </c>
      <c r="C394" t="s">
        <v>116</v>
      </c>
      <c r="D394" s="9">
        <v>46055</v>
      </c>
      <c r="E394">
        <v>258</v>
      </c>
      <c r="F394" t="s">
        <v>11</v>
      </c>
      <c r="G394">
        <v>3</v>
      </c>
      <c r="H394" t="s">
        <v>5</v>
      </c>
      <c r="I394">
        <v>6</v>
      </c>
      <c r="J394">
        <v>0</v>
      </c>
      <c r="K394">
        <f>IF(Convert_to_Games[[#This Row],[Total Score]]&gt;9, 1, 0)</f>
        <v>0</v>
      </c>
      <c r="L394">
        <f>IF(Convert_to_Games[[#This Row],[DD]]=0, 0, IF(L393 = "Cons DD", Convert_to_Games[[#This Row],[DD]], L393+L393))</f>
        <v>0</v>
      </c>
    </row>
    <row r="395" spans="1:12">
      <c r="A395" t="s">
        <v>25</v>
      </c>
      <c r="B395">
        <v>256</v>
      </c>
      <c r="C395" t="s">
        <v>116</v>
      </c>
      <c r="D395" s="9">
        <v>46063</v>
      </c>
      <c r="E395">
        <v>262</v>
      </c>
      <c r="F395" t="s">
        <v>9</v>
      </c>
      <c r="G395">
        <v>3</v>
      </c>
      <c r="H395" t="s">
        <v>5</v>
      </c>
      <c r="I395">
        <v>6</v>
      </c>
      <c r="J395">
        <v>0</v>
      </c>
      <c r="K395">
        <f>IF(Convert_to_Games[[#This Row],[Total Score]]&gt;9, 1, 0)</f>
        <v>0</v>
      </c>
      <c r="L395">
        <f>IF(Convert_to_Games[[#This Row],[DD]]=0, 0, IF(L394 = "Cons DD", Convert_to_Games[[#This Row],[DD]], L394+L394))</f>
        <v>0</v>
      </c>
    </row>
    <row r="396" spans="1:12">
      <c r="A396" t="s">
        <v>25</v>
      </c>
      <c r="B396">
        <v>256</v>
      </c>
      <c r="C396" t="s">
        <v>116</v>
      </c>
      <c r="D396" s="9">
        <v>46086</v>
      </c>
      <c r="E396">
        <v>270</v>
      </c>
      <c r="F396" t="s">
        <v>117</v>
      </c>
      <c r="G396">
        <v>3</v>
      </c>
      <c r="H396" t="s">
        <v>23</v>
      </c>
      <c r="I396">
        <v>6</v>
      </c>
      <c r="J396">
        <v>0</v>
      </c>
      <c r="K396">
        <f>IF(Convert_to_Games[[#This Row],[Total Score]]&gt;9, 1, 0)</f>
        <v>0</v>
      </c>
      <c r="L396">
        <f>IF(Convert_to_Games[[#This Row],[DD]]=0, 0, IF(L395 = "Cons DD", Convert_to_Games[[#This Row],[DD]], L395+L395))</f>
        <v>0</v>
      </c>
    </row>
    <row r="397" spans="1:12">
      <c r="A397" t="s">
        <v>25</v>
      </c>
      <c r="B397">
        <v>256</v>
      </c>
      <c r="C397" t="s">
        <v>116</v>
      </c>
      <c r="D397" s="9">
        <v>46132</v>
      </c>
      <c r="E397">
        <v>283</v>
      </c>
      <c r="F397" t="s">
        <v>11</v>
      </c>
      <c r="G397">
        <v>4</v>
      </c>
      <c r="H397" t="s">
        <v>5</v>
      </c>
      <c r="I397">
        <v>6</v>
      </c>
      <c r="J397">
        <v>0</v>
      </c>
      <c r="K397">
        <f>IF(Convert_to_Games[[#This Row],[Total Score]]&gt;9, 1, 0)</f>
        <v>0</v>
      </c>
      <c r="L397">
        <f>IF(Convert_to_Games[[#This Row],[DD]]=0, 0, IF(L396 = "Cons DD", Convert_to_Games[[#This Row],[DD]], L396+L396))</f>
        <v>0</v>
      </c>
    </row>
    <row r="398" spans="1:12">
      <c r="A398" t="s">
        <v>25</v>
      </c>
      <c r="B398" t="s">
        <v>20</v>
      </c>
      <c r="C398" t="s">
        <v>18</v>
      </c>
      <c r="D398" s="9">
        <v>45712</v>
      </c>
      <c r="E398">
        <v>7</v>
      </c>
      <c r="F398" t="s">
        <v>11</v>
      </c>
      <c r="G398">
        <v>3</v>
      </c>
      <c r="H398" t="s">
        <v>4</v>
      </c>
      <c r="I398">
        <v>5</v>
      </c>
      <c r="J398">
        <v>0</v>
      </c>
      <c r="K398">
        <f>IF(Convert_to_Games[[#This Row],[Total Score]]&gt;9, 1, 0)</f>
        <v>0</v>
      </c>
      <c r="L398">
        <f>IF(Convert_to_Games[[#This Row],[DD]]=0, 0, IF(L397 = "Cons DD", Convert_to_Games[[#This Row],[DD]], L397+L397))</f>
        <v>0</v>
      </c>
    </row>
    <row r="399" spans="1:12">
      <c r="A399" t="s">
        <v>25</v>
      </c>
      <c r="B399" t="s">
        <v>20</v>
      </c>
      <c r="C399" t="s">
        <v>16</v>
      </c>
      <c r="D399" s="9">
        <v>45714</v>
      </c>
      <c r="E399">
        <v>11</v>
      </c>
      <c r="F399" t="s">
        <v>12</v>
      </c>
      <c r="G399">
        <v>3</v>
      </c>
      <c r="H399" t="s">
        <v>5</v>
      </c>
      <c r="I399">
        <v>5</v>
      </c>
      <c r="J399">
        <v>0</v>
      </c>
      <c r="K399">
        <f>IF(Convert_to_Games[[#This Row],[Total Score]]&gt;9, 1, 0)</f>
        <v>0</v>
      </c>
      <c r="L399">
        <f>IF(Convert_to_Games[[#This Row],[DD]]=0, 0, IF(L398 = "Cons DD", Convert_to_Games[[#This Row],[DD]], L398+L398))</f>
        <v>0</v>
      </c>
    </row>
    <row r="400" spans="1:12">
      <c r="A400" t="s">
        <v>25</v>
      </c>
      <c r="B400" t="s">
        <v>20</v>
      </c>
      <c r="C400" t="s">
        <v>16</v>
      </c>
      <c r="D400" s="9">
        <v>45716</v>
      </c>
      <c r="E400">
        <v>15</v>
      </c>
      <c r="F400" t="s">
        <v>11</v>
      </c>
      <c r="G400">
        <v>3</v>
      </c>
      <c r="H400" t="s">
        <v>4</v>
      </c>
      <c r="I400">
        <v>5</v>
      </c>
      <c r="J400">
        <v>1</v>
      </c>
      <c r="K400">
        <f>IF(Convert_to_Games[[#This Row],[Total Score]]&gt;9, 1, 0)</f>
        <v>0</v>
      </c>
      <c r="L400">
        <f>IF(Convert_to_Games[[#This Row],[DD]]=0, 0, IF(L399 = "Cons DD", Convert_to_Games[[#This Row],[DD]], L399+L399))</f>
        <v>0</v>
      </c>
    </row>
    <row r="401" spans="1:12">
      <c r="A401" t="s">
        <v>25</v>
      </c>
      <c r="B401" t="s">
        <v>20</v>
      </c>
      <c r="C401" t="s">
        <v>16</v>
      </c>
      <c r="D401" s="9">
        <v>45720</v>
      </c>
      <c r="E401">
        <v>16</v>
      </c>
      <c r="F401" t="s">
        <v>14</v>
      </c>
      <c r="G401">
        <v>3</v>
      </c>
      <c r="H401" t="s">
        <v>7</v>
      </c>
      <c r="I401">
        <v>5</v>
      </c>
      <c r="J401">
        <v>0</v>
      </c>
      <c r="K401">
        <f>IF(Convert_to_Games[[#This Row],[Total Score]]&gt;9, 1, 0)</f>
        <v>0</v>
      </c>
      <c r="L401">
        <f>IF(Convert_to_Games[[#This Row],[DD]]=0, 0, IF(L400 = "Cons DD", Convert_to_Games[[#This Row],[DD]], L400+L400))</f>
        <v>0</v>
      </c>
    </row>
    <row r="402" spans="1:12">
      <c r="A402" t="s">
        <v>25</v>
      </c>
      <c r="B402" t="s">
        <v>20</v>
      </c>
      <c r="C402" t="s">
        <v>17</v>
      </c>
      <c r="D402" s="9">
        <v>45722</v>
      </c>
      <c r="E402">
        <v>19</v>
      </c>
      <c r="F402" t="s">
        <v>9</v>
      </c>
      <c r="G402">
        <v>3</v>
      </c>
      <c r="H402" t="s">
        <v>4</v>
      </c>
      <c r="I402">
        <v>5</v>
      </c>
      <c r="J402">
        <v>0</v>
      </c>
      <c r="K402">
        <f>IF(Convert_to_Games[[#This Row],[Total Score]]&gt;9, 1, 0)</f>
        <v>0</v>
      </c>
      <c r="L402">
        <f>IF(Convert_to_Games[[#This Row],[DD]]=0, 0, IF(L401 = "Cons DD", Convert_to_Games[[#This Row],[DD]], L401+L401))</f>
        <v>0</v>
      </c>
    </row>
    <row r="403" spans="1:12">
      <c r="A403" t="s">
        <v>25</v>
      </c>
      <c r="B403" t="s">
        <v>20</v>
      </c>
      <c r="C403" t="s">
        <v>16</v>
      </c>
      <c r="D403" s="9">
        <v>45744</v>
      </c>
      <c r="E403">
        <v>29</v>
      </c>
      <c r="F403" t="s">
        <v>9</v>
      </c>
      <c r="G403">
        <v>3</v>
      </c>
      <c r="H403" t="s">
        <v>4</v>
      </c>
      <c r="I403">
        <v>5</v>
      </c>
      <c r="J403">
        <v>0</v>
      </c>
      <c r="K403">
        <f>IF(Convert_to_Games[[#This Row],[Total Score]]&gt;9, 1, 0)</f>
        <v>0</v>
      </c>
      <c r="L403">
        <f>IF(Convert_to_Games[[#This Row],[DD]]=0, 0, IF(L402 = "Cons DD", Convert_to_Games[[#This Row],[DD]], L402+L402))</f>
        <v>0</v>
      </c>
    </row>
    <row r="404" spans="1:12">
      <c r="A404" t="s">
        <v>25</v>
      </c>
      <c r="B404" t="s">
        <v>20</v>
      </c>
      <c r="C404" t="s">
        <v>16</v>
      </c>
      <c r="D404" s="9">
        <v>45748</v>
      </c>
      <c r="E404">
        <v>31</v>
      </c>
      <c r="F404" t="s">
        <v>11</v>
      </c>
      <c r="G404">
        <v>3</v>
      </c>
      <c r="H404" t="s">
        <v>5</v>
      </c>
      <c r="I404">
        <v>5</v>
      </c>
      <c r="J404">
        <v>0</v>
      </c>
      <c r="K404">
        <f>IF(Convert_to_Games[[#This Row],[Total Score]]&gt;9, 1, 0)</f>
        <v>0</v>
      </c>
      <c r="L404">
        <f>IF(Convert_to_Games[[#This Row],[DD]]=0, 0, IF(L403 = "Cons DD", Convert_to_Games[[#This Row],[DD]], L403+L403))</f>
        <v>0</v>
      </c>
    </row>
    <row r="405" spans="1:12">
      <c r="A405" t="s">
        <v>25</v>
      </c>
      <c r="B405" t="s">
        <v>19</v>
      </c>
      <c r="C405" t="s">
        <v>16</v>
      </c>
      <c r="D405" s="9">
        <v>45749</v>
      </c>
      <c r="E405">
        <v>32</v>
      </c>
      <c r="F405" t="s">
        <v>9</v>
      </c>
      <c r="G405">
        <v>3</v>
      </c>
      <c r="H405" t="s">
        <v>5</v>
      </c>
      <c r="I405">
        <v>5</v>
      </c>
      <c r="J405">
        <v>1</v>
      </c>
      <c r="K405">
        <f>IF(Convert_to_Games[[#This Row],[Total Score]]&gt;9, 1, 0)</f>
        <v>0</v>
      </c>
      <c r="L405">
        <f>IF(Convert_to_Games[[#This Row],[DD]]=0, 0, IF(L404 = "Cons DD", Convert_to_Games[[#This Row],[DD]], L404+L404))</f>
        <v>0</v>
      </c>
    </row>
    <row r="406" spans="1:12">
      <c r="A406" t="s">
        <v>25</v>
      </c>
      <c r="B406" t="s">
        <v>19</v>
      </c>
      <c r="C406" t="s">
        <v>16</v>
      </c>
      <c r="D406" s="9">
        <v>45749</v>
      </c>
      <c r="E406">
        <v>33</v>
      </c>
      <c r="F406" t="s">
        <v>9</v>
      </c>
      <c r="G406">
        <v>3</v>
      </c>
      <c r="H406" t="s">
        <v>5</v>
      </c>
      <c r="I406">
        <v>5</v>
      </c>
      <c r="J406">
        <v>1</v>
      </c>
      <c r="K406">
        <f>IF(Convert_to_Games[[#This Row],[Total Score]]&gt;9, 1, 0)</f>
        <v>0</v>
      </c>
      <c r="L406">
        <f>IF(Convert_to_Games[[#This Row],[DD]]=0, 0, IF(L405 = "Cons DD", Convert_to_Games[[#This Row],[DD]], L405+L405))</f>
        <v>0</v>
      </c>
    </row>
    <row r="407" spans="1:12">
      <c r="A407" t="s">
        <v>25</v>
      </c>
      <c r="B407" t="s">
        <v>19</v>
      </c>
      <c r="C407" t="s">
        <v>16</v>
      </c>
      <c r="D407" s="9">
        <v>45757</v>
      </c>
      <c r="E407">
        <v>42</v>
      </c>
      <c r="F407" t="s">
        <v>9</v>
      </c>
      <c r="G407">
        <v>3</v>
      </c>
      <c r="H407" t="s">
        <v>4</v>
      </c>
      <c r="I407">
        <v>5</v>
      </c>
      <c r="J407">
        <v>0</v>
      </c>
      <c r="K407">
        <f>IF(Convert_to_Games[[#This Row],[Total Score]]&gt;9, 1, 0)</f>
        <v>0</v>
      </c>
      <c r="L407">
        <f>IF(Convert_to_Games[[#This Row],[DD]]=0, 0, IF(L406 = "Cons DD", Convert_to_Games[[#This Row],[DD]], L406+L406))</f>
        <v>0</v>
      </c>
    </row>
    <row r="408" spans="1:12">
      <c r="A408" t="s">
        <v>25</v>
      </c>
      <c r="B408" t="s">
        <v>20</v>
      </c>
      <c r="C408" t="s">
        <v>16</v>
      </c>
      <c r="D408" s="9">
        <v>45762</v>
      </c>
      <c r="E408">
        <v>44</v>
      </c>
      <c r="F408" t="s">
        <v>24</v>
      </c>
      <c r="G408">
        <v>3</v>
      </c>
      <c r="H408" t="s">
        <v>5</v>
      </c>
      <c r="I408">
        <v>5</v>
      </c>
      <c r="J408">
        <v>0</v>
      </c>
      <c r="K408">
        <f>IF(Convert_to_Games[[#This Row],[Total Score]]&gt;9, 1, 0)</f>
        <v>0</v>
      </c>
      <c r="L408">
        <f>IF(Convert_to_Games[[#This Row],[DD]]=0, 0, IF(L407 = "Cons DD", Convert_to_Games[[#This Row],[DD]], L407+L407))</f>
        <v>0</v>
      </c>
    </row>
    <row r="409" spans="1:12">
      <c r="A409" t="s">
        <v>25</v>
      </c>
      <c r="B409" t="s">
        <v>20</v>
      </c>
      <c r="C409" t="s">
        <v>16</v>
      </c>
      <c r="D409" s="9">
        <v>45763</v>
      </c>
      <c r="E409">
        <v>50</v>
      </c>
      <c r="F409" t="s">
        <v>11</v>
      </c>
      <c r="G409">
        <v>3</v>
      </c>
      <c r="H409" t="s">
        <v>5</v>
      </c>
      <c r="I409">
        <v>5</v>
      </c>
      <c r="J409">
        <v>1</v>
      </c>
      <c r="K409">
        <f>IF(Convert_to_Games[[#This Row],[Total Score]]&gt;9, 1, 0)</f>
        <v>0</v>
      </c>
      <c r="L409">
        <f>IF(Convert_to_Games[[#This Row],[DD]]=0, 0, IF(L408 = "Cons DD", Convert_to_Games[[#This Row],[DD]], L408+L408))</f>
        <v>0</v>
      </c>
    </row>
    <row r="410" spans="1:12">
      <c r="A410" t="s">
        <v>25</v>
      </c>
      <c r="B410" t="s">
        <v>20</v>
      </c>
      <c r="C410" t="s">
        <v>16</v>
      </c>
      <c r="D410" s="9">
        <v>45763</v>
      </c>
      <c r="E410">
        <v>52</v>
      </c>
      <c r="F410" t="s">
        <v>11</v>
      </c>
      <c r="G410">
        <v>3</v>
      </c>
      <c r="H410" t="s">
        <v>5</v>
      </c>
      <c r="I410">
        <v>5</v>
      </c>
      <c r="J410">
        <v>0</v>
      </c>
      <c r="K410">
        <f>IF(Convert_to_Games[[#This Row],[Total Score]]&gt;9, 1, 0)</f>
        <v>0</v>
      </c>
      <c r="L410">
        <f>IF(Convert_to_Games[[#This Row],[DD]]=0, 0, IF(L409 = "Cons DD", Convert_to_Games[[#This Row],[DD]], L409+L409))</f>
        <v>0</v>
      </c>
    </row>
    <row r="411" spans="1:12">
      <c r="A411" t="s">
        <v>25</v>
      </c>
      <c r="B411" t="s">
        <v>20</v>
      </c>
      <c r="C411" t="s">
        <v>16</v>
      </c>
      <c r="D411" s="9">
        <v>45768</v>
      </c>
      <c r="E411">
        <v>57</v>
      </c>
      <c r="F411" t="s">
        <v>30</v>
      </c>
      <c r="G411">
        <v>3</v>
      </c>
      <c r="H411" t="s">
        <v>4</v>
      </c>
      <c r="I411">
        <v>5</v>
      </c>
      <c r="J411">
        <v>0</v>
      </c>
      <c r="K411">
        <f>IF(Convert_to_Games[[#This Row],[Total Score]]&gt;9, 1, 0)</f>
        <v>0</v>
      </c>
      <c r="L411">
        <f>IF(Convert_to_Games[[#This Row],[DD]]=0, 0, IF(L410 = "Cons DD", Convert_to_Games[[#This Row],[DD]], L410+L410))</f>
        <v>0</v>
      </c>
    </row>
    <row r="412" spans="1:12">
      <c r="A412" t="s">
        <v>25</v>
      </c>
      <c r="B412" t="s">
        <v>20</v>
      </c>
      <c r="C412" t="s">
        <v>16</v>
      </c>
      <c r="D412" s="9">
        <v>45769</v>
      </c>
      <c r="E412">
        <v>60</v>
      </c>
      <c r="F412" t="s">
        <v>9</v>
      </c>
      <c r="G412">
        <v>3</v>
      </c>
      <c r="H412" t="s">
        <v>4</v>
      </c>
      <c r="I412">
        <v>5</v>
      </c>
      <c r="J412">
        <v>0</v>
      </c>
      <c r="K412">
        <f>IF(Convert_to_Games[[#This Row],[Total Score]]&gt;9, 1, 0)</f>
        <v>0</v>
      </c>
      <c r="L412">
        <f>IF(Convert_to_Games[[#This Row],[DD]]=0, 0, IF(L411 = "Cons DD", Convert_to_Games[[#This Row],[DD]], L411+L411))</f>
        <v>0</v>
      </c>
    </row>
    <row r="413" spans="1:12">
      <c r="A413" t="s">
        <v>25</v>
      </c>
      <c r="B413" t="s">
        <v>20</v>
      </c>
      <c r="C413" t="s">
        <v>16</v>
      </c>
      <c r="D413" s="9">
        <v>45771</v>
      </c>
      <c r="E413">
        <v>69</v>
      </c>
      <c r="F413" t="s">
        <v>8</v>
      </c>
      <c r="G413">
        <v>3</v>
      </c>
      <c r="H413" t="s">
        <v>5</v>
      </c>
      <c r="I413">
        <v>5</v>
      </c>
      <c r="J413">
        <v>0</v>
      </c>
      <c r="K413">
        <f>IF(Convert_to_Games[[#This Row],[Total Score]]&gt;9, 1, 0)</f>
        <v>0</v>
      </c>
      <c r="L413">
        <f>IF(Convert_to_Games[[#This Row],[DD]]=0, 0, IF(L412 = "Cons DD", Convert_to_Games[[#This Row],[DD]], L412+L412))</f>
        <v>0</v>
      </c>
    </row>
    <row r="414" spans="1:12">
      <c r="A414" t="s">
        <v>25</v>
      </c>
      <c r="B414" t="s">
        <v>20</v>
      </c>
      <c r="C414" t="s">
        <v>16</v>
      </c>
      <c r="D414" s="9">
        <v>45776</v>
      </c>
      <c r="E414">
        <v>76</v>
      </c>
      <c r="F414" t="s">
        <v>9</v>
      </c>
      <c r="G414">
        <v>3</v>
      </c>
      <c r="H414" t="s">
        <v>4</v>
      </c>
      <c r="I414">
        <v>5</v>
      </c>
      <c r="J414">
        <v>1</v>
      </c>
      <c r="K414">
        <f>IF(Convert_to_Games[[#This Row],[Total Score]]&gt;9, 1, 0)</f>
        <v>0</v>
      </c>
      <c r="L414">
        <f>IF(Convert_to_Games[[#This Row],[DD]]=0, 0, IF(L413 = "Cons DD", Convert_to_Games[[#This Row],[DD]], L413+L413))</f>
        <v>0</v>
      </c>
    </row>
    <row r="415" spans="1:12">
      <c r="A415" t="s">
        <v>25</v>
      </c>
      <c r="B415" t="s">
        <v>20</v>
      </c>
      <c r="C415" t="s">
        <v>16</v>
      </c>
      <c r="D415" s="9">
        <v>45776</v>
      </c>
      <c r="E415">
        <v>77</v>
      </c>
      <c r="F415" t="s">
        <v>57</v>
      </c>
      <c r="G415">
        <v>3</v>
      </c>
      <c r="H415" t="s">
        <v>5</v>
      </c>
      <c r="I415">
        <v>5</v>
      </c>
      <c r="J415">
        <v>0</v>
      </c>
      <c r="K415">
        <f>IF(Convert_to_Games[[#This Row],[Total Score]]&gt;9, 1, 0)</f>
        <v>0</v>
      </c>
      <c r="L415">
        <f>IF(Convert_to_Games[[#This Row],[DD]]=0, 0, IF(L414 = "Cons DD", Convert_to_Games[[#This Row],[DD]], L414+L414))</f>
        <v>0</v>
      </c>
    </row>
    <row r="416" spans="1:12">
      <c r="A416" t="s">
        <v>25</v>
      </c>
      <c r="B416" t="s">
        <v>20</v>
      </c>
      <c r="C416" t="s">
        <v>16</v>
      </c>
      <c r="D416" s="9">
        <v>45776</v>
      </c>
      <c r="E416">
        <v>79</v>
      </c>
      <c r="F416" t="s">
        <v>59</v>
      </c>
      <c r="G416">
        <v>3</v>
      </c>
      <c r="H416" t="s">
        <v>7</v>
      </c>
      <c r="I416">
        <v>5</v>
      </c>
      <c r="J416">
        <v>0</v>
      </c>
      <c r="K416">
        <f>IF(Convert_to_Games[[#This Row],[Total Score]]&gt;9, 1, 0)</f>
        <v>0</v>
      </c>
      <c r="L416">
        <f>IF(Convert_to_Games[[#This Row],[DD]]=0, 0, IF(L415 = "Cons DD", Convert_to_Games[[#This Row],[DD]], L415+L415))</f>
        <v>0</v>
      </c>
    </row>
    <row r="417" spans="1:12">
      <c r="A417" t="s">
        <v>25</v>
      </c>
      <c r="B417" t="s">
        <v>21</v>
      </c>
      <c r="C417" t="s">
        <v>16</v>
      </c>
      <c r="D417" s="9">
        <v>45777</v>
      </c>
      <c r="E417">
        <v>82</v>
      </c>
      <c r="F417" t="s">
        <v>62</v>
      </c>
      <c r="G417">
        <v>3</v>
      </c>
      <c r="H417" t="s">
        <v>5</v>
      </c>
      <c r="I417">
        <v>5</v>
      </c>
      <c r="J417">
        <v>0</v>
      </c>
      <c r="K417">
        <f>IF(Convert_to_Games[[#This Row],[Total Score]]&gt;9, 1, 0)</f>
        <v>0</v>
      </c>
      <c r="L417">
        <f>IF(Convert_to_Games[[#This Row],[DD]]=0, 0, IF(L416 = "Cons DD", Convert_to_Games[[#This Row],[DD]], L416+L416))</f>
        <v>0</v>
      </c>
    </row>
    <row r="418" spans="1:12">
      <c r="A418" t="s">
        <v>25</v>
      </c>
      <c r="B418" t="s">
        <v>20</v>
      </c>
      <c r="C418" t="s">
        <v>16</v>
      </c>
      <c r="D418" s="9">
        <v>45777</v>
      </c>
      <c r="E418">
        <v>83</v>
      </c>
      <c r="F418" t="s">
        <v>11</v>
      </c>
      <c r="G418">
        <v>3</v>
      </c>
      <c r="H418" t="s">
        <v>5</v>
      </c>
      <c r="I418">
        <v>5</v>
      </c>
      <c r="J418">
        <v>0</v>
      </c>
      <c r="K418">
        <f>IF(Convert_to_Games[[#This Row],[Total Score]]&gt;9, 1, 0)</f>
        <v>0</v>
      </c>
      <c r="L418">
        <f>IF(Convert_to_Games[[#This Row],[DD]]=0, 0, IF(L417 = "Cons DD", Convert_to_Games[[#This Row],[DD]], L417+L417))</f>
        <v>0</v>
      </c>
    </row>
    <row r="419" spans="1:12">
      <c r="A419" t="s">
        <v>25</v>
      </c>
      <c r="B419" t="s">
        <v>20</v>
      </c>
      <c r="C419" t="s">
        <v>16</v>
      </c>
      <c r="D419" s="9">
        <v>45778</v>
      </c>
      <c r="E419">
        <v>84</v>
      </c>
      <c r="F419" t="s">
        <v>9</v>
      </c>
      <c r="G419">
        <v>3</v>
      </c>
      <c r="H419" t="s">
        <v>5</v>
      </c>
      <c r="I419">
        <v>5</v>
      </c>
      <c r="J419">
        <v>0</v>
      </c>
      <c r="K419">
        <f>IF(Convert_to_Games[[#This Row],[Total Score]]&gt;9, 1, 0)</f>
        <v>0</v>
      </c>
      <c r="L419">
        <f>IF(Convert_to_Games[[#This Row],[DD]]=0, 0, IF(L418 = "Cons DD", Convert_to_Games[[#This Row],[DD]], L418+L418))</f>
        <v>0</v>
      </c>
    </row>
    <row r="420" spans="1:12">
      <c r="A420" t="s">
        <v>25</v>
      </c>
      <c r="B420" t="s">
        <v>20</v>
      </c>
      <c r="C420" t="s">
        <v>16</v>
      </c>
      <c r="D420" s="9">
        <v>45790</v>
      </c>
      <c r="E420">
        <v>96</v>
      </c>
      <c r="F420" t="s">
        <v>9</v>
      </c>
      <c r="G420">
        <v>3</v>
      </c>
      <c r="H420" t="s">
        <v>4</v>
      </c>
      <c r="I420">
        <v>5</v>
      </c>
      <c r="J420">
        <v>1</v>
      </c>
      <c r="K420">
        <f>IF(Convert_to_Games[[#This Row],[Total Score]]&gt;9, 1, 0)</f>
        <v>0</v>
      </c>
      <c r="L420">
        <f>IF(Convert_to_Games[[#This Row],[DD]]=0, 0, IF(L419 = "Cons DD", Convert_to_Games[[#This Row],[DD]], L419+L419))</f>
        <v>0</v>
      </c>
    </row>
    <row r="421" spans="1:12">
      <c r="A421" t="s">
        <v>25</v>
      </c>
      <c r="B421" t="s">
        <v>20</v>
      </c>
      <c r="C421" t="s">
        <v>16</v>
      </c>
      <c r="D421" s="9">
        <v>45790</v>
      </c>
      <c r="E421">
        <v>97</v>
      </c>
      <c r="F421" t="s">
        <v>11</v>
      </c>
      <c r="G421">
        <v>4</v>
      </c>
      <c r="H421" t="s">
        <v>5</v>
      </c>
      <c r="I421">
        <v>5</v>
      </c>
      <c r="J421">
        <v>0</v>
      </c>
      <c r="K421">
        <f>IF(Convert_to_Games[[#This Row],[Total Score]]&gt;9, 1, 0)</f>
        <v>0</v>
      </c>
      <c r="L421">
        <f>IF(Convert_to_Games[[#This Row],[DD]]=0, 0, IF(L420 = "Cons DD", Convert_to_Games[[#This Row],[DD]], L420+L420))</f>
        <v>0</v>
      </c>
    </row>
    <row r="422" spans="1:12">
      <c r="A422" t="s">
        <v>25</v>
      </c>
      <c r="B422" t="s">
        <v>20</v>
      </c>
      <c r="C422" t="s">
        <v>16</v>
      </c>
      <c r="D422" s="9">
        <v>45791</v>
      </c>
      <c r="E422">
        <v>99</v>
      </c>
      <c r="F422" t="s">
        <v>70</v>
      </c>
      <c r="G422">
        <v>3</v>
      </c>
      <c r="H422" t="s">
        <v>7</v>
      </c>
      <c r="I422">
        <v>5</v>
      </c>
      <c r="J422">
        <v>0</v>
      </c>
      <c r="K422">
        <f>IF(Convert_to_Games[[#This Row],[Total Score]]&gt;9, 1, 0)</f>
        <v>0</v>
      </c>
      <c r="L422">
        <f>IF(Convert_to_Games[[#This Row],[DD]]=0, 0, IF(L421 = "Cons DD", Convert_to_Games[[#This Row],[DD]], L421+L421))</f>
        <v>0</v>
      </c>
    </row>
    <row r="423" spans="1:12">
      <c r="A423" t="s">
        <v>25</v>
      </c>
      <c r="B423" t="s">
        <v>20</v>
      </c>
      <c r="C423" t="s">
        <v>16</v>
      </c>
      <c r="D423" s="9">
        <v>45798</v>
      </c>
      <c r="E423">
        <v>103</v>
      </c>
      <c r="F423" t="s">
        <v>71</v>
      </c>
      <c r="G423">
        <v>3</v>
      </c>
      <c r="H423" t="s">
        <v>6</v>
      </c>
      <c r="I423">
        <v>5</v>
      </c>
      <c r="J423">
        <v>0</v>
      </c>
      <c r="K423">
        <f>IF(Convert_to_Games[[#This Row],[Total Score]]&gt;9, 1, 0)</f>
        <v>0</v>
      </c>
      <c r="L423">
        <f>IF(Convert_to_Games[[#This Row],[DD]]=0, 0, IF(L422 = "Cons DD", Convert_to_Games[[#This Row],[DD]], L422+L422))</f>
        <v>0</v>
      </c>
    </row>
    <row r="424" spans="1:12">
      <c r="A424" t="s">
        <v>25</v>
      </c>
      <c r="B424" t="s">
        <v>20</v>
      </c>
      <c r="C424" t="s">
        <v>16</v>
      </c>
      <c r="D424" s="9">
        <v>45818</v>
      </c>
      <c r="E424">
        <v>107</v>
      </c>
      <c r="F424" t="s">
        <v>11</v>
      </c>
      <c r="G424">
        <v>3</v>
      </c>
      <c r="H424" t="s">
        <v>5</v>
      </c>
      <c r="I424">
        <v>5</v>
      </c>
      <c r="J424">
        <v>0</v>
      </c>
      <c r="K424">
        <f>IF(Convert_to_Games[[#This Row],[Total Score]]&gt;9, 1, 0)</f>
        <v>0</v>
      </c>
      <c r="L424">
        <f>IF(Convert_to_Games[[#This Row],[DD]]=0, 0, IF(L423 = "Cons DD", Convert_to_Games[[#This Row],[DD]], L423+L423))</f>
        <v>0</v>
      </c>
    </row>
    <row r="425" spans="1:12">
      <c r="A425" t="s">
        <v>25</v>
      </c>
      <c r="B425" t="s">
        <v>20</v>
      </c>
      <c r="C425" t="s">
        <v>16</v>
      </c>
      <c r="D425" s="9">
        <v>45820</v>
      </c>
      <c r="E425">
        <v>109</v>
      </c>
      <c r="F425" t="s">
        <v>11</v>
      </c>
      <c r="G425">
        <v>3</v>
      </c>
      <c r="H425" t="s">
        <v>4</v>
      </c>
      <c r="I425">
        <v>5</v>
      </c>
      <c r="J425">
        <v>0</v>
      </c>
      <c r="K425">
        <f>IF(Convert_to_Games[[#This Row],[Total Score]]&gt;9, 1, 0)</f>
        <v>0</v>
      </c>
      <c r="L425">
        <f>IF(Convert_to_Games[[#This Row],[DD]]=0, 0, IF(L424 = "Cons DD", Convert_to_Games[[#This Row],[DD]], L424+L424))</f>
        <v>0</v>
      </c>
    </row>
    <row r="426" spans="1:12">
      <c r="A426" t="s">
        <v>25</v>
      </c>
      <c r="B426" t="s">
        <v>20</v>
      </c>
      <c r="C426" t="s">
        <v>16</v>
      </c>
      <c r="D426" s="9">
        <v>45821</v>
      </c>
      <c r="E426">
        <v>110</v>
      </c>
      <c r="F426" t="s">
        <v>11</v>
      </c>
      <c r="G426">
        <v>3</v>
      </c>
      <c r="H426" t="s">
        <v>4</v>
      </c>
      <c r="I426">
        <v>5</v>
      </c>
      <c r="J426">
        <v>1</v>
      </c>
      <c r="K426">
        <f>IF(Convert_to_Games[[#This Row],[Total Score]]&gt;9, 1, 0)</f>
        <v>0</v>
      </c>
      <c r="L426">
        <f>IF(Convert_to_Games[[#This Row],[DD]]=0, 0, IF(L425 = "Cons DD", Convert_to_Games[[#This Row],[DD]], L425+L425))</f>
        <v>0</v>
      </c>
    </row>
    <row r="427" spans="1:12">
      <c r="A427" t="s">
        <v>25</v>
      </c>
      <c r="B427" t="s">
        <v>19</v>
      </c>
      <c r="C427" t="s">
        <v>16</v>
      </c>
      <c r="D427" s="9">
        <v>45826</v>
      </c>
      <c r="E427">
        <v>118</v>
      </c>
      <c r="F427" t="s">
        <v>9</v>
      </c>
      <c r="G427">
        <v>3</v>
      </c>
      <c r="H427" t="s">
        <v>5</v>
      </c>
      <c r="I427">
        <v>5</v>
      </c>
      <c r="J427">
        <v>0</v>
      </c>
      <c r="K427">
        <f>IF(Convert_to_Games[[#This Row],[Total Score]]&gt;9, 1, 0)</f>
        <v>0</v>
      </c>
      <c r="L427">
        <f>IF(Convert_to_Games[[#This Row],[DD]]=0, 0, IF(L426 = "Cons DD", Convert_to_Games[[#This Row],[DD]], L426+L426))</f>
        <v>0</v>
      </c>
    </row>
    <row r="428" spans="1:12">
      <c r="A428" t="s">
        <v>25</v>
      </c>
      <c r="B428" t="s">
        <v>20</v>
      </c>
      <c r="C428" t="s">
        <v>16</v>
      </c>
      <c r="D428" s="9">
        <v>45832</v>
      </c>
      <c r="E428">
        <v>126</v>
      </c>
      <c r="F428" t="s">
        <v>9</v>
      </c>
      <c r="G428">
        <v>5</v>
      </c>
      <c r="H428" t="s">
        <v>5</v>
      </c>
      <c r="I428">
        <v>5</v>
      </c>
      <c r="J428">
        <v>0</v>
      </c>
      <c r="K428">
        <f>IF(Convert_to_Games[[#This Row],[Total Score]]&gt;9, 1, 0)</f>
        <v>0</v>
      </c>
      <c r="L428">
        <f>IF(Convert_to_Games[[#This Row],[DD]]=0, 0, IF(L427 = "Cons DD", Convert_to_Games[[#This Row],[DD]], L427+L427))</f>
        <v>0</v>
      </c>
    </row>
    <row r="429" spans="1:12">
      <c r="A429" t="s">
        <v>25</v>
      </c>
      <c r="B429" t="s">
        <v>20</v>
      </c>
      <c r="C429" t="s">
        <v>16</v>
      </c>
      <c r="D429" s="9">
        <v>45838</v>
      </c>
      <c r="E429">
        <v>137</v>
      </c>
      <c r="F429" t="s">
        <v>104</v>
      </c>
      <c r="G429">
        <v>3</v>
      </c>
      <c r="H429" t="s">
        <v>4</v>
      </c>
      <c r="I429">
        <v>5</v>
      </c>
      <c r="J429">
        <v>0</v>
      </c>
      <c r="K429">
        <f>IF(Convert_to_Games[[#This Row],[Total Score]]&gt;9, 1, 0)</f>
        <v>0</v>
      </c>
      <c r="L429">
        <f>IF(Convert_to_Games[[#This Row],[DD]]=0, 0, IF(L428 = "Cons DD", Convert_to_Games[[#This Row],[DD]], L428+L428))</f>
        <v>0</v>
      </c>
    </row>
    <row r="430" spans="1:12">
      <c r="A430" t="s">
        <v>25</v>
      </c>
      <c r="B430" t="s">
        <v>20</v>
      </c>
      <c r="C430" t="s">
        <v>16</v>
      </c>
      <c r="D430" s="9">
        <v>45838</v>
      </c>
      <c r="E430">
        <v>139</v>
      </c>
      <c r="F430" t="s">
        <v>8</v>
      </c>
      <c r="G430">
        <v>3</v>
      </c>
      <c r="H430" t="s">
        <v>6</v>
      </c>
      <c r="I430">
        <v>5</v>
      </c>
      <c r="J430">
        <v>1</v>
      </c>
      <c r="K430">
        <f>IF(Convert_to_Games[[#This Row],[Total Score]]&gt;9, 1, 0)</f>
        <v>0</v>
      </c>
      <c r="L430">
        <f>IF(Convert_to_Games[[#This Row],[DD]]=0, 0, IF(L429 = "Cons DD", Convert_to_Games[[#This Row],[DD]], L429+L429))</f>
        <v>0</v>
      </c>
    </row>
    <row r="431" spans="1:12">
      <c r="A431" t="s">
        <v>25</v>
      </c>
      <c r="B431" t="s">
        <v>19</v>
      </c>
      <c r="C431" t="s">
        <v>16</v>
      </c>
      <c r="D431" s="9">
        <v>45839</v>
      </c>
      <c r="E431">
        <v>141</v>
      </c>
      <c r="F431" t="s">
        <v>8</v>
      </c>
      <c r="G431">
        <v>3</v>
      </c>
      <c r="H431" t="s">
        <v>6</v>
      </c>
      <c r="I431">
        <v>5</v>
      </c>
      <c r="J431">
        <v>0</v>
      </c>
      <c r="K431">
        <f>IF(Convert_to_Games[[#This Row],[Total Score]]&gt;9, 1, 0)</f>
        <v>0</v>
      </c>
      <c r="L431">
        <f>IF(Convert_to_Games[[#This Row],[DD]]=0, 0, IF(L430 = "Cons DD", Convert_to_Games[[#This Row],[DD]], L430+L430))</f>
        <v>0</v>
      </c>
    </row>
    <row r="432" spans="1:12">
      <c r="A432" t="s">
        <v>25</v>
      </c>
      <c r="B432" t="s">
        <v>20</v>
      </c>
      <c r="C432" t="s">
        <v>16</v>
      </c>
      <c r="D432" s="9">
        <v>45841</v>
      </c>
      <c r="E432">
        <v>145</v>
      </c>
      <c r="F432" t="s">
        <v>108</v>
      </c>
      <c r="G432">
        <v>3</v>
      </c>
      <c r="H432" t="s">
        <v>4</v>
      </c>
      <c r="I432">
        <v>5</v>
      </c>
      <c r="J432">
        <v>1</v>
      </c>
      <c r="K432">
        <f>IF(Convert_to_Games[[#This Row],[Total Score]]&gt;9, 1, 0)</f>
        <v>0</v>
      </c>
      <c r="L432">
        <f>IF(Convert_to_Games[[#This Row],[DD]]=0, 0, IF(L431 = "Cons DD", Convert_to_Games[[#This Row],[DD]], L431+L431))</f>
        <v>0</v>
      </c>
    </row>
    <row r="433" spans="1:12">
      <c r="A433" t="s">
        <v>25</v>
      </c>
      <c r="B433" t="s">
        <v>20</v>
      </c>
      <c r="C433" t="s">
        <v>17</v>
      </c>
      <c r="D433" s="9">
        <v>45845</v>
      </c>
      <c r="E433">
        <v>148</v>
      </c>
      <c r="F433" t="s">
        <v>109</v>
      </c>
      <c r="G433">
        <v>3</v>
      </c>
      <c r="H433" t="s">
        <v>6</v>
      </c>
      <c r="I433">
        <v>5</v>
      </c>
      <c r="J433">
        <v>1</v>
      </c>
      <c r="K433">
        <f>IF(Convert_to_Games[[#This Row],[Total Score]]&gt;9, 1, 0)</f>
        <v>0</v>
      </c>
      <c r="L433">
        <f>IF(Convert_to_Games[[#This Row],[DD]]=0, 0, IF(L432 = "Cons DD", Convert_to_Games[[#This Row],[DD]], L432+L432))</f>
        <v>0</v>
      </c>
    </row>
    <row r="434" spans="1:12">
      <c r="A434" t="s">
        <v>25</v>
      </c>
      <c r="B434" t="s">
        <v>20</v>
      </c>
      <c r="C434" t="s">
        <v>16</v>
      </c>
      <c r="D434" s="9">
        <v>45845</v>
      </c>
      <c r="E434">
        <v>149</v>
      </c>
      <c r="F434" t="s">
        <v>110</v>
      </c>
      <c r="G434">
        <v>3</v>
      </c>
      <c r="H434" t="s">
        <v>6</v>
      </c>
      <c r="I434">
        <v>5</v>
      </c>
      <c r="J434">
        <v>0</v>
      </c>
      <c r="K434">
        <f>IF(Convert_to_Games[[#This Row],[Total Score]]&gt;9, 1, 0)</f>
        <v>0</v>
      </c>
      <c r="L434">
        <f>IF(Convert_to_Games[[#This Row],[DD]]=0, 0, IF(L433 = "Cons DD", Convert_to_Games[[#This Row],[DD]], L433+L433))</f>
        <v>0</v>
      </c>
    </row>
    <row r="435" spans="1:12">
      <c r="A435" t="s">
        <v>25</v>
      </c>
      <c r="B435" t="s">
        <v>19</v>
      </c>
      <c r="C435" t="s">
        <v>16</v>
      </c>
      <c r="D435" s="9">
        <v>45846</v>
      </c>
      <c r="E435">
        <v>152</v>
      </c>
      <c r="F435" t="s">
        <v>111</v>
      </c>
      <c r="G435">
        <v>4</v>
      </c>
      <c r="H435" t="s">
        <v>78</v>
      </c>
      <c r="I435">
        <v>5</v>
      </c>
      <c r="J435">
        <v>0</v>
      </c>
      <c r="K435">
        <f>IF(Convert_to_Games[[#This Row],[Total Score]]&gt;9, 1, 0)</f>
        <v>0</v>
      </c>
      <c r="L435">
        <f>IF(Convert_to_Games[[#This Row],[DD]]=0, 0, IF(L434 = "Cons DD", Convert_to_Games[[#This Row],[DD]], L434+L434))</f>
        <v>0</v>
      </c>
    </row>
    <row r="436" spans="1:12">
      <c r="A436" t="s">
        <v>25</v>
      </c>
      <c r="B436" t="s">
        <v>19</v>
      </c>
      <c r="C436" t="s">
        <v>16</v>
      </c>
      <c r="D436" s="9">
        <v>45847</v>
      </c>
      <c r="E436">
        <v>154</v>
      </c>
      <c r="F436" t="s">
        <v>111</v>
      </c>
      <c r="G436">
        <v>3</v>
      </c>
      <c r="H436" t="s">
        <v>4</v>
      </c>
      <c r="I436">
        <v>5</v>
      </c>
      <c r="J436">
        <v>1</v>
      </c>
      <c r="K436">
        <f>IF(Convert_to_Games[[#This Row],[Total Score]]&gt;9, 1, 0)</f>
        <v>0</v>
      </c>
      <c r="L436">
        <f>IF(Convert_to_Games[[#This Row],[DD]]=0, 0, IF(L435 = "Cons DD", Convert_to_Games[[#This Row],[DD]], L435+L435))</f>
        <v>0</v>
      </c>
    </row>
    <row r="437" spans="1:12">
      <c r="A437" t="s">
        <v>25</v>
      </c>
      <c r="B437" t="s">
        <v>19</v>
      </c>
      <c r="C437" t="s">
        <v>16</v>
      </c>
      <c r="D437" s="9">
        <v>45853</v>
      </c>
      <c r="E437">
        <v>166</v>
      </c>
      <c r="F437" t="s">
        <v>94</v>
      </c>
      <c r="G437">
        <v>3</v>
      </c>
      <c r="H437" t="s">
        <v>4</v>
      </c>
      <c r="I437">
        <v>5</v>
      </c>
      <c r="J437">
        <v>0</v>
      </c>
      <c r="K437">
        <f>IF(Convert_to_Games[[#This Row],[Total Score]]&gt;9, 1, 0)</f>
        <v>0</v>
      </c>
      <c r="L437">
        <f>IF(Convert_to_Games[[#This Row],[DD]]=0, 0, IF(L436 = "Cons DD", Convert_to_Games[[#This Row],[DD]], L436+L436))</f>
        <v>0</v>
      </c>
    </row>
    <row r="438" spans="1:12">
      <c r="A438" t="s">
        <v>25</v>
      </c>
      <c r="B438" t="s">
        <v>20</v>
      </c>
      <c r="C438" t="s">
        <v>16</v>
      </c>
      <c r="D438" s="9">
        <v>45855</v>
      </c>
      <c r="E438">
        <v>171</v>
      </c>
      <c r="F438" t="s">
        <v>104</v>
      </c>
      <c r="G438">
        <v>3</v>
      </c>
      <c r="H438" t="s">
        <v>4</v>
      </c>
      <c r="I438">
        <v>5</v>
      </c>
      <c r="J438">
        <v>0</v>
      </c>
      <c r="K438">
        <f>IF(Convert_to_Games[[#This Row],[Total Score]]&gt;9, 1, 0)</f>
        <v>0</v>
      </c>
      <c r="L438">
        <f>IF(Convert_to_Games[[#This Row],[DD]]=0, 0, IF(L437 = "Cons DD", Convert_to_Games[[#This Row],[DD]], L437+L437))</f>
        <v>0</v>
      </c>
    </row>
    <row r="439" spans="1:12">
      <c r="A439" t="s">
        <v>25</v>
      </c>
      <c r="B439" t="s">
        <v>20</v>
      </c>
      <c r="C439" t="s">
        <v>16</v>
      </c>
      <c r="D439" s="9">
        <v>45859</v>
      </c>
      <c r="E439">
        <v>174</v>
      </c>
      <c r="F439" t="s">
        <v>115</v>
      </c>
      <c r="G439">
        <v>3</v>
      </c>
      <c r="H439" t="s">
        <v>5</v>
      </c>
      <c r="I439">
        <v>5</v>
      </c>
      <c r="J439">
        <v>1</v>
      </c>
      <c r="K439">
        <f>IF(Convert_to_Games[[#This Row],[Total Score]]&gt;9, 1, 0)</f>
        <v>0</v>
      </c>
      <c r="L439">
        <f>IF(Convert_to_Games[[#This Row],[DD]]=0, 0, IF(L438 = "Cons DD", Convert_to_Games[[#This Row],[DD]], L438+L438))</f>
        <v>0</v>
      </c>
    </row>
    <row r="440" spans="1:12">
      <c r="A440" t="s">
        <v>25</v>
      </c>
      <c r="B440" t="s">
        <v>20</v>
      </c>
      <c r="C440" t="s">
        <v>16</v>
      </c>
      <c r="D440" s="9">
        <v>45861</v>
      </c>
      <c r="E440">
        <v>178</v>
      </c>
      <c r="F440" t="s">
        <v>8</v>
      </c>
      <c r="G440">
        <v>3</v>
      </c>
      <c r="H440" t="s">
        <v>5</v>
      </c>
      <c r="I440">
        <v>5</v>
      </c>
      <c r="J440">
        <v>0</v>
      </c>
      <c r="K440">
        <f>IF(Convert_to_Games[[#This Row],[Total Score]]&gt;9, 1, 0)</f>
        <v>0</v>
      </c>
      <c r="L440">
        <f>IF(Convert_to_Games[[#This Row],[DD]]=0, 0, IF(L439 = "Cons DD", Convert_to_Games[[#This Row],[DD]], L439+L439))</f>
        <v>0</v>
      </c>
    </row>
    <row r="441" spans="1:12">
      <c r="A441" t="s">
        <v>25</v>
      </c>
      <c r="B441" t="s">
        <v>20</v>
      </c>
      <c r="C441" t="s">
        <v>16</v>
      </c>
      <c r="D441" s="9">
        <v>45862</v>
      </c>
      <c r="E441">
        <v>180</v>
      </c>
      <c r="F441" t="s">
        <v>34</v>
      </c>
      <c r="G441">
        <v>3</v>
      </c>
      <c r="H441" t="s">
        <v>5</v>
      </c>
      <c r="I441">
        <v>5</v>
      </c>
      <c r="J441">
        <v>0</v>
      </c>
      <c r="K441">
        <f>IF(Convert_to_Games[[#This Row],[Total Score]]&gt;9, 1, 0)</f>
        <v>0</v>
      </c>
      <c r="L441">
        <f>IF(Convert_to_Games[[#This Row],[DD]]=0, 0, IF(L440 = "Cons DD", Convert_to_Games[[#This Row],[DD]], L440+L440))</f>
        <v>0</v>
      </c>
    </row>
    <row r="442" spans="1:12">
      <c r="A442" t="s">
        <v>25</v>
      </c>
      <c r="B442" t="s">
        <v>20</v>
      </c>
      <c r="C442" t="s">
        <v>16</v>
      </c>
      <c r="D442" s="9">
        <v>45863</v>
      </c>
      <c r="E442">
        <v>183</v>
      </c>
      <c r="F442" t="s">
        <v>77</v>
      </c>
      <c r="G442">
        <v>3</v>
      </c>
      <c r="H442" t="s">
        <v>5</v>
      </c>
      <c r="I442">
        <v>5</v>
      </c>
      <c r="J442">
        <v>1</v>
      </c>
      <c r="K442">
        <f>IF(Convert_to_Games[[#This Row],[Total Score]]&gt;9, 1, 0)</f>
        <v>0</v>
      </c>
      <c r="L442">
        <f>IF(Convert_to_Games[[#This Row],[DD]]=0, 0, IF(L441 = "Cons DD", Convert_to_Games[[#This Row],[DD]], L441+L441))</f>
        <v>0</v>
      </c>
    </row>
    <row r="443" spans="1:12">
      <c r="A443" t="s">
        <v>25</v>
      </c>
      <c r="B443" t="s">
        <v>20</v>
      </c>
      <c r="C443" t="s">
        <v>116</v>
      </c>
      <c r="D443" s="9">
        <v>45869</v>
      </c>
      <c r="E443">
        <v>190</v>
      </c>
      <c r="F443" t="s">
        <v>11</v>
      </c>
      <c r="G443">
        <v>4</v>
      </c>
      <c r="H443" t="s">
        <v>5</v>
      </c>
      <c r="I443">
        <v>5</v>
      </c>
      <c r="J443">
        <v>0</v>
      </c>
      <c r="K443">
        <f>IF(Convert_to_Games[[#This Row],[Total Score]]&gt;9, 1, 0)</f>
        <v>0</v>
      </c>
      <c r="L443">
        <f>IF(Convert_to_Games[[#This Row],[DD]]=0, 0, IF(L442 = "Cons DD", Convert_to_Games[[#This Row],[DD]], L442+L442))</f>
        <v>0</v>
      </c>
    </row>
    <row r="444" spans="1:12">
      <c r="A444" t="s">
        <v>25</v>
      </c>
      <c r="B444" t="s">
        <v>20</v>
      </c>
      <c r="C444" t="s">
        <v>116</v>
      </c>
      <c r="D444" s="9">
        <v>45869</v>
      </c>
      <c r="E444">
        <v>191</v>
      </c>
      <c r="F444" t="s">
        <v>9</v>
      </c>
      <c r="G444">
        <v>3</v>
      </c>
      <c r="H444" t="s">
        <v>4</v>
      </c>
      <c r="I444">
        <v>5</v>
      </c>
      <c r="J444">
        <v>0</v>
      </c>
      <c r="K444">
        <f>IF(Convert_to_Games[[#This Row],[Total Score]]&gt;9, 1, 0)</f>
        <v>0</v>
      </c>
      <c r="L444">
        <f>IF(Convert_to_Games[[#This Row],[DD]]=0, 0, IF(L443 = "Cons DD", Convert_to_Games[[#This Row],[DD]], L443+L443))</f>
        <v>0</v>
      </c>
    </row>
    <row r="445" spans="1:12">
      <c r="A445" t="s">
        <v>25</v>
      </c>
      <c r="B445" t="s">
        <v>20</v>
      </c>
      <c r="C445" t="s">
        <v>116</v>
      </c>
      <c r="D445" s="9">
        <v>45873</v>
      </c>
      <c r="E445">
        <v>195</v>
      </c>
      <c r="F445" t="s">
        <v>9</v>
      </c>
      <c r="G445">
        <v>3</v>
      </c>
      <c r="H445" t="s">
        <v>5</v>
      </c>
      <c r="I445">
        <v>5</v>
      </c>
      <c r="J445">
        <v>0</v>
      </c>
      <c r="K445">
        <f>IF(Convert_to_Games[[#This Row],[Total Score]]&gt;9, 1, 0)</f>
        <v>0</v>
      </c>
      <c r="L445">
        <f>IF(Convert_to_Games[[#This Row],[DD]]=0, 0, IF(L444 = "Cons DD", Convert_to_Games[[#This Row],[DD]], L444+L444))</f>
        <v>0</v>
      </c>
    </row>
    <row r="446" spans="1:12">
      <c r="A446" t="s">
        <v>25</v>
      </c>
      <c r="B446">
        <v>256</v>
      </c>
      <c r="C446" t="s">
        <v>116</v>
      </c>
      <c r="D446" s="9">
        <v>45926</v>
      </c>
      <c r="E446">
        <v>226</v>
      </c>
      <c r="F446" t="s">
        <v>94</v>
      </c>
      <c r="G446">
        <v>3</v>
      </c>
      <c r="H446" t="s">
        <v>4</v>
      </c>
      <c r="I446">
        <v>5</v>
      </c>
      <c r="J446">
        <v>0</v>
      </c>
      <c r="K446">
        <f>IF(Convert_to_Games[[#This Row],[Total Score]]&gt;9, 1, 0)</f>
        <v>0</v>
      </c>
      <c r="L446">
        <f>IF(Convert_to_Games[[#This Row],[DD]]=0, 0, IF(L445 = "Cons DD", Convert_to_Games[[#This Row],[DD]], L445+L445))</f>
        <v>0</v>
      </c>
    </row>
    <row r="447" spans="1:12">
      <c r="A447" t="s">
        <v>25</v>
      </c>
      <c r="B447">
        <v>256</v>
      </c>
      <c r="C447" t="s">
        <v>116</v>
      </c>
      <c r="D447" s="9">
        <v>45954</v>
      </c>
      <c r="E447">
        <v>235</v>
      </c>
      <c r="F447" t="s">
        <v>8</v>
      </c>
      <c r="G447">
        <v>3</v>
      </c>
      <c r="H447" t="s">
        <v>6</v>
      </c>
      <c r="I447">
        <v>5</v>
      </c>
      <c r="J447">
        <v>0</v>
      </c>
      <c r="K447">
        <f>IF(Convert_to_Games[[#This Row],[Total Score]]&gt;9, 1, 0)</f>
        <v>0</v>
      </c>
      <c r="L447">
        <f>IF(Convert_to_Games[[#This Row],[DD]]=0, 0, IF(L446 = "Cons DD", Convert_to_Games[[#This Row],[DD]], L446+L446))</f>
        <v>0</v>
      </c>
    </row>
    <row r="448" spans="1:12">
      <c r="A448" t="s">
        <v>25</v>
      </c>
      <c r="B448">
        <v>256</v>
      </c>
      <c r="C448" t="s">
        <v>116</v>
      </c>
      <c r="D448" s="9">
        <v>46006</v>
      </c>
      <c r="E448">
        <v>252</v>
      </c>
      <c r="F448" t="s">
        <v>121</v>
      </c>
      <c r="G448">
        <v>3</v>
      </c>
      <c r="H448" t="s">
        <v>6</v>
      </c>
      <c r="I448">
        <v>5</v>
      </c>
      <c r="J448">
        <v>0</v>
      </c>
      <c r="K448">
        <f>IF(Convert_to_Games[[#This Row],[Total Score]]&gt;9, 1, 0)</f>
        <v>0</v>
      </c>
      <c r="L448">
        <f>IF(Convert_to_Games[[#This Row],[DD]]=0, 0, IF(L447 = "Cons DD", Convert_to_Games[[#This Row],[DD]], L447+L447))</f>
        <v>0</v>
      </c>
    </row>
    <row r="449" spans="1:12">
      <c r="A449" t="s">
        <v>25</v>
      </c>
      <c r="B449">
        <v>256</v>
      </c>
      <c r="C449" t="s">
        <v>116</v>
      </c>
      <c r="D449" s="9">
        <v>46059</v>
      </c>
      <c r="E449">
        <v>261</v>
      </c>
      <c r="F449" t="s">
        <v>9</v>
      </c>
      <c r="G449">
        <v>3</v>
      </c>
      <c r="H449" t="s">
        <v>5</v>
      </c>
      <c r="I449">
        <v>5</v>
      </c>
      <c r="J449">
        <v>0</v>
      </c>
      <c r="K449">
        <f>IF(Convert_to_Games[[#This Row],[Total Score]]&gt;9, 1, 0)</f>
        <v>0</v>
      </c>
      <c r="L449">
        <f>IF(Convert_to_Games[[#This Row],[DD]]=0, 0, IF(L448 = "Cons DD", Convert_to_Games[[#This Row],[DD]], L448+L448))</f>
        <v>0</v>
      </c>
    </row>
    <row r="450" spans="1:12">
      <c r="A450" t="s">
        <v>25</v>
      </c>
      <c r="B450">
        <v>256</v>
      </c>
      <c r="C450" t="s">
        <v>116</v>
      </c>
      <c r="D450" s="9">
        <v>46085</v>
      </c>
      <c r="E450">
        <v>269</v>
      </c>
      <c r="F450" t="s">
        <v>84</v>
      </c>
      <c r="G450">
        <v>3</v>
      </c>
      <c r="H450" t="s">
        <v>5</v>
      </c>
      <c r="I450">
        <v>5</v>
      </c>
      <c r="J450">
        <v>0</v>
      </c>
      <c r="K450">
        <f>IF(Convert_to_Games[[#This Row],[Total Score]]&gt;9, 1, 0)</f>
        <v>0</v>
      </c>
      <c r="L450">
        <f>IF(Convert_to_Games[[#This Row],[DD]]=0, 0, IF(L449 = "Cons DD", Convert_to_Games[[#This Row],[DD]], L449+L449))</f>
        <v>0</v>
      </c>
    </row>
    <row r="451" spans="1:12">
      <c r="A451" t="s">
        <v>25</v>
      </c>
      <c r="B451">
        <v>256</v>
      </c>
      <c r="C451" t="s">
        <v>116</v>
      </c>
      <c r="D451" s="9">
        <v>46085</v>
      </c>
      <c r="E451">
        <v>269</v>
      </c>
      <c r="F451" t="s">
        <v>84</v>
      </c>
      <c r="G451">
        <v>3</v>
      </c>
      <c r="H451" t="s">
        <v>6</v>
      </c>
      <c r="I451">
        <v>5</v>
      </c>
      <c r="J451">
        <v>0</v>
      </c>
      <c r="K451">
        <f>IF(Convert_to_Games[[#This Row],[Total Score]]&gt;9, 1, 0)</f>
        <v>0</v>
      </c>
      <c r="L451">
        <f>IF(Convert_to_Games[[#This Row],[DD]]=0, 0, IF(L450 = "Cons DD", Convert_to_Games[[#This Row],[DD]], L450+L450))</f>
        <v>0</v>
      </c>
    </row>
    <row r="452" spans="1:12">
      <c r="A452" t="s">
        <v>25</v>
      </c>
      <c r="B452">
        <v>256</v>
      </c>
      <c r="C452" t="s">
        <v>116</v>
      </c>
      <c r="D452" s="9">
        <v>46121</v>
      </c>
      <c r="E452">
        <v>280</v>
      </c>
      <c r="F452" t="s">
        <v>11</v>
      </c>
      <c r="G452">
        <v>4</v>
      </c>
      <c r="H452" t="s">
        <v>5</v>
      </c>
      <c r="I452">
        <v>5</v>
      </c>
      <c r="J452">
        <v>0</v>
      </c>
      <c r="K452">
        <f>IF(Convert_to_Games[[#This Row],[Total Score]]&gt;9, 1, 0)</f>
        <v>0</v>
      </c>
      <c r="L452">
        <f>IF(Convert_to_Games[[#This Row],[DD]]=0, 0, IF(L451 = "Cons DD", Convert_to_Games[[#This Row],[DD]], L451+L451))</f>
        <v>0</v>
      </c>
    </row>
    <row r="453" spans="1:12">
      <c r="A453" t="s">
        <v>25</v>
      </c>
      <c r="B453" t="s">
        <v>20</v>
      </c>
      <c r="C453" t="s">
        <v>18</v>
      </c>
      <c r="D453" s="9">
        <v>45708</v>
      </c>
      <c r="E453">
        <v>3</v>
      </c>
      <c r="F453" t="s">
        <v>9</v>
      </c>
      <c r="G453">
        <v>3</v>
      </c>
      <c r="H453" t="s">
        <v>5</v>
      </c>
      <c r="I453">
        <v>4</v>
      </c>
      <c r="J453">
        <v>0</v>
      </c>
      <c r="K453">
        <f>IF(Convert_to_Games[[#This Row],[Total Score]]&gt;9, 1, 0)</f>
        <v>0</v>
      </c>
      <c r="L453">
        <f>IF(Convert_to_Games[[#This Row],[DD]]=0, 0, IF(L452 = "Cons DD", Convert_to_Games[[#This Row],[DD]], L452+L452))</f>
        <v>0</v>
      </c>
    </row>
    <row r="454" spans="1:12">
      <c r="A454" t="s">
        <v>25</v>
      </c>
      <c r="B454" t="s">
        <v>20</v>
      </c>
      <c r="C454" t="s">
        <v>18</v>
      </c>
      <c r="D454" s="9">
        <v>45708</v>
      </c>
      <c r="E454">
        <v>4</v>
      </c>
      <c r="F454" t="s">
        <v>8</v>
      </c>
      <c r="G454">
        <v>3</v>
      </c>
      <c r="H454" t="s">
        <v>4</v>
      </c>
      <c r="I454">
        <v>4</v>
      </c>
      <c r="J454">
        <v>0</v>
      </c>
      <c r="K454">
        <f>IF(Convert_to_Games[[#This Row],[Total Score]]&gt;9, 1, 0)</f>
        <v>0</v>
      </c>
      <c r="L454">
        <f>IF(Convert_to_Games[[#This Row],[DD]]=0, 0, IF(L453 = "Cons DD", Convert_to_Games[[#This Row],[DD]], L453+L453))</f>
        <v>0</v>
      </c>
    </row>
    <row r="455" spans="1:12">
      <c r="A455" t="s">
        <v>25</v>
      </c>
      <c r="B455" t="s">
        <v>20</v>
      </c>
      <c r="C455" t="s">
        <v>18</v>
      </c>
      <c r="D455" s="9">
        <v>45709</v>
      </c>
      <c r="E455">
        <v>6</v>
      </c>
      <c r="F455" t="s">
        <v>9</v>
      </c>
      <c r="G455">
        <v>3</v>
      </c>
      <c r="H455" t="s">
        <v>5</v>
      </c>
      <c r="I455">
        <v>4</v>
      </c>
      <c r="J455">
        <v>0</v>
      </c>
      <c r="K455">
        <f>IF(Convert_to_Games[[#This Row],[Total Score]]&gt;9, 1, 0)</f>
        <v>0</v>
      </c>
      <c r="L455">
        <f>IF(Convert_to_Games[[#This Row],[DD]]=0, 0, IF(L454 = "Cons DD", Convert_to_Games[[#This Row],[DD]], L454+L454))</f>
        <v>0</v>
      </c>
    </row>
    <row r="456" spans="1:12">
      <c r="A456" t="s">
        <v>25</v>
      </c>
      <c r="B456" t="s">
        <v>20</v>
      </c>
      <c r="C456" t="s">
        <v>18</v>
      </c>
      <c r="D456" s="9">
        <v>45713</v>
      </c>
      <c r="E456">
        <v>9</v>
      </c>
      <c r="F456" t="s">
        <v>8</v>
      </c>
      <c r="G456">
        <v>3</v>
      </c>
      <c r="H456" t="s">
        <v>6</v>
      </c>
      <c r="I456">
        <v>4</v>
      </c>
      <c r="J456">
        <v>0</v>
      </c>
      <c r="K456">
        <f>IF(Convert_to_Games[[#This Row],[Total Score]]&gt;9, 1, 0)</f>
        <v>0</v>
      </c>
      <c r="L456">
        <f>IF(Convert_to_Games[[#This Row],[DD]]=0, 0, IF(L455 = "Cons DD", Convert_to_Games[[#This Row],[DD]], L455+L455))</f>
        <v>0</v>
      </c>
    </row>
    <row r="457" spans="1:12">
      <c r="A457" t="s">
        <v>25</v>
      </c>
      <c r="B457" t="s">
        <v>20</v>
      </c>
      <c r="C457" t="s">
        <v>16</v>
      </c>
      <c r="D457" s="9">
        <v>45722</v>
      </c>
      <c r="E457">
        <v>18</v>
      </c>
      <c r="F457" t="s">
        <v>11</v>
      </c>
      <c r="G457">
        <v>3</v>
      </c>
      <c r="H457" t="s">
        <v>5</v>
      </c>
      <c r="I457">
        <v>4</v>
      </c>
      <c r="J457">
        <v>0</v>
      </c>
      <c r="K457">
        <f>IF(Convert_to_Games[[#This Row],[Total Score]]&gt;9, 1, 0)</f>
        <v>0</v>
      </c>
      <c r="L457">
        <f>IF(Convert_to_Games[[#This Row],[DD]]=0, 0, IF(L456 = "Cons DD", Convert_to_Games[[#This Row],[DD]], L456+L456))</f>
        <v>0</v>
      </c>
    </row>
    <row r="458" spans="1:12">
      <c r="A458" t="s">
        <v>25</v>
      </c>
      <c r="B458" t="s">
        <v>20</v>
      </c>
      <c r="C458" t="s">
        <v>16</v>
      </c>
      <c r="D458" s="9">
        <v>45723</v>
      </c>
      <c r="E458">
        <v>20</v>
      </c>
      <c r="F458" t="s">
        <v>9</v>
      </c>
      <c r="G458">
        <v>3</v>
      </c>
      <c r="H458" t="s">
        <v>4</v>
      </c>
      <c r="I458">
        <v>4</v>
      </c>
      <c r="J458">
        <v>1</v>
      </c>
      <c r="K458">
        <f>IF(Convert_to_Games[[#This Row],[Total Score]]&gt;9, 1, 0)</f>
        <v>0</v>
      </c>
      <c r="L458">
        <f>IF(Convert_to_Games[[#This Row],[DD]]=0, 0, IF(L457 = "Cons DD", Convert_to_Games[[#This Row],[DD]], L457+L457))</f>
        <v>0</v>
      </c>
    </row>
    <row r="459" spans="1:12">
      <c r="A459" t="s">
        <v>25</v>
      </c>
      <c r="B459" t="s">
        <v>20</v>
      </c>
      <c r="C459" t="s">
        <v>16</v>
      </c>
      <c r="D459" s="9">
        <v>45727</v>
      </c>
      <c r="E459">
        <v>22</v>
      </c>
      <c r="F459" t="s">
        <v>11</v>
      </c>
      <c r="G459">
        <v>3</v>
      </c>
      <c r="H459" t="s">
        <v>4</v>
      </c>
      <c r="I459">
        <v>4</v>
      </c>
      <c r="J459">
        <v>1</v>
      </c>
      <c r="K459">
        <f>IF(Convert_to_Games[[#This Row],[Total Score]]&gt;9, 1, 0)</f>
        <v>0</v>
      </c>
      <c r="L459">
        <f>IF(Convert_to_Games[[#This Row],[DD]]=0, 0, IF(L458 = "Cons DD", Convert_to_Games[[#This Row],[DD]], L458+L458))</f>
        <v>0</v>
      </c>
    </row>
    <row r="460" spans="1:12">
      <c r="A460" t="s">
        <v>25</v>
      </c>
      <c r="B460" t="s">
        <v>20</v>
      </c>
      <c r="C460" t="s">
        <v>16</v>
      </c>
      <c r="D460" s="9">
        <v>45742</v>
      </c>
      <c r="E460">
        <v>27</v>
      </c>
      <c r="F460" t="s">
        <v>15</v>
      </c>
      <c r="G460">
        <v>3</v>
      </c>
      <c r="H460" t="s">
        <v>6</v>
      </c>
      <c r="I460">
        <v>4</v>
      </c>
      <c r="J460">
        <v>0</v>
      </c>
      <c r="K460">
        <f>IF(Convert_to_Games[[#This Row],[Total Score]]&gt;9, 1, 0)</f>
        <v>0</v>
      </c>
      <c r="L460">
        <f>IF(Convert_to_Games[[#This Row],[DD]]=0, 0, IF(L459 = "Cons DD", Convert_to_Games[[#This Row],[DD]], L459+L459))</f>
        <v>0</v>
      </c>
    </row>
    <row r="461" spans="1:12">
      <c r="A461" t="s">
        <v>25</v>
      </c>
      <c r="B461" t="s">
        <v>20</v>
      </c>
      <c r="C461" t="s">
        <v>16</v>
      </c>
      <c r="D461" s="9">
        <v>45743</v>
      </c>
      <c r="E461">
        <v>28</v>
      </c>
      <c r="F461" t="s">
        <v>11</v>
      </c>
      <c r="G461">
        <v>3</v>
      </c>
      <c r="H461" t="s">
        <v>5</v>
      </c>
      <c r="I461">
        <v>4</v>
      </c>
      <c r="J461">
        <v>0</v>
      </c>
      <c r="K461">
        <f>IF(Convert_to_Games[[#This Row],[Total Score]]&gt;9, 1, 0)</f>
        <v>0</v>
      </c>
      <c r="L461">
        <f>IF(Convert_to_Games[[#This Row],[DD]]=0, 0, IF(L460 = "Cons DD", Convert_to_Games[[#This Row],[DD]], L460+L460))</f>
        <v>0</v>
      </c>
    </row>
    <row r="462" spans="1:12">
      <c r="A462" t="s">
        <v>25</v>
      </c>
      <c r="B462" t="s">
        <v>19</v>
      </c>
      <c r="C462" t="s">
        <v>16</v>
      </c>
      <c r="D462" s="9">
        <v>45749</v>
      </c>
      <c r="E462">
        <v>32</v>
      </c>
      <c r="F462" t="s">
        <v>9</v>
      </c>
      <c r="G462">
        <v>3</v>
      </c>
      <c r="H462" t="s">
        <v>4</v>
      </c>
      <c r="I462">
        <v>4</v>
      </c>
      <c r="J462">
        <v>0</v>
      </c>
      <c r="K462">
        <f>IF(Convert_to_Games[[#This Row],[Total Score]]&gt;9, 1, 0)</f>
        <v>0</v>
      </c>
      <c r="L462">
        <f>IF(Convert_to_Games[[#This Row],[DD]]=0, 0, IF(L461 = "Cons DD", Convert_to_Games[[#This Row],[DD]], L461+L461))</f>
        <v>0</v>
      </c>
    </row>
    <row r="463" spans="1:12">
      <c r="A463" t="s">
        <v>25</v>
      </c>
      <c r="B463" t="s">
        <v>19</v>
      </c>
      <c r="C463" t="s">
        <v>16</v>
      </c>
      <c r="D463" s="9">
        <v>45749</v>
      </c>
      <c r="E463">
        <v>33</v>
      </c>
      <c r="F463" t="s">
        <v>9</v>
      </c>
      <c r="G463">
        <v>3</v>
      </c>
      <c r="H463" t="s">
        <v>4</v>
      </c>
      <c r="I463">
        <v>4</v>
      </c>
      <c r="J463">
        <v>0</v>
      </c>
      <c r="K463">
        <f>IF(Convert_to_Games[[#This Row],[Total Score]]&gt;9, 1, 0)</f>
        <v>0</v>
      </c>
      <c r="L463">
        <f>IF(Convert_to_Games[[#This Row],[DD]]=0, 0, IF(L462 = "Cons DD", Convert_to_Games[[#This Row],[DD]], L462+L462))</f>
        <v>0</v>
      </c>
    </row>
    <row r="464" spans="1:12">
      <c r="A464" t="s">
        <v>25</v>
      </c>
      <c r="B464" t="s">
        <v>21</v>
      </c>
      <c r="C464" t="s">
        <v>16</v>
      </c>
      <c r="D464" s="9">
        <v>45755</v>
      </c>
      <c r="E464">
        <v>38</v>
      </c>
      <c r="F464" t="s">
        <v>13</v>
      </c>
      <c r="G464">
        <v>3</v>
      </c>
      <c r="H464" t="s">
        <v>5</v>
      </c>
      <c r="I464">
        <v>4</v>
      </c>
      <c r="J464">
        <v>0</v>
      </c>
      <c r="K464">
        <f>IF(Convert_to_Games[[#This Row],[Total Score]]&gt;9, 1, 0)</f>
        <v>0</v>
      </c>
      <c r="L464">
        <f>IF(Convert_to_Games[[#This Row],[DD]]=0, 0, IF(L463 = "Cons DD", Convert_to_Games[[#This Row],[DD]], L463+L463))</f>
        <v>0</v>
      </c>
    </row>
    <row r="465" spans="1:12">
      <c r="A465" t="s">
        <v>25</v>
      </c>
      <c r="B465" t="s">
        <v>21</v>
      </c>
      <c r="C465" t="s">
        <v>16</v>
      </c>
      <c r="D465" s="9">
        <v>45756</v>
      </c>
      <c r="E465">
        <v>41</v>
      </c>
      <c r="F465" t="s">
        <v>11</v>
      </c>
      <c r="G465">
        <v>3</v>
      </c>
      <c r="H465" t="s">
        <v>4</v>
      </c>
      <c r="I465">
        <v>4</v>
      </c>
      <c r="J465">
        <v>1</v>
      </c>
      <c r="K465">
        <f>IF(Convert_to_Games[[#This Row],[Total Score]]&gt;9, 1, 0)</f>
        <v>0</v>
      </c>
      <c r="L465">
        <f>IF(Convert_to_Games[[#This Row],[DD]]=0, 0, IF(L464 = "Cons DD", Convert_to_Games[[#This Row],[DD]], L464+L464))</f>
        <v>0</v>
      </c>
    </row>
    <row r="466" spans="1:12">
      <c r="A466" t="s">
        <v>25</v>
      </c>
      <c r="B466" t="s">
        <v>20</v>
      </c>
      <c r="C466" t="s">
        <v>16</v>
      </c>
      <c r="D466" s="9">
        <v>45761</v>
      </c>
      <c r="E466">
        <v>43</v>
      </c>
      <c r="F466" t="s">
        <v>33</v>
      </c>
      <c r="G466">
        <v>3</v>
      </c>
      <c r="H466" t="s">
        <v>7</v>
      </c>
      <c r="I466">
        <v>4</v>
      </c>
      <c r="J466">
        <v>0</v>
      </c>
      <c r="K466">
        <f>IF(Convert_to_Games[[#This Row],[Total Score]]&gt;9, 1, 0)</f>
        <v>0</v>
      </c>
      <c r="L466">
        <f>IF(Convert_to_Games[[#This Row],[DD]]=0, 0, IF(L465 = "Cons DD", Convert_to_Games[[#This Row],[DD]], L465+L465))</f>
        <v>0</v>
      </c>
    </row>
    <row r="467" spans="1:12">
      <c r="A467" t="s">
        <v>25</v>
      </c>
      <c r="B467" t="s">
        <v>21</v>
      </c>
      <c r="C467" t="s">
        <v>16</v>
      </c>
      <c r="D467" s="9">
        <v>45763</v>
      </c>
      <c r="E467">
        <v>48</v>
      </c>
      <c r="F467" t="s">
        <v>9</v>
      </c>
      <c r="G467">
        <v>3</v>
      </c>
      <c r="H467" t="s">
        <v>5</v>
      </c>
      <c r="I467">
        <v>4</v>
      </c>
      <c r="J467">
        <v>1</v>
      </c>
      <c r="K467">
        <f>IF(Convert_to_Games[[#This Row],[Total Score]]&gt;9, 1, 0)</f>
        <v>0</v>
      </c>
      <c r="L467">
        <f>IF(Convert_to_Games[[#This Row],[DD]]=0, 0, IF(L466 = "Cons DD", Convert_to_Games[[#This Row],[DD]], L466+L466))</f>
        <v>0</v>
      </c>
    </row>
    <row r="468" spans="1:12">
      <c r="A468" t="s">
        <v>25</v>
      </c>
      <c r="B468" t="s">
        <v>19</v>
      </c>
      <c r="C468" t="s">
        <v>16</v>
      </c>
      <c r="D468" s="9">
        <v>45763</v>
      </c>
      <c r="E468">
        <v>49</v>
      </c>
      <c r="F468" t="s">
        <v>11</v>
      </c>
      <c r="G468">
        <v>3</v>
      </c>
      <c r="H468" t="s">
        <v>5</v>
      </c>
      <c r="I468">
        <v>4</v>
      </c>
      <c r="J468">
        <v>0</v>
      </c>
      <c r="K468">
        <f>IF(Convert_to_Games[[#This Row],[Total Score]]&gt;9, 1, 0)</f>
        <v>0</v>
      </c>
      <c r="L468">
        <f>IF(Convert_to_Games[[#This Row],[DD]]=0, 0, IF(L467 = "Cons DD", Convert_to_Games[[#This Row],[DD]], L467+L467))</f>
        <v>0</v>
      </c>
    </row>
    <row r="469" spans="1:12">
      <c r="A469" t="s">
        <v>25</v>
      </c>
      <c r="B469" t="s">
        <v>19</v>
      </c>
      <c r="C469" t="s">
        <v>16</v>
      </c>
      <c r="D469" s="9">
        <v>45768</v>
      </c>
      <c r="E469">
        <v>58</v>
      </c>
      <c r="F469" t="s">
        <v>32</v>
      </c>
      <c r="G469">
        <v>5</v>
      </c>
      <c r="H469" t="s">
        <v>31</v>
      </c>
      <c r="I469">
        <v>4</v>
      </c>
      <c r="J469">
        <v>0</v>
      </c>
      <c r="K469">
        <f>IF(Convert_to_Games[[#This Row],[Total Score]]&gt;9, 1, 0)</f>
        <v>0</v>
      </c>
      <c r="L469">
        <f>IF(Convert_to_Games[[#This Row],[DD]]=0, 0, IF(L468 = "Cons DD", Convert_to_Games[[#This Row],[DD]], L468+L468))</f>
        <v>0</v>
      </c>
    </row>
    <row r="470" spans="1:12">
      <c r="A470" t="s">
        <v>25</v>
      </c>
      <c r="B470" t="s">
        <v>20</v>
      </c>
      <c r="C470" t="s">
        <v>16</v>
      </c>
      <c r="D470" s="9">
        <v>45770</v>
      </c>
      <c r="E470">
        <v>63</v>
      </c>
      <c r="F470" t="s">
        <v>11</v>
      </c>
      <c r="G470">
        <v>3</v>
      </c>
      <c r="H470" t="s">
        <v>5</v>
      </c>
      <c r="I470">
        <v>4</v>
      </c>
      <c r="J470">
        <v>0</v>
      </c>
      <c r="K470">
        <f>IF(Convert_to_Games[[#This Row],[Total Score]]&gt;9, 1, 0)</f>
        <v>0</v>
      </c>
      <c r="L470">
        <f>IF(Convert_to_Games[[#This Row],[DD]]=0, 0, IF(L469 = "Cons DD", Convert_to_Games[[#This Row],[DD]], L469+L469))</f>
        <v>0</v>
      </c>
    </row>
    <row r="471" spans="1:12">
      <c r="A471" t="s">
        <v>25</v>
      </c>
      <c r="B471" t="s">
        <v>20</v>
      </c>
      <c r="C471" t="s">
        <v>16</v>
      </c>
      <c r="D471" s="9">
        <v>45770</v>
      </c>
      <c r="E471">
        <v>65</v>
      </c>
      <c r="F471" t="s">
        <v>12</v>
      </c>
      <c r="G471">
        <v>3</v>
      </c>
      <c r="H471" t="s">
        <v>7</v>
      </c>
      <c r="I471">
        <v>4</v>
      </c>
      <c r="J471">
        <v>0</v>
      </c>
      <c r="K471">
        <f>IF(Convert_to_Games[[#This Row],[Total Score]]&gt;9, 1, 0)</f>
        <v>0</v>
      </c>
      <c r="L471">
        <f>IF(Convert_to_Games[[#This Row],[DD]]=0, 0, IF(L470 = "Cons DD", Convert_to_Games[[#This Row],[DD]], L470+L470))</f>
        <v>0</v>
      </c>
    </row>
    <row r="472" spans="1:12">
      <c r="A472" t="s">
        <v>25</v>
      </c>
      <c r="B472" t="s">
        <v>20</v>
      </c>
      <c r="C472" t="s">
        <v>16</v>
      </c>
      <c r="D472" s="9">
        <v>45771</v>
      </c>
      <c r="E472">
        <v>68</v>
      </c>
      <c r="F472" t="s">
        <v>15</v>
      </c>
      <c r="G472">
        <v>3</v>
      </c>
      <c r="H472" t="s">
        <v>6</v>
      </c>
      <c r="I472">
        <v>4</v>
      </c>
      <c r="J472">
        <v>0</v>
      </c>
      <c r="K472">
        <f>IF(Convert_to_Games[[#This Row],[Total Score]]&gt;9, 1, 0)</f>
        <v>0</v>
      </c>
      <c r="L472">
        <f>IF(Convert_to_Games[[#This Row],[DD]]=0, 0, IF(L471 = "Cons DD", Convert_to_Games[[#This Row],[DD]], L471+L471))</f>
        <v>0</v>
      </c>
    </row>
    <row r="473" spans="1:12">
      <c r="A473" t="s">
        <v>25</v>
      </c>
      <c r="B473" t="s">
        <v>20</v>
      </c>
      <c r="C473" t="s">
        <v>16</v>
      </c>
      <c r="D473" s="9">
        <v>45771</v>
      </c>
      <c r="E473">
        <v>69</v>
      </c>
      <c r="F473" t="s">
        <v>8</v>
      </c>
      <c r="G473">
        <v>3</v>
      </c>
      <c r="H473" t="s">
        <v>6</v>
      </c>
      <c r="I473">
        <v>4</v>
      </c>
      <c r="J473">
        <v>0</v>
      </c>
      <c r="K473">
        <f>IF(Convert_to_Games[[#This Row],[Total Score]]&gt;9, 1, 0)</f>
        <v>0</v>
      </c>
      <c r="L473">
        <f>IF(Convert_to_Games[[#This Row],[DD]]=0, 0, IF(L472 = "Cons DD", Convert_to_Games[[#This Row],[DD]], L472+L472))</f>
        <v>0</v>
      </c>
    </row>
    <row r="474" spans="1:12">
      <c r="A474" t="s">
        <v>25</v>
      </c>
      <c r="B474" t="s">
        <v>20</v>
      </c>
      <c r="C474" t="s">
        <v>16</v>
      </c>
      <c r="D474" s="9">
        <v>45775</v>
      </c>
      <c r="E474">
        <v>72</v>
      </c>
      <c r="F474" t="s">
        <v>12</v>
      </c>
      <c r="G474">
        <v>3</v>
      </c>
      <c r="H474" t="s">
        <v>4</v>
      </c>
      <c r="I474">
        <v>4</v>
      </c>
      <c r="J474">
        <v>1</v>
      </c>
      <c r="K474">
        <f>IF(Convert_to_Games[[#This Row],[Total Score]]&gt;9, 1, 0)</f>
        <v>0</v>
      </c>
      <c r="L474">
        <f>IF(Convert_to_Games[[#This Row],[DD]]=0, 0, IF(L473 = "Cons DD", Convert_to_Games[[#This Row],[DD]], L473+L473))</f>
        <v>0</v>
      </c>
    </row>
    <row r="475" spans="1:12">
      <c r="A475" t="s">
        <v>25</v>
      </c>
      <c r="B475" t="s">
        <v>20</v>
      </c>
      <c r="C475" t="s">
        <v>16</v>
      </c>
      <c r="D475" s="9">
        <v>45776</v>
      </c>
      <c r="E475">
        <v>78</v>
      </c>
      <c r="F475" t="s">
        <v>58</v>
      </c>
      <c r="G475">
        <v>3</v>
      </c>
      <c r="H475" t="s">
        <v>7</v>
      </c>
      <c r="I475">
        <v>4</v>
      </c>
      <c r="J475">
        <v>0</v>
      </c>
      <c r="K475">
        <f>IF(Convert_to_Games[[#This Row],[Total Score]]&gt;9, 1, 0)</f>
        <v>0</v>
      </c>
      <c r="L475">
        <f>IF(Convert_to_Games[[#This Row],[DD]]=0, 0, IF(L474 = "Cons DD", Convert_to_Games[[#This Row],[DD]], L474+L474))</f>
        <v>0</v>
      </c>
    </row>
    <row r="476" spans="1:12">
      <c r="A476" t="s">
        <v>25</v>
      </c>
      <c r="B476" t="s">
        <v>20</v>
      </c>
      <c r="C476" t="s">
        <v>16</v>
      </c>
      <c r="D476" s="9">
        <v>45777</v>
      </c>
      <c r="E476">
        <v>80</v>
      </c>
      <c r="F476" t="s">
        <v>8</v>
      </c>
      <c r="G476">
        <v>3</v>
      </c>
      <c r="H476" t="s">
        <v>6</v>
      </c>
      <c r="I476">
        <v>4</v>
      </c>
      <c r="J476">
        <v>0</v>
      </c>
      <c r="K476">
        <f>IF(Convert_to_Games[[#This Row],[Total Score]]&gt;9, 1, 0)</f>
        <v>0</v>
      </c>
      <c r="L476">
        <f>IF(Convert_to_Games[[#This Row],[DD]]=0, 0, IF(L475 = "Cons DD", Convert_to_Games[[#This Row],[DD]], L475+L475))</f>
        <v>0</v>
      </c>
    </row>
    <row r="477" spans="1:12">
      <c r="A477" t="s">
        <v>25</v>
      </c>
      <c r="B477" t="s">
        <v>21</v>
      </c>
      <c r="C477" t="s">
        <v>16</v>
      </c>
      <c r="D477" s="9">
        <v>45778</v>
      </c>
      <c r="E477">
        <v>86</v>
      </c>
      <c r="F477" t="s">
        <v>11</v>
      </c>
      <c r="G477">
        <v>3</v>
      </c>
      <c r="H477" t="s">
        <v>5</v>
      </c>
      <c r="I477">
        <v>4</v>
      </c>
      <c r="J477">
        <v>0</v>
      </c>
      <c r="K477">
        <f>IF(Convert_to_Games[[#This Row],[Total Score]]&gt;9, 1, 0)</f>
        <v>0</v>
      </c>
      <c r="L477">
        <f>IF(Convert_to_Games[[#This Row],[DD]]=0, 0, IF(L476 = "Cons DD", Convert_to_Games[[#This Row],[DD]], L476+L476))</f>
        <v>0</v>
      </c>
    </row>
    <row r="478" spans="1:12">
      <c r="A478" t="s">
        <v>25</v>
      </c>
      <c r="B478" t="s">
        <v>21</v>
      </c>
      <c r="C478" t="s">
        <v>16</v>
      </c>
      <c r="D478" s="9">
        <v>45778</v>
      </c>
      <c r="E478">
        <v>87</v>
      </c>
      <c r="F478" t="s">
        <v>9</v>
      </c>
      <c r="G478">
        <v>3</v>
      </c>
      <c r="H478" t="s">
        <v>4</v>
      </c>
      <c r="I478">
        <v>4</v>
      </c>
      <c r="J478">
        <v>1</v>
      </c>
      <c r="K478">
        <f>IF(Convert_to_Games[[#This Row],[Total Score]]&gt;9, 1, 0)</f>
        <v>0</v>
      </c>
      <c r="L478">
        <f>IF(Convert_to_Games[[#This Row],[DD]]=0, 0, IF(L477 = "Cons DD", Convert_to_Games[[#This Row],[DD]], L477+L477))</f>
        <v>0</v>
      </c>
    </row>
    <row r="479" spans="1:12">
      <c r="A479" t="s">
        <v>25</v>
      </c>
      <c r="B479" t="s">
        <v>19</v>
      </c>
      <c r="C479" t="s">
        <v>16</v>
      </c>
      <c r="D479" s="9">
        <v>45779</v>
      </c>
      <c r="E479">
        <v>89</v>
      </c>
      <c r="F479" t="s">
        <v>69</v>
      </c>
      <c r="G479">
        <v>3</v>
      </c>
      <c r="H479" t="s">
        <v>5</v>
      </c>
      <c r="I479">
        <v>4</v>
      </c>
      <c r="J479">
        <v>1</v>
      </c>
      <c r="K479">
        <f>IF(Convert_to_Games[[#This Row],[Total Score]]&gt;9, 1, 0)</f>
        <v>0</v>
      </c>
      <c r="L479">
        <f>IF(Convert_to_Games[[#This Row],[DD]]=0, 0, IF(L478 = "Cons DD", Convert_to_Games[[#This Row],[DD]], L478+L478))</f>
        <v>0</v>
      </c>
    </row>
    <row r="480" spans="1:12">
      <c r="A480" t="s">
        <v>25</v>
      </c>
      <c r="B480" t="s">
        <v>20</v>
      </c>
      <c r="C480" t="s">
        <v>16</v>
      </c>
      <c r="D480" s="9">
        <v>45799</v>
      </c>
      <c r="E480">
        <v>104</v>
      </c>
      <c r="F480" t="s">
        <v>71</v>
      </c>
      <c r="G480">
        <v>3</v>
      </c>
      <c r="H480" t="s">
        <v>5</v>
      </c>
      <c r="I480">
        <v>4</v>
      </c>
      <c r="J480">
        <v>1</v>
      </c>
      <c r="K480">
        <f>IF(Convert_to_Games[[#This Row],[Total Score]]&gt;9, 1, 0)</f>
        <v>0</v>
      </c>
      <c r="L480">
        <f>IF(Convert_to_Games[[#This Row],[DD]]=0, 0, IF(L479 = "Cons DD", Convert_to_Games[[#This Row],[DD]], L479+L479))</f>
        <v>0</v>
      </c>
    </row>
    <row r="481" spans="1:12">
      <c r="A481" t="s">
        <v>25</v>
      </c>
      <c r="B481" t="s">
        <v>20</v>
      </c>
      <c r="C481" t="s">
        <v>16</v>
      </c>
      <c r="D481" s="9">
        <v>45824</v>
      </c>
      <c r="E481">
        <v>111</v>
      </c>
      <c r="F481" t="s">
        <v>9</v>
      </c>
      <c r="G481">
        <v>3</v>
      </c>
      <c r="H481" t="s">
        <v>5</v>
      </c>
      <c r="I481">
        <v>4</v>
      </c>
      <c r="J481">
        <v>0</v>
      </c>
      <c r="K481">
        <f>IF(Convert_to_Games[[#This Row],[Total Score]]&gt;9, 1, 0)</f>
        <v>0</v>
      </c>
      <c r="L481">
        <f>IF(Convert_to_Games[[#This Row],[DD]]=0, 0, IF(L480 = "Cons DD", Convert_to_Games[[#This Row],[DD]], L480+L480))</f>
        <v>0</v>
      </c>
    </row>
    <row r="482" spans="1:12">
      <c r="A482" t="s">
        <v>25</v>
      </c>
      <c r="B482" t="s">
        <v>20</v>
      </c>
      <c r="C482" t="s">
        <v>16</v>
      </c>
      <c r="D482" s="9">
        <v>45824</v>
      </c>
      <c r="E482">
        <v>112</v>
      </c>
      <c r="F482" t="s">
        <v>59</v>
      </c>
      <c r="G482">
        <v>3</v>
      </c>
      <c r="H482" t="s">
        <v>6</v>
      </c>
      <c r="I482">
        <v>4</v>
      </c>
      <c r="J482">
        <v>0</v>
      </c>
      <c r="K482">
        <f>IF(Convert_to_Games[[#This Row],[Total Score]]&gt;9, 1, 0)</f>
        <v>0</v>
      </c>
      <c r="L482">
        <f>IF(Convert_to_Games[[#This Row],[DD]]=0, 0, IF(L481 = "Cons DD", Convert_to_Games[[#This Row],[DD]], L481+L481))</f>
        <v>0</v>
      </c>
    </row>
    <row r="483" spans="1:12">
      <c r="A483" t="s">
        <v>25</v>
      </c>
      <c r="B483" t="s">
        <v>20</v>
      </c>
      <c r="C483" t="s">
        <v>16</v>
      </c>
      <c r="D483" s="9">
        <v>45832</v>
      </c>
      <c r="E483">
        <v>127</v>
      </c>
      <c r="F483" t="s">
        <v>84</v>
      </c>
      <c r="G483">
        <v>3</v>
      </c>
      <c r="H483" t="s">
        <v>6</v>
      </c>
      <c r="I483">
        <v>4</v>
      </c>
      <c r="J483">
        <v>0</v>
      </c>
      <c r="K483">
        <f>IF(Convert_to_Games[[#This Row],[Total Score]]&gt;9, 1, 0)</f>
        <v>0</v>
      </c>
      <c r="L483">
        <f>IF(Convert_to_Games[[#This Row],[DD]]=0, 0, IF(L482 = "Cons DD", Convert_to_Games[[#This Row],[DD]], L482+L482))</f>
        <v>0</v>
      </c>
    </row>
    <row r="484" spans="1:12">
      <c r="A484" t="s">
        <v>25</v>
      </c>
      <c r="B484" t="s">
        <v>20</v>
      </c>
      <c r="C484" t="s">
        <v>16</v>
      </c>
      <c r="D484" s="9">
        <v>45834</v>
      </c>
      <c r="E484">
        <v>132</v>
      </c>
      <c r="F484" t="s">
        <v>100</v>
      </c>
      <c r="G484">
        <v>3</v>
      </c>
      <c r="H484" t="s">
        <v>5</v>
      </c>
      <c r="I484">
        <v>4</v>
      </c>
      <c r="J484">
        <v>0</v>
      </c>
      <c r="K484">
        <f>IF(Convert_to_Games[[#This Row],[Total Score]]&gt;9, 1, 0)</f>
        <v>0</v>
      </c>
      <c r="L484">
        <f>IF(Convert_to_Games[[#This Row],[DD]]=0, 0, IF(L483 = "Cons DD", Convert_to_Games[[#This Row],[DD]], L483+L483))</f>
        <v>0</v>
      </c>
    </row>
    <row r="485" spans="1:12">
      <c r="A485" t="s">
        <v>25</v>
      </c>
      <c r="B485" t="s">
        <v>20</v>
      </c>
      <c r="C485" t="s">
        <v>16</v>
      </c>
      <c r="D485" s="9">
        <v>45834</v>
      </c>
      <c r="E485">
        <v>132</v>
      </c>
      <c r="F485" t="s">
        <v>100</v>
      </c>
      <c r="G485">
        <v>3</v>
      </c>
      <c r="H485" t="s">
        <v>78</v>
      </c>
      <c r="I485">
        <v>4</v>
      </c>
      <c r="J485">
        <v>0</v>
      </c>
      <c r="K485">
        <f>IF(Convert_to_Games[[#This Row],[Total Score]]&gt;9, 1, 0)</f>
        <v>0</v>
      </c>
      <c r="L485">
        <f>IF(Convert_to_Games[[#This Row],[DD]]=0, 0, IF(L484 = "Cons DD", Convert_to_Games[[#This Row],[DD]], L484+L484))</f>
        <v>0</v>
      </c>
    </row>
    <row r="486" spans="1:12">
      <c r="A486" t="s">
        <v>25</v>
      </c>
      <c r="B486" t="s">
        <v>20</v>
      </c>
      <c r="C486" t="s">
        <v>16</v>
      </c>
      <c r="D486" s="9">
        <v>45834</v>
      </c>
      <c r="E486">
        <v>133</v>
      </c>
      <c r="F486" t="s">
        <v>11</v>
      </c>
      <c r="G486">
        <v>3</v>
      </c>
      <c r="H486" t="s">
        <v>5</v>
      </c>
      <c r="I486">
        <v>4</v>
      </c>
      <c r="J486">
        <v>0</v>
      </c>
      <c r="K486">
        <f>IF(Convert_to_Games[[#This Row],[Total Score]]&gt;9, 1, 0)</f>
        <v>0</v>
      </c>
      <c r="L486">
        <f>IF(Convert_to_Games[[#This Row],[DD]]=0, 0, IF(L485 = "Cons DD", Convert_to_Games[[#This Row],[DD]], L485+L485))</f>
        <v>0</v>
      </c>
    </row>
    <row r="487" spans="1:12">
      <c r="A487" t="s">
        <v>25</v>
      </c>
      <c r="B487" t="s">
        <v>19</v>
      </c>
      <c r="C487" t="s">
        <v>16</v>
      </c>
      <c r="D487" s="9">
        <v>45835</v>
      </c>
      <c r="E487">
        <v>136</v>
      </c>
      <c r="F487" t="s">
        <v>9</v>
      </c>
      <c r="G487">
        <v>3</v>
      </c>
      <c r="H487" t="s">
        <v>4</v>
      </c>
      <c r="I487">
        <v>4</v>
      </c>
      <c r="J487">
        <v>0</v>
      </c>
      <c r="K487">
        <f>IF(Convert_to_Games[[#This Row],[Total Score]]&gt;9, 1, 0)</f>
        <v>0</v>
      </c>
      <c r="L487">
        <f>IF(Convert_to_Games[[#This Row],[DD]]=0, 0, IF(L486 = "Cons DD", Convert_to_Games[[#This Row],[DD]], L486+L486))</f>
        <v>0</v>
      </c>
    </row>
    <row r="488" spans="1:12">
      <c r="A488" t="s">
        <v>25</v>
      </c>
      <c r="B488" t="s">
        <v>20</v>
      </c>
      <c r="C488" t="s">
        <v>16</v>
      </c>
      <c r="D488" s="9">
        <v>45838</v>
      </c>
      <c r="E488">
        <v>139</v>
      </c>
      <c r="F488" t="s">
        <v>8</v>
      </c>
      <c r="G488">
        <v>3</v>
      </c>
      <c r="H488" t="s">
        <v>4</v>
      </c>
      <c r="I488">
        <v>4</v>
      </c>
      <c r="J488">
        <v>0</v>
      </c>
      <c r="K488">
        <f>IF(Convert_to_Games[[#This Row],[Total Score]]&gt;9, 1, 0)</f>
        <v>0</v>
      </c>
      <c r="L488">
        <f>IF(Convert_to_Games[[#This Row],[DD]]=0, 0, IF(L487 = "Cons DD", Convert_to_Games[[#This Row],[DD]], L487+L487))</f>
        <v>0</v>
      </c>
    </row>
    <row r="489" spans="1:12">
      <c r="A489" t="s">
        <v>25</v>
      </c>
      <c r="B489" t="s">
        <v>20</v>
      </c>
      <c r="C489" t="s">
        <v>16</v>
      </c>
      <c r="D489" s="9">
        <v>45838</v>
      </c>
      <c r="E489">
        <v>139</v>
      </c>
      <c r="F489" t="s">
        <v>8</v>
      </c>
      <c r="G489">
        <v>3</v>
      </c>
      <c r="H489" t="s">
        <v>5</v>
      </c>
      <c r="I489">
        <v>4</v>
      </c>
      <c r="J489">
        <v>0</v>
      </c>
      <c r="K489">
        <f>IF(Convert_to_Games[[#This Row],[Total Score]]&gt;9, 1, 0)</f>
        <v>0</v>
      </c>
      <c r="L489">
        <f>IF(Convert_to_Games[[#This Row],[DD]]=0, 0, IF(L488 = "Cons DD", Convert_to_Games[[#This Row],[DD]], L488+L488))</f>
        <v>0</v>
      </c>
    </row>
    <row r="490" spans="1:12">
      <c r="A490" t="s">
        <v>25</v>
      </c>
      <c r="B490" t="s">
        <v>20</v>
      </c>
      <c r="C490" t="s">
        <v>16</v>
      </c>
      <c r="D490" s="9">
        <v>45839</v>
      </c>
      <c r="E490">
        <v>142</v>
      </c>
      <c r="F490" t="s">
        <v>106</v>
      </c>
      <c r="G490">
        <v>3</v>
      </c>
      <c r="H490" t="s">
        <v>6</v>
      </c>
      <c r="I490">
        <v>4</v>
      </c>
      <c r="J490">
        <v>0</v>
      </c>
      <c r="K490">
        <f>IF(Convert_to_Games[[#This Row],[Total Score]]&gt;9, 1, 0)</f>
        <v>0</v>
      </c>
      <c r="L490">
        <f>IF(Convert_to_Games[[#This Row],[DD]]=0, 0, IF(L489 = "Cons DD", Convert_to_Games[[#This Row],[DD]], L489+L489))</f>
        <v>0</v>
      </c>
    </row>
    <row r="491" spans="1:12">
      <c r="A491" t="s">
        <v>25</v>
      </c>
      <c r="B491" t="s">
        <v>20</v>
      </c>
      <c r="C491" t="s">
        <v>16</v>
      </c>
      <c r="D491" s="9">
        <v>45840</v>
      </c>
      <c r="E491">
        <v>143</v>
      </c>
      <c r="F491" t="s">
        <v>107</v>
      </c>
      <c r="G491">
        <v>3</v>
      </c>
      <c r="H491" t="s">
        <v>4</v>
      </c>
      <c r="I491">
        <v>4</v>
      </c>
      <c r="J491">
        <v>0</v>
      </c>
      <c r="K491">
        <f>IF(Convert_to_Games[[#This Row],[Total Score]]&gt;9, 1, 0)</f>
        <v>0</v>
      </c>
      <c r="L491">
        <f>IF(Convert_to_Games[[#This Row],[DD]]=0, 0, IF(L490 = "Cons DD", Convert_to_Games[[#This Row],[DD]], L490+L490))</f>
        <v>0</v>
      </c>
    </row>
    <row r="492" spans="1:12">
      <c r="A492" t="s">
        <v>25</v>
      </c>
      <c r="B492" t="s">
        <v>20</v>
      </c>
      <c r="C492" t="s">
        <v>16</v>
      </c>
      <c r="D492" s="9">
        <v>45841</v>
      </c>
      <c r="E492">
        <v>145</v>
      </c>
      <c r="F492" t="s">
        <v>108</v>
      </c>
      <c r="G492">
        <v>3</v>
      </c>
      <c r="H492" t="s">
        <v>5</v>
      </c>
      <c r="I492">
        <v>4</v>
      </c>
      <c r="J492">
        <v>0</v>
      </c>
      <c r="K492">
        <f>IF(Convert_to_Games[[#This Row],[Total Score]]&gt;9, 1, 0)</f>
        <v>0</v>
      </c>
      <c r="L492">
        <f>IF(Convert_to_Games[[#This Row],[DD]]=0, 0, IF(L491 = "Cons DD", Convert_to_Games[[#This Row],[DD]], L491+L491))</f>
        <v>0</v>
      </c>
    </row>
    <row r="493" spans="1:12">
      <c r="A493" t="s">
        <v>25</v>
      </c>
      <c r="B493" t="s">
        <v>21</v>
      </c>
      <c r="C493" t="s">
        <v>16</v>
      </c>
      <c r="D493" s="9">
        <v>45841</v>
      </c>
      <c r="E493">
        <v>147</v>
      </c>
      <c r="F493" t="s">
        <v>100</v>
      </c>
      <c r="G493">
        <v>3</v>
      </c>
      <c r="H493" t="s">
        <v>5</v>
      </c>
      <c r="I493">
        <v>4</v>
      </c>
      <c r="J493">
        <v>0</v>
      </c>
      <c r="K493">
        <f>IF(Convert_to_Games[[#This Row],[Total Score]]&gt;9, 1, 0)</f>
        <v>0</v>
      </c>
      <c r="L493">
        <f>IF(Convert_to_Games[[#This Row],[DD]]=0, 0, IF(L492 = "Cons DD", Convert_to_Games[[#This Row],[DD]], L492+L492))</f>
        <v>0</v>
      </c>
    </row>
    <row r="494" spans="1:12">
      <c r="A494" t="s">
        <v>25</v>
      </c>
      <c r="B494" t="s">
        <v>20</v>
      </c>
      <c r="C494" t="s">
        <v>17</v>
      </c>
      <c r="D494" s="9">
        <v>45845</v>
      </c>
      <c r="E494">
        <v>148</v>
      </c>
      <c r="F494" t="s">
        <v>109</v>
      </c>
      <c r="G494">
        <v>3</v>
      </c>
      <c r="H494" t="s">
        <v>78</v>
      </c>
      <c r="I494">
        <v>4</v>
      </c>
      <c r="J494">
        <v>0</v>
      </c>
      <c r="K494">
        <f>IF(Convert_to_Games[[#This Row],[Total Score]]&gt;9, 1, 0)</f>
        <v>0</v>
      </c>
      <c r="L494">
        <f>IF(Convert_to_Games[[#This Row],[DD]]=0, 0, IF(L493 = "Cons DD", Convert_to_Games[[#This Row],[DD]], L493+L493))</f>
        <v>0</v>
      </c>
    </row>
    <row r="495" spans="1:12">
      <c r="A495" t="s">
        <v>25</v>
      </c>
      <c r="B495" t="s">
        <v>20</v>
      </c>
      <c r="C495" t="s">
        <v>16</v>
      </c>
      <c r="D495" s="9">
        <v>45847</v>
      </c>
      <c r="E495">
        <v>153</v>
      </c>
      <c r="F495" t="s">
        <v>103</v>
      </c>
      <c r="G495">
        <v>3</v>
      </c>
      <c r="H495" t="s">
        <v>4</v>
      </c>
      <c r="I495">
        <v>4</v>
      </c>
      <c r="J495">
        <v>0</v>
      </c>
      <c r="K495">
        <f>IF(Convert_to_Games[[#This Row],[Total Score]]&gt;9, 1, 0)</f>
        <v>0</v>
      </c>
      <c r="L495">
        <f>IF(Convert_to_Games[[#This Row],[DD]]=0, 0, IF(L494 = "Cons DD", Convert_to_Games[[#This Row],[DD]], L494+L494))</f>
        <v>0</v>
      </c>
    </row>
    <row r="496" spans="1:12">
      <c r="A496" t="s">
        <v>25</v>
      </c>
      <c r="B496" t="s">
        <v>21</v>
      </c>
      <c r="C496" t="s">
        <v>16</v>
      </c>
      <c r="D496" s="9">
        <v>45848</v>
      </c>
      <c r="E496">
        <v>157</v>
      </c>
      <c r="F496" t="s">
        <v>103</v>
      </c>
      <c r="G496">
        <v>5</v>
      </c>
      <c r="H496" t="s">
        <v>4</v>
      </c>
      <c r="I496">
        <v>4</v>
      </c>
      <c r="J496">
        <v>1</v>
      </c>
      <c r="K496">
        <f>IF(Convert_to_Games[[#This Row],[Total Score]]&gt;9, 1, 0)</f>
        <v>0</v>
      </c>
      <c r="L496">
        <f>IF(Convert_to_Games[[#This Row],[DD]]=0, 0, IF(L495 = "Cons DD", Convert_to_Games[[#This Row],[DD]], L495+L495))</f>
        <v>0</v>
      </c>
    </row>
    <row r="497" spans="1:12">
      <c r="A497" t="s">
        <v>25</v>
      </c>
      <c r="B497" t="s">
        <v>20</v>
      </c>
      <c r="C497" t="s">
        <v>16</v>
      </c>
      <c r="D497" s="9">
        <v>45852</v>
      </c>
      <c r="E497">
        <v>164</v>
      </c>
      <c r="F497" t="s">
        <v>111</v>
      </c>
      <c r="G497">
        <v>3</v>
      </c>
      <c r="H497" t="s">
        <v>78</v>
      </c>
      <c r="I497">
        <v>4</v>
      </c>
      <c r="J497">
        <v>1</v>
      </c>
      <c r="K497">
        <f>IF(Convert_to_Games[[#This Row],[Total Score]]&gt;9, 1, 0)</f>
        <v>0</v>
      </c>
      <c r="L497">
        <f>IF(Convert_to_Games[[#This Row],[DD]]=0, 0, IF(L496 = "Cons DD", Convert_to_Games[[#This Row],[DD]], L496+L496))</f>
        <v>0</v>
      </c>
    </row>
    <row r="498" spans="1:12">
      <c r="A498" t="s">
        <v>25</v>
      </c>
      <c r="B498" t="s">
        <v>20</v>
      </c>
      <c r="C498" t="s">
        <v>16</v>
      </c>
      <c r="D498" s="9">
        <v>45853</v>
      </c>
      <c r="E498">
        <v>165</v>
      </c>
      <c r="F498" t="s">
        <v>108</v>
      </c>
      <c r="G498">
        <v>3</v>
      </c>
      <c r="H498" t="s">
        <v>4</v>
      </c>
      <c r="I498">
        <v>4</v>
      </c>
      <c r="J498">
        <v>0</v>
      </c>
      <c r="K498">
        <f>IF(Convert_to_Games[[#This Row],[Total Score]]&gt;9, 1, 0)</f>
        <v>0</v>
      </c>
      <c r="L498">
        <f>IF(Convert_to_Games[[#This Row],[DD]]=0, 0, IF(L497 = "Cons DD", Convert_to_Games[[#This Row],[DD]], L497+L497))</f>
        <v>0</v>
      </c>
    </row>
    <row r="499" spans="1:12">
      <c r="A499" t="s">
        <v>25</v>
      </c>
      <c r="B499" t="s">
        <v>20</v>
      </c>
      <c r="C499" t="s">
        <v>16</v>
      </c>
      <c r="D499" s="9">
        <v>45855</v>
      </c>
      <c r="E499">
        <v>170</v>
      </c>
      <c r="F499" t="s">
        <v>108</v>
      </c>
      <c r="G499">
        <v>3</v>
      </c>
      <c r="H499" t="s">
        <v>4</v>
      </c>
      <c r="I499">
        <v>4</v>
      </c>
      <c r="J499">
        <v>0</v>
      </c>
      <c r="K499">
        <f>IF(Convert_to_Games[[#This Row],[Total Score]]&gt;9, 1, 0)</f>
        <v>0</v>
      </c>
      <c r="L499">
        <f>IF(Convert_to_Games[[#This Row],[DD]]=0, 0, IF(L498 = "Cons DD", Convert_to_Games[[#This Row],[DD]], L498+L498))</f>
        <v>0</v>
      </c>
    </row>
    <row r="500" spans="1:12">
      <c r="A500" t="s">
        <v>25</v>
      </c>
      <c r="B500" t="s">
        <v>19</v>
      </c>
      <c r="C500" t="s">
        <v>16</v>
      </c>
      <c r="D500" s="9">
        <v>45859</v>
      </c>
      <c r="E500">
        <v>175</v>
      </c>
      <c r="F500" t="s">
        <v>115</v>
      </c>
      <c r="G500">
        <v>3</v>
      </c>
      <c r="H500" t="s">
        <v>5</v>
      </c>
      <c r="I500">
        <v>4</v>
      </c>
      <c r="J500">
        <v>1</v>
      </c>
      <c r="K500">
        <f>IF(Convert_to_Games[[#This Row],[Total Score]]&gt;9, 1, 0)</f>
        <v>0</v>
      </c>
      <c r="L500">
        <f>IF(Convert_to_Games[[#This Row],[DD]]=0, 0, IF(L499 = "Cons DD", Convert_to_Games[[#This Row],[DD]], L499+L499))</f>
        <v>0</v>
      </c>
    </row>
    <row r="501" spans="1:12">
      <c r="A501" t="s">
        <v>25</v>
      </c>
      <c r="B501" t="s">
        <v>20</v>
      </c>
      <c r="C501" t="s">
        <v>16</v>
      </c>
      <c r="D501" s="9">
        <v>45863</v>
      </c>
      <c r="E501">
        <v>181</v>
      </c>
      <c r="F501" t="s">
        <v>71</v>
      </c>
      <c r="G501">
        <v>3</v>
      </c>
      <c r="H501" t="s">
        <v>5</v>
      </c>
      <c r="I501">
        <v>4</v>
      </c>
      <c r="J501">
        <v>1</v>
      </c>
      <c r="K501">
        <f>IF(Convert_to_Games[[#This Row],[Total Score]]&gt;9, 1, 0)</f>
        <v>0</v>
      </c>
      <c r="L501">
        <f>IF(Convert_to_Games[[#This Row],[DD]]=0, 0, IF(L500 = "Cons DD", Convert_to_Games[[#This Row],[DD]], L500+L500))</f>
        <v>0</v>
      </c>
    </row>
    <row r="502" spans="1:12">
      <c r="A502" t="s">
        <v>25</v>
      </c>
      <c r="B502" t="s">
        <v>20</v>
      </c>
      <c r="C502" t="s">
        <v>16</v>
      </c>
      <c r="D502" s="9">
        <v>45863</v>
      </c>
      <c r="E502">
        <v>182</v>
      </c>
      <c r="F502" t="s">
        <v>115</v>
      </c>
      <c r="G502">
        <v>4</v>
      </c>
      <c r="H502" t="s">
        <v>5</v>
      </c>
      <c r="I502">
        <v>4</v>
      </c>
      <c r="J502">
        <v>1</v>
      </c>
      <c r="K502">
        <f>IF(Convert_to_Games[[#This Row],[Total Score]]&gt;9, 1, 0)</f>
        <v>0</v>
      </c>
      <c r="L502">
        <f>IF(Convert_to_Games[[#This Row],[DD]]=0, 0, IF(L501 = "Cons DD", Convert_to_Games[[#This Row],[DD]], L501+L501))</f>
        <v>0</v>
      </c>
    </row>
    <row r="503" spans="1:12">
      <c r="A503" t="s">
        <v>25</v>
      </c>
      <c r="B503" t="s">
        <v>20</v>
      </c>
      <c r="C503" t="s">
        <v>116</v>
      </c>
      <c r="D503" s="9">
        <v>45868</v>
      </c>
      <c r="E503">
        <v>187</v>
      </c>
      <c r="F503" t="s">
        <v>9</v>
      </c>
      <c r="G503">
        <v>3</v>
      </c>
      <c r="H503" t="s">
        <v>5</v>
      </c>
      <c r="I503">
        <v>4</v>
      </c>
      <c r="J503">
        <v>0</v>
      </c>
      <c r="K503">
        <f>IF(Convert_to_Games[[#This Row],[Total Score]]&gt;9, 1, 0)</f>
        <v>0</v>
      </c>
      <c r="L503">
        <f>IF(Convert_to_Games[[#This Row],[DD]]=0, 0, IF(L502 = "Cons DD", Convert_to_Games[[#This Row],[DD]], L502+L502))</f>
        <v>0</v>
      </c>
    </row>
    <row r="504" spans="1:12">
      <c r="A504" t="s">
        <v>25</v>
      </c>
      <c r="B504">
        <v>256</v>
      </c>
      <c r="C504" t="s">
        <v>116</v>
      </c>
      <c r="D504" s="9">
        <v>45881</v>
      </c>
      <c r="E504">
        <v>202</v>
      </c>
      <c r="F504" t="s">
        <v>13</v>
      </c>
      <c r="G504">
        <v>3</v>
      </c>
      <c r="H504" t="s">
        <v>7</v>
      </c>
      <c r="I504">
        <v>4</v>
      </c>
      <c r="J504">
        <v>0</v>
      </c>
      <c r="K504">
        <f>IF(Convert_to_Games[[#This Row],[Total Score]]&gt;9, 1, 0)</f>
        <v>0</v>
      </c>
      <c r="L504">
        <f>IF(Convert_to_Games[[#This Row],[DD]]=0, 0, IF(L503 = "Cons DD", Convert_to_Games[[#This Row],[DD]], L503+L503))</f>
        <v>0</v>
      </c>
    </row>
    <row r="505" spans="1:12">
      <c r="A505" t="s">
        <v>25</v>
      </c>
      <c r="B505">
        <v>256</v>
      </c>
      <c r="C505" t="s">
        <v>116</v>
      </c>
      <c r="D505" s="9">
        <v>45979</v>
      </c>
      <c r="E505">
        <v>241</v>
      </c>
      <c r="F505" t="s">
        <v>118</v>
      </c>
      <c r="G505">
        <v>3</v>
      </c>
      <c r="H505" t="s">
        <v>23</v>
      </c>
      <c r="I505">
        <v>4</v>
      </c>
      <c r="J505">
        <v>0</v>
      </c>
      <c r="K505">
        <f>IF(Convert_to_Games[[#This Row],[Total Score]]&gt;9, 1, 0)</f>
        <v>0</v>
      </c>
      <c r="L505">
        <f>IF(Convert_to_Games[[#This Row],[DD]]=0, 0, IF(L504 = "Cons DD", Convert_to_Games[[#This Row],[DD]], L504+L504))</f>
        <v>0</v>
      </c>
    </row>
    <row r="506" spans="1:12">
      <c r="A506" t="s">
        <v>25</v>
      </c>
      <c r="B506">
        <v>256</v>
      </c>
      <c r="C506" t="s">
        <v>116</v>
      </c>
      <c r="D506" s="9">
        <v>46071</v>
      </c>
      <c r="E506">
        <v>263</v>
      </c>
      <c r="F506" t="s">
        <v>9</v>
      </c>
      <c r="G506">
        <v>3</v>
      </c>
      <c r="H506" t="s">
        <v>5</v>
      </c>
      <c r="I506">
        <v>4</v>
      </c>
      <c r="J506">
        <v>0</v>
      </c>
      <c r="K506">
        <f>IF(Convert_to_Games[[#This Row],[Total Score]]&gt;9, 1, 0)</f>
        <v>0</v>
      </c>
      <c r="L506">
        <f>IF(Convert_to_Games[[#This Row],[DD]]=0, 0, IF(L505 = "Cons DD", Convert_to_Games[[#This Row],[DD]], L505+L505))</f>
        <v>0</v>
      </c>
    </row>
    <row r="507" spans="1:12">
      <c r="A507" t="s">
        <v>25</v>
      </c>
      <c r="B507">
        <v>256</v>
      </c>
      <c r="C507" t="s">
        <v>116</v>
      </c>
      <c r="D507" s="9">
        <v>46091</v>
      </c>
      <c r="E507">
        <v>272</v>
      </c>
      <c r="F507" t="s">
        <v>9</v>
      </c>
      <c r="G507">
        <v>3</v>
      </c>
      <c r="H507" t="s">
        <v>5</v>
      </c>
      <c r="I507">
        <v>4</v>
      </c>
      <c r="J507">
        <v>0</v>
      </c>
      <c r="K507">
        <f>IF(Convert_to_Games[[#This Row],[Total Score]]&gt;9, 1, 0)</f>
        <v>0</v>
      </c>
      <c r="L507">
        <f>IF(Convert_to_Games[[#This Row],[DD]]=0, 0, IF(L506 = "Cons DD", Convert_to_Games[[#This Row],[DD]], L506+L506))</f>
        <v>0</v>
      </c>
    </row>
    <row r="508" spans="1:12">
      <c r="A508" t="s">
        <v>25</v>
      </c>
      <c r="B508">
        <v>256</v>
      </c>
      <c r="C508" t="s">
        <v>116</v>
      </c>
      <c r="D508" s="9">
        <v>46092</v>
      </c>
      <c r="E508">
        <v>273</v>
      </c>
      <c r="F508" t="s">
        <v>8</v>
      </c>
      <c r="G508">
        <v>4</v>
      </c>
      <c r="H508" t="s">
        <v>6</v>
      </c>
      <c r="I508">
        <v>4</v>
      </c>
      <c r="J508">
        <v>0</v>
      </c>
      <c r="K508">
        <f>IF(Convert_to_Games[[#This Row],[Total Score]]&gt;9, 1, 0)</f>
        <v>0</v>
      </c>
      <c r="L508">
        <f>IF(Convert_to_Games[[#This Row],[DD]]=0, 0, IF(L507 = "Cons DD", Convert_to_Games[[#This Row],[DD]], L507+L507))</f>
        <v>0</v>
      </c>
    </row>
    <row r="509" spans="1:12">
      <c r="A509" t="s">
        <v>25</v>
      </c>
      <c r="B509" t="s">
        <v>20</v>
      </c>
      <c r="C509" t="s">
        <v>18</v>
      </c>
      <c r="D509" s="9">
        <v>45708</v>
      </c>
      <c r="E509">
        <v>5</v>
      </c>
      <c r="F509" t="s">
        <v>10</v>
      </c>
      <c r="G509">
        <v>3</v>
      </c>
      <c r="H509" t="s">
        <v>6</v>
      </c>
      <c r="I509">
        <v>3</v>
      </c>
      <c r="J509">
        <v>0</v>
      </c>
      <c r="K509">
        <f>IF(Convert_to_Games[[#This Row],[Total Score]]&gt;9, 1, 0)</f>
        <v>0</v>
      </c>
      <c r="L509">
        <f>IF(Convert_to_Games[[#This Row],[DD]]=0, 0, IF(L508 = "Cons DD", Convert_to_Games[[#This Row],[DD]], L508+L508))</f>
        <v>0</v>
      </c>
    </row>
    <row r="510" spans="1:12">
      <c r="A510" t="s">
        <v>25</v>
      </c>
      <c r="B510" t="s">
        <v>20</v>
      </c>
      <c r="C510" t="s">
        <v>16</v>
      </c>
      <c r="D510" s="9">
        <v>45715</v>
      </c>
      <c r="E510">
        <v>12</v>
      </c>
      <c r="F510" t="s">
        <v>13</v>
      </c>
      <c r="G510">
        <v>3</v>
      </c>
      <c r="H510" t="s">
        <v>5</v>
      </c>
      <c r="I510">
        <v>3</v>
      </c>
      <c r="J510">
        <v>0</v>
      </c>
      <c r="K510">
        <f>IF(Convert_to_Games[[#This Row],[Total Score]]&gt;9, 1, 0)</f>
        <v>0</v>
      </c>
      <c r="L510">
        <f>IF(Convert_to_Games[[#This Row],[DD]]=0, 0, IF(L509 = "Cons DD", Convert_to_Games[[#This Row],[DD]], L509+L509))</f>
        <v>0</v>
      </c>
    </row>
    <row r="511" spans="1:12">
      <c r="A511" t="s">
        <v>25</v>
      </c>
      <c r="B511" t="s">
        <v>20</v>
      </c>
      <c r="C511" t="s">
        <v>16</v>
      </c>
      <c r="D511" s="9">
        <v>45715</v>
      </c>
      <c r="E511">
        <v>12</v>
      </c>
      <c r="F511" t="s">
        <v>13</v>
      </c>
      <c r="G511">
        <v>3</v>
      </c>
      <c r="H511" t="s">
        <v>7</v>
      </c>
      <c r="I511">
        <v>3</v>
      </c>
      <c r="J511">
        <v>0</v>
      </c>
      <c r="K511">
        <f>IF(Convert_to_Games[[#This Row],[Total Score]]&gt;9, 1, 0)</f>
        <v>0</v>
      </c>
      <c r="L511">
        <f>IF(Convert_to_Games[[#This Row],[DD]]=0, 0, IF(L510 = "Cons DD", Convert_to_Games[[#This Row],[DD]], L510+L510))</f>
        <v>0</v>
      </c>
    </row>
    <row r="512" spans="1:12">
      <c r="A512" t="s">
        <v>25</v>
      </c>
      <c r="B512" t="s">
        <v>20</v>
      </c>
      <c r="C512" t="s">
        <v>16</v>
      </c>
      <c r="D512" s="9">
        <v>45716</v>
      </c>
      <c r="E512">
        <v>14</v>
      </c>
      <c r="F512" t="s">
        <v>9</v>
      </c>
      <c r="G512">
        <v>3</v>
      </c>
      <c r="H512" t="s">
        <v>5</v>
      </c>
      <c r="I512">
        <v>3</v>
      </c>
      <c r="J512">
        <v>0</v>
      </c>
      <c r="K512">
        <f>IF(Convert_to_Games[[#This Row],[Total Score]]&gt;9, 1, 0)</f>
        <v>0</v>
      </c>
      <c r="L512">
        <f>IF(Convert_to_Games[[#This Row],[DD]]=0, 0, IF(L511 = "Cons DD", Convert_to_Games[[#This Row],[DD]], L511+L511))</f>
        <v>0</v>
      </c>
    </row>
    <row r="513" spans="1:12">
      <c r="A513" t="s">
        <v>25</v>
      </c>
      <c r="B513" t="s">
        <v>20</v>
      </c>
      <c r="C513" t="s">
        <v>16</v>
      </c>
      <c r="D513" s="9">
        <v>45716</v>
      </c>
      <c r="E513">
        <v>15</v>
      </c>
      <c r="F513" t="s">
        <v>11</v>
      </c>
      <c r="G513">
        <v>3</v>
      </c>
      <c r="H513" t="s">
        <v>5</v>
      </c>
      <c r="I513">
        <v>3</v>
      </c>
      <c r="J513">
        <v>0</v>
      </c>
      <c r="K513">
        <f>IF(Convert_to_Games[[#This Row],[Total Score]]&gt;9, 1, 0)</f>
        <v>0</v>
      </c>
      <c r="L513">
        <f>IF(Convert_to_Games[[#This Row],[DD]]=0, 0, IF(L512 = "Cons DD", Convert_to_Games[[#This Row],[DD]], L512+L512))</f>
        <v>0</v>
      </c>
    </row>
    <row r="514" spans="1:12">
      <c r="A514" t="s">
        <v>25</v>
      </c>
      <c r="B514" t="s">
        <v>20</v>
      </c>
      <c r="C514" t="s">
        <v>18</v>
      </c>
      <c r="D514" s="9">
        <v>45740</v>
      </c>
      <c r="E514">
        <v>25</v>
      </c>
      <c r="F514" t="s">
        <v>13</v>
      </c>
      <c r="G514">
        <v>3</v>
      </c>
      <c r="H514" t="s">
        <v>5</v>
      </c>
      <c r="I514">
        <v>3</v>
      </c>
      <c r="J514">
        <v>0</v>
      </c>
      <c r="K514">
        <f>IF(Convert_to_Games[[#This Row],[Total Score]]&gt;9, 1, 0)</f>
        <v>0</v>
      </c>
      <c r="L514">
        <f>IF(Convert_to_Games[[#This Row],[DD]]=0, 0, IF(L513 = "Cons DD", Convert_to_Games[[#This Row],[DD]], L513+L513))</f>
        <v>0</v>
      </c>
    </row>
    <row r="515" spans="1:12">
      <c r="A515" t="s">
        <v>25</v>
      </c>
      <c r="B515" t="s">
        <v>20</v>
      </c>
      <c r="C515" t="s">
        <v>16</v>
      </c>
      <c r="D515" s="9">
        <v>45762</v>
      </c>
      <c r="E515">
        <v>47</v>
      </c>
      <c r="F515" t="s">
        <v>27</v>
      </c>
      <c r="G515">
        <v>3</v>
      </c>
      <c r="H515" t="s">
        <v>5</v>
      </c>
      <c r="I515">
        <v>3</v>
      </c>
      <c r="J515">
        <v>1</v>
      </c>
      <c r="K515">
        <f>IF(Convert_to_Games[[#This Row],[Total Score]]&gt;9, 1, 0)</f>
        <v>0</v>
      </c>
      <c r="L515">
        <f>IF(Convert_to_Games[[#This Row],[DD]]=0, 0, IF(L514 = "Cons DD", Convert_to_Games[[#This Row],[DD]], L514+L514))</f>
        <v>0</v>
      </c>
    </row>
    <row r="516" spans="1:12">
      <c r="A516" t="s">
        <v>25</v>
      </c>
      <c r="B516" t="s">
        <v>21</v>
      </c>
      <c r="C516" t="s">
        <v>16</v>
      </c>
      <c r="D516" s="9">
        <v>45763</v>
      </c>
      <c r="E516">
        <v>48</v>
      </c>
      <c r="F516" t="s">
        <v>9</v>
      </c>
      <c r="G516">
        <v>3</v>
      </c>
      <c r="H516" t="s">
        <v>4</v>
      </c>
      <c r="I516">
        <v>3</v>
      </c>
      <c r="J516">
        <v>0</v>
      </c>
      <c r="K516">
        <f>IF(Convert_to_Games[[#This Row],[Total Score]]&gt;9, 1, 0)</f>
        <v>0</v>
      </c>
      <c r="L516">
        <f>IF(Convert_to_Games[[#This Row],[DD]]=0, 0, IF(L515 = "Cons DD", Convert_to_Games[[#This Row],[DD]], L515+L515))</f>
        <v>0</v>
      </c>
    </row>
    <row r="517" spans="1:12">
      <c r="A517" t="s">
        <v>25</v>
      </c>
      <c r="B517" t="s">
        <v>20</v>
      </c>
      <c r="C517" t="s">
        <v>16</v>
      </c>
      <c r="D517" s="9">
        <v>45763</v>
      </c>
      <c r="E517">
        <v>50</v>
      </c>
      <c r="F517" t="s">
        <v>11</v>
      </c>
      <c r="G517">
        <v>3</v>
      </c>
      <c r="H517" t="s">
        <v>4</v>
      </c>
      <c r="I517">
        <v>3</v>
      </c>
      <c r="J517">
        <v>0</v>
      </c>
      <c r="K517">
        <f>IF(Convert_to_Games[[#This Row],[Total Score]]&gt;9, 1, 0)</f>
        <v>0</v>
      </c>
      <c r="L517">
        <f>IF(Convert_to_Games[[#This Row],[DD]]=0, 0, IF(L516 = "Cons DD", Convert_to_Games[[#This Row],[DD]], L516+L516))</f>
        <v>0</v>
      </c>
    </row>
    <row r="518" spans="1:12">
      <c r="A518" t="s">
        <v>25</v>
      </c>
      <c r="B518" t="s">
        <v>21</v>
      </c>
      <c r="C518" t="s">
        <v>16</v>
      </c>
      <c r="D518" s="9">
        <v>45764</v>
      </c>
      <c r="E518">
        <v>54</v>
      </c>
      <c r="F518" t="s">
        <v>28</v>
      </c>
      <c r="G518">
        <v>3</v>
      </c>
      <c r="H518" t="s">
        <v>5</v>
      </c>
      <c r="I518">
        <v>3</v>
      </c>
      <c r="J518">
        <v>0</v>
      </c>
      <c r="K518">
        <f>IF(Convert_to_Games[[#This Row],[Total Score]]&gt;9, 1, 0)</f>
        <v>0</v>
      </c>
      <c r="L518">
        <f>IF(Convert_to_Games[[#This Row],[DD]]=0, 0, IF(L517 = "Cons DD", Convert_to_Games[[#This Row],[DD]], L517+L517))</f>
        <v>0</v>
      </c>
    </row>
    <row r="519" spans="1:12">
      <c r="A519" t="s">
        <v>25</v>
      </c>
      <c r="B519" t="s">
        <v>21</v>
      </c>
      <c r="C519" t="s">
        <v>16</v>
      </c>
      <c r="D519" s="9">
        <v>45764</v>
      </c>
      <c r="E519">
        <v>54</v>
      </c>
      <c r="F519" t="s">
        <v>28</v>
      </c>
      <c r="G519">
        <v>3</v>
      </c>
      <c r="H519" t="s">
        <v>7</v>
      </c>
      <c r="I519">
        <v>3</v>
      </c>
      <c r="J519">
        <v>0</v>
      </c>
      <c r="K519">
        <f>IF(Convert_to_Games[[#This Row],[Total Score]]&gt;9, 1, 0)</f>
        <v>0</v>
      </c>
      <c r="L519">
        <f>IF(Convert_to_Games[[#This Row],[DD]]=0, 0, IF(L518 = "Cons DD", Convert_to_Games[[#This Row],[DD]], L518+L518))</f>
        <v>0</v>
      </c>
    </row>
    <row r="520" spans="1:12">
      <c r="A520" t="s">
        <v>25</v>
      </c>
      <c r="B520" t="s">
        <v>19</v>
      </c>
      <c r="C520" t="s">
        <v>16</v>
      </c>
      <c r="D520" s="9">
        <v>45765</v>
      </c>
      <c r="E520">
        <v>56</v>
      </c>
      <c r="F520" t="s">
        <v>11</v>
      </c>
      <c r="G520">
        <v>3</v>
      </c>
      <c r="H520" t="s">
        <v>5</v>
      </c>
      <c r="I520">
        <v>3</v>
      </c>
      <c r="J520">
        <v>0</v>
      </c>
      <c r="K520">
        <f>IF(Convert_to_Games[[#This Row],[Total Score]]&gt;9, 1, 0)</f>
        <v>0</v>
      </c>
      <c r="L520">
        <f>IF(Convert_to_Games[[#This Row],[DD]]=0, 0, IF(L519 = "Cons DD", Convert_to_Games[[#This Row],[DD]], L519+L519))</f>
        <v>0</v>
      </c>
    </row>
    <row r="521" spans="1:12">
      <c r="A521" t="s">
        <v>25</v>
      </c>
      <c r="B521" t="s">
        <v>19</v>
      </c>
      <c r="C521" t="s">
        <v>16</v>
      </c>
      <c r="D521" s="9">
        <v>45768</v>
      </c>
      <c r="E521">
        <v>58</v>
      </c>
      <c r="F521" t="s">
        <v>32</v>
      </c>
      <c r="G521">
        <v>3</v>
      </c>
      <c r="H521" t="s">
        <v>5</v>
      </c>
      <c r="I521">
        <v>3</v>
      </c>
      <c r="J521">
        <v>0</v>
      </c>
      <c r="K521">
        <f>IF(Convert_to_Games[[#This Row],[Total Score]]&gt;9, 1, 0)</f>
        <v>0</v>
      </c>
      <c r="L521">
        <f>IF(Convert_to_Games[[#This Row],[DD]]=0, 0, IF(L520 = "Cons DD", Convert_to_Games[[#This Row],[DD]], L520+L520))</f>
        <v>0</v>
      </c>
    </row>
    <row r="522" spans="1:12">
      <c r="A522" t="s">
        <v>25</v>
      </c>
      <c r="B522" t="s">
        <v>20</v>
      </c>
      <c r="C522" t="s">
        <v>16</v>
      </c>
      <c r="D522" s="9">
        <v>45770</v>
      </c>
      <c r="E522">
        <v>65</v>
      </c>
      <c r="F522" t="s">
        <v>12</v>
      </c>
      <c r="G522">
        <v>3</v>
      </c>
      <c r="H522" t="s">
        <v>5</v>
      </c>
      <c r="I522">
        <v>3</v>
      </c>
      <c r="J522">
        <v>0</v>
      </c>
      <c r="K522">
        <f>IF(Convert_to_Games[[#This Row],[Total Score]]&gt;9, 1, 0)</f>
        <v>0</v>
      </c>
      <c r="L522">
        <f>IF(Convert_to_Games[[#This Row],[DD]]=0, 0, IF(L521 = "Cons DD", Convert_to_Games[[#This Row],[DD]], L521+L521))</f>
        <v>0</v>
      </c>
    </row>
    <row r="523" spans="1:12">
      <c r="A523" t="s">
        <v>25</v>
      </c>
      <c r="B523" t="s">
        <v>21</v>
      </c>
      <c r="C523" t="s">
        <v>16</v>
      </c>
      <c r="D523" s="9">
        <v>45771</v>
      </c>
      <c r="E523">
        <v>66</v>
      </c>
      <c r="F523" t="s">
        <v>9</v>
      </c>
      <c r="G523">
        <v>3</v>
      </c>
      <c r="H523" t="s">
        <v>5</v>
      </c>
      <c r="I523">
        <v>3</v>
      </c>
      <c r="J523">
        <v>0</v>
      </c>
      <c r="K523">
        <f>IF(Convert_to_Games[[#This Row],[Total Score]]&gt;9, 1, 0)</f>
        <v>0</v>
      </c>
      <c r="L523">
        <f>IF(Convert_to_Games[[#This Row],[DD]]=0, 0, IF(L522 = "Cons DD", Convert_to_Games[[#This Row],[DD]], L522+L522))</f>
        <v>0</v>
      </c>
    </row>
    <row r="524" spans="1:12">
      <c r="A524" t="s">
        <v>25</v>
      </c>
      <c r="B524" t="s">
        <v>19</v>
      </c>
      <c r="C524" t="s">
        <v>16</v>
      </c>
      <c r="D524" s="9">
        <v>45771</v>
      </c>
      <c r="E524">
        <v>67</v>
      </c>
      <c r="F524" t="s">
        <v>11</v>
      </c>
      <c r="G524">
        <v>3</v>
      </c>
      <c r="H524" t="s">
        <v>5</v>
      </c>
      <c r="I524">
        <v>3</v>
      </c>
      <c r="J524">
        <v>0</v>
      </c>
      <c r="K524">
        <f>IF(Convert_to_Games[[#This Row],[Total Score]]&gt;9, 1, 0)</f>
        <v>0</v>
      </c>
      <c r="L524">
        <f>IF(Convert_to_Games[[#This Row],[DD]]=0, 0, IF(L523 = "Cons DD", Convert_to_Games[[#This Row],[DD]], L523+L523))</f>
        <v>0</v>
      </c>
    </row>
    <row r="525" spans="1:12">
      <c r="A525" t="s">
        <v>25</v>
      </c>
      <c r="B525" t="s">
        <v>21</v>
      </c>
      <c r="C525" t="s">
        <v>16</v>
      </c>
      <c r="D525" s="9">
        <v>45775</v>
      </c>
      <c r="E525">
        <v>74</v>
      </c>
      <c r="F525" t="s">
        <v>33</v>
      </c>
      <c r="G525">
        <v>3</v>
      </c>
      <c r="H525" t="s">
        <v>7</v>
      </c>
      <c r="I525">
        <v>3</v>
      </c>
      <c r="J525">
        <v>0</v>
      </c>
      <c r="K525">
        <f>IF(Convert_to_Games[[#This Row],[Total Score]]&gt;9, 1, 0)</f>
        <v>0</v>
      </c>
      <c r="L525">
        <f>IF(Convert_to_Games[[#This Row],[DD]]=0, 0, IF(L524 = "Cons DD", Convert_to_Games[[#This Row],[DD]], L524+L524))</f>
        <v>0</v>
      </c>
    </row>
    <row r="526" spans="1:12">
      <c r="A526" t="s">
        <v>25</v>
      </c>
      <c r="B526" t="s">
        <v>20</v>
      </c>
      <c r="C526" t="s">
        <v>16</v>
      </c>
      <c r="D526" s="9">
        <v>45777</v>
      </c>
      <c r="E526">
        <v>80</v>
      </c>
      <c r="F526" t="s">
        <v>8</v>
      </c>
      <c r="G526">
        <v>3</v>
      </c>
      <c r="H526" t="s">
        <v>5</v>
      </c>
      <c r="I526">
        <v>3</v>
      </c>
      <c r="J526">
        <v>0</v>
      </c>
      <c r="K526">
        <f>IF(Convert_to_Games[[#This Row],[Total Score]]&gt;9, 1, 0)</f>
        <v>0</v>
      </c>
      <c r="L526">
        <f>IF(Convert_to_Games[[#This Row],[DD]]=0, 0, IF(L525 = "Cons DD", Convert_to_Games[[#This Row],[DD]], L525+L525))</f>
        <v>0</v>
      </c>
    </row>
    <row r="527" spans="1:12">
      <c r="A527" t="s">
        <v>25</v>
      </c>
      <c r="B527" t="s">
        <v>21</v>
      </c>
      <c r="C527" t="s">
        <v>16</v>
      </c>
      <c r="D527" s="9">
        <v>45778</v>
      </c>
      <c r="E527">
        <v>87</v>
      </c>
      <c r="F527" t="s">
        <v>9</v>
      </c>
      <c r="G527">
        <v>3</v>
      </c>
      <c r="H527" t="s">
        <v>5</v>
      </c>
      <c r="I527">
        <v>3</v>
      </c>
      <c r="J527">
        <v>0</v>
      </c>
      <c r="K527">
        <f>IF(Convert_to_Games[[#This Row],[Total Score]]&gt;9, 1, 0)</f>
        <v>0</v>
      </c>
      <c r="L527">
        <f>IF(Convert_to_Games[[#This Row],[DD]]=0, 0, IF(L526 = "Cons DD", Convert_to_Games[[#This Row],[DD]], L526+L526))</f>
        <v>0</v>
      </c>
    </row>
    <row r="528" spans="1:12">
      <c r="A528" t="s">
        <v>25</v>
      </c>
      <c r="B528" t="s">
        <v>20</v>
      </c>
      <c r="C528" t="s">
        <v>16</v>
      </c>
      <c r="D528" s="9">
        <v>45783</v>
      </c>
      <c r="E528">
        <v>92</v>
      </c>
      <c r="F528" t="s">
        <v>11</v>
      </c>
      <c r="G528">
        <v>3</v>
      </c>
      <c r="H528" t="s">
        <v>5</v>
      </c>
      <c r="I528">
        <v>3</v>
      </c>
      <c r="J528">
        <v>0</v>
      </c>
      <c r="K528">
        <f>IF(Convert_to_Games[[#This Row],[Total Score]]&gt;9, 1, 0)</f>
        <v>0</v>
      </c>
      <c r="L528">
        <f>IF(Convert_to_Games[[#This Row],[DD]]=0, 0, IF(L527 = "Cons DD", Convert_to_Games[[#This Row],[DD]], L527+L527))</f>
        <v>0</v>
      </c>
    </row>
    <row r="529" spans="1:12">
      <c r="A529" t="s">
        <v>25</v>
      </c>
      <c r="B529" t="s">
        <v>20</v>
      </c>
      <c r="C529" t="s">
        <v>16</v>
      </c>
      <c r="D529" s="9">
        <v>45790</v>
      </c>
      <c r="E529">
        <v>96</v>
      </c>
      <c r="F529" t="s">
        <v>9</v>
      </c>
      <c r="G529">
        <v>3</v>
      </c>
      <c r="H529" t="s">
        <v>5</v>
      </c>
      <c r="I529">
        <v>3</v>
      </c>
      <c r="J529">
        <v>0</v>
      </c>
      <c r="K529">
        <f>IF(Convert_to_Games[[#This Row],[Total Score]]&gt;9, 1, 0)</f>
        <v>0</v>
      </c>
      <c r="L529">
        <f>IF(Convert_to_Games[[#This Row],[DD]]=0, 0, IF(L528 = "Cons DD", Convert_to_Games[[#This Row],[DD]], L528+L528))</f>
        <v>0</v>
      </c>
    </row>
    <row r="530" spans="1:12">
      <c r="A530" t="s">
        <v>25</v>
      </c>
      <c r="B530" t="s">
        <v>20</v>
      </c>
      <c r="C530" t="s">
        <v>16</v>
      </c>
      <c r="D530" s="9">
        <v>45791</v>
      </c>
      <c r="E530">
        <v>98</v>
      </c>
      <c r="F530" t="s">
        <v>8</v>
      </c>
      <c r="G530">
        <v>3</v>
      </c>
      <c r="H530" t="s">
        <v>6</v>
      </c>
      <c r="I530">
        <v>3</v>
      </c>
      <c r="J530">
        <v>0</v>
      </c>
      <c r="K530">
        <f>IF(Convert_to_Games[[#This Row],[Total Score]]&gt;9, 1, 0)</f>
        <v>0</v>
      </c>
      <c r="L530">
        <f>IF(Convert_to_Games[[#This Row],[DD]]=0, 0, IF(L529 = "Cons DD", Convert_to_Games[[#This Row],[DD]], L529+L529))</f>
        <v>0</v>
      </c>
    </row>
    <row r="531" spans="1:12">
      <c r="A531" t="s">
        <v>25</v>
      </c>
      <c r="B531" t="s">
        <v>20</v>
      </c>
      <c r="C531" t="s">
        <v>16</v>
      </c>
      <c r="D531" s="9">
        <v>45791</v>
      </c>
      <c r="E531">
        <v>99</v>
      </c>
      <c r="F531" t="s">
        <v>70</v>
      </c>
      <c r="G531">
        <v>3</v>
      </c>
      <c r="H531" t="s">
        <v>4</v>
      </c>
      <c r="I531">
        <v>3</v>
      </c>
      <c r="J531">
        <v>0</v>
      </c>
      <c r="K531">
        <f>IF(Convert_to_Games[[#This Row],[Total Score]]&gt;9, 1, 0)</f>
        <v>0</v>
      </c>
      <c r="L531">
        <f>IF(Convert_to_Games[[#This Row],[DD]]=0, 0, IF(L530 = "Cons DD", Convert_to_Games[[#This Row],[DD]], L530+L530))</f>
        <v>0</v>
      </c>
    </row>
    <row r="532" spans="1:12">
      <c r="A532" t="s">
        <v>25</v>
      </c>
      <c r="B532" t="s">
        <v>20</v>
      </c>
      <c r="C532" t="s">
        <v>16</v>
      </c>
      <c r="D532" s="9">
        <v>45811</v>
      </c>
      <c r="E532">
        <v>105</v>
      </c>
      <c r="F532" t="s">
        <v>71</v>
      </c>
      <c r="G532">
        <v>3</v>
      </c>
      <c r="H532" t="s">
        <v>5</v>
      </c>
      <c r="I532">
        <v>3</v>
      </c>
      <c r="J532">
        <v>1</v>
      </c>
      <c r="K532">
        <f>IF(Convert_to_Games[[#This Row],[Total Score]]&gt;9, 1, 0)</f>
        <v>0</v>
      </c>
      <c r="L532">
        <f>IF(Convert_to_Games[[#This Row],[DD]]=0, 0, IF(L531 = "Cons DD", Convert_to_Games[[#This Row],[DD]], L531+L531))</f>
        <v>0</v>
      </c>
    </row>
    <row r="533" spans="1:12">
      <c r="A533" t="s">
        <v>25</v>
      </c>
      <c r="B533" t="s">
        <v>20</v>
      </c>
      <c r="C533" t="s">
        <v>16</v>
      </c>
      <c r="D533" s="9">
        <v>45811</v>
      </c>
      <c r="E533">
        <v>106</v>
      </c>
      <c r="F533" t="s">
        <v>34</v>
      </c>
      <c r="G533">
        <v>3</v>
      </c>
      <c r="H533" t="s">
        <v>5</v>
      </c>
      <c r="I533">
        <v>3</v>
      </c>
      <c r="J533">
        <v>1</v>
      </c>
      <c r="K533">
        <f>IF(Convert_to_Games[[#This Row],[Total Score]]&gt;9, 1, 0)</f>
        <v>0</v>
      </c>
      <c r="L533">
        <f>IF(Convert_to_Games[[#This Row],[DD]]=0, 0, IF(L532 = "Cons DD", Convert_to_Games[[#This Row],[DD]], L532+L532))</f>
        <v>0</v>
      </c>
    </row>
    <row r="534" spans="1:12">
      <c r="A534" t="s">
        <v>25</v>
      </c>
      <c r="B534" t="s">
        <v>20</v>
      </c>
      <c r="C534" t="s">
        <v>16</v>
      </c>
      <c r="D534" s="9">
        <v>45821</v>
      </c>
      <c r="E534">
        <v>110</v>
      </c>
      <c r="F534" t="s">
        <v>11</v>
      </c>
      <c r="G534">
        <v>3</v>
      </c>
      <c r="H534" t="s">
        <v>5</v>
      </c>
      <c r="I534">
        <v>3</v>
      </c>
      <c r="J534">
        <v>0</v>
      </c>
      <c r="K534">
        <f>IF(Convert_to_Games[[#This Row],[Total Score]]&gt;9, 1, 0)</f>
        <v>0</v>
      </c>
      <c r="L534">
        <f>IF(Convert_to_Games[[#This Row],[DD]]=0, 0, IF(L533 = "Cons DD", Convert_to_Games[[#This Row],[DD]], L533+L533))</f>
        <v>0</v>
      </c>
    </row>
    <row r="535" spans="1:12">
      <c r="A535" t="s">
        <v>25</v>
      </c>
      <c r="B535" t="s">
        <v>20</v>
      </c>
      <c r="C535" t="s">
        <v>16</v>
      </c>
      <c r="D535" s="9">
        <v>45824</v>
      </c>
      <c r="E535">
        <v>112</v>
      </c>
      <c r="F535" t="s">
        <v>59</v>
      </c>
      <c r="G535">
        <v>3</v>
      </c>
      <c r="H535" t="s">
        <v>4</v>
      </c>
      <c r="I535">
        <v>3</v>
      </c>
      <c r="J535">
        <v>0</v>
      </c>
      <c r="K535">
        <f>IF(Convert_to_Games[[#This Row],[Total Score]]&gt;9, 1, 0)</f>
        <v>0</v>
      </c>
      <c r="L535">
        <f>IF(Convert_to_Games[[#This Row],[DD]]=0, 0, IF(L534 = "Cons DD", Convert_to_Games[[#This Row],[DD]], L534+L534))</f>
        <v>0</v>
      </c>
    </row>
    <row r="536" spans="1:12">
      <c r="A536" t="s">
        <v>25</v>
      </c>
      <c r="B536" t="s">
        <v>21</v>
      </c>
      <c r="C536" t="s">
        <v>16</v>
      </c>
      <c r="D536" s="9">
        <v>45828</v>
      </c>
      <c r="E536">
        <v>123</v>
      </c>
      <c r="F536" t="s">
        <v>9</v>
      </c>
      <c r="G536">
        <v>3</v>
      </c>
      <c r="H536" t="s">
        <v>5</v>
      </c>
      <c r="I536">
        <v>3</v>
      </c>
      <c r="J536">
        <v>0</v>
      </c>
      <c r="K536">
        <f>IF(Convert_to_Games[[#This Row],[Total Score]]&gt;9, 1, 0)</f>
        <v>0</v>
      </c>
      <c r="L536">
        <f>IF(Convert_to_Games[[#This Row],[DD]]=0, 0, IF(L535 = "Cons DD", Convert_to_Games[[#This Row],[DD]], L535+L535))</f>
        <v>0</v>
      </c>
    </row>
    <row r="537" spans="1:12">
      <c r="A537" t="s">
        <v>25</v>
      </c>
      <c r="B537" t="s">
        <v>20</v>
      </c>
      <c r="C537" t="s">
        <v>16</v>
      </c>
      <c r="D537" s="9">
        <v>45835</v>
      </c>
      <c r="E537">
        <v>134</v>
      </c>
      <c r="F537" t="s">
        <v>103</v>
      </c>
      <c r="G537">
        <v>3</v>
      </c>
      <c r="H537" t="s">
        <v>78</v>
      </c>
      <c r="I537">
        <v>3</v>
      </c>
      <c r="J537">
        <v>0</v>
      </c>
      <c r="K537">
        <f>IF(Convert_to_Games[[#This Row],[Total Score]]&gt;9, 1, 0)</f>
        <v>0</v>
      </c>
      <c r="L537">
        <f>IF(Convert_to_Games[[#This Row],[DD]]=0, 0, IF(L536 = "Cons DD", Convert_to_Games[[#This Row],[DD]], L536+L536))</f>
        <v>0</v>
      </c>
    </row>
    <row r="538" spans="1:12">
      <c r="A538" t="s">
        <v>25</v>
      </c>
      <c r="B538" t="s">
        <v>19</v>
      </c>
      <c r="C538" t="s">
        <v>16</v>
      </c>
      <c r="D538" s="9">
        <v>45838</v>
      </c>
      <c r="E538">
        <v>138</v>
      </c>
      <c r="F538" t="s">
        <v>94</v>
      </c>
      <c r="G538">
        <v>3</v>
      </c>
      <c r="H538" t="s">
        <v>5</v>
      </c>
      <c r="I538">
        <v>3</v>
      </c>
      <c r="J538">
        <v>0</v>
      </c>
      <c r="K538">
        <f>IF(Convert_to_Games[[#This Row],[Total Score]]&gt;9, 1, 0)</f>
        <v>0</v>
      </c>
      <c r="L538">
        <f>IF(Convert_to_Games[[#This Row],[DD]]=0, 0, IF(L537 = "Cons DD", Convert_to_Games[[#This Row],[DD]], L537+L537))</f>
        <v>0</v>
      </c>
    </row>
    <row r="539" spans="1:12">
      <c r="A539" t="s">
        <v>25</v>
      </c>
      <c r="B539" t="s">
        <v>19</v>
      </c>
      <c r="C539" t="s">
        <v>16</v>
      </c>
      <c r="D539" s="9">
        <v>45838</v>
      </c>
      <c r="E539">
        <v>138</v>
      </c>
      <c r="F539" t="s">
        <v>94</v>
      </c>
      <c r="G539">
        <v>3</v>
      </c>
      <c r="H539" t="s">
        <v>78</v>
      </c>
      <c r="I539">
        <v>3</v>
      </c>
      <c r="J539">
        <v>0</v>
      </c>
      <c r="K539">
        <f>IF(Convert_to_Games[[#This Row],[Total Score]]&gt;9, 1, 0)</f>
        <v>0</v>
      </c>
      <c r="L539">
        <f>IF(Convert_to_Games[[#This Row],[DD]]=0, 0, IF(L538 = "Cons DD", Convert_to_Games[[#This Row],[DD]], L538+L538))</f>
        <v>0</v>
      </c>
    </row>
    <row r="540" spans="1:12">
      <c r="A540" t="s">
        <v>25</v>
      </c>
      <c r="B540" t="s">
        <v>19</v>
      </c>
      <c r="C540" t="s">
        <v>16</v>
      </c>
      <c r="D540" s="9">
        <v>45839</v>
      </c>
      <c r="E540">
        <v>141</v>
      </c>
      <c r="F540" t="s">
        <v>8</v>
      </c>
      <c r="G540">
        <v>3</v>
      </c>
      <c r="H540" t="s">
        <v>4</v>
      </c>
      <c r="I540">
        <v>3</v>
      </c>
      <c r="J540">
        <v>0</v>
      </c>
      <c r="K540">
        <f>IF(Convert_to_Games[[#This Row],[Total Score]]&gt;9, 1, 0)</f>
        <v>0</v>
      </c>
      <c r="L540">
        <f>IF(Convert_to_Games[[#This Row],[DD]]=0, 0, IF(L539 = "Cons DD", Convert_to_Games[[#This Row],[DD]], L539+L539))</f>
        <v>0</v>
      </c>
    </row>
    <row r="541" spans="1:12">
      <c r="A541" t="s">
        <v>25</v>
      </c>
      <c r="B541" t="s">
        <v>20</v>
      </c>
      <c r="C541" t="s">
        <v>16</v>
      </c>
      <c r="D541" s="9">
        <v>45840</v>
      </c>
      <c r="E541">
        <v>143</v>
      </c>
      <c r="F541" t="s">
        <v>107</v>
      </c>
      <c r="G541">
        <v>3</v>
      </c>
      <c r="H541" t="s">
        <v>6</v>
      </c>
      <c r="I541">
        <v>3</v>
      </c>
      <c r="J541">
        <v>0</v>
      </c>
      <c r="K541">
        <f>IF(Convert_to_Games[[#This Row],[Total Score]]&gt;9, 1, 0)</f>
        <v>0</v>
      </c>
      <c r="L541">
        <f>IF(Convert_to_Games[[#This Row],[DD]]=0, 0, IF(L540 = "Cons DD", Convert_to_Games[[#This Row],[DD]], L540+L540))</f>
        <v>0</v>
      </c>
    </row>
    <row r="542" spans="1:12">
      <c r="A542" t="s">
        <v>25</v>
      </c>
      <c r="B542" t="s">
        <v>19</v>
      </c>
      <c r="C542" t="s">
        <v>16</v>
      </c>
      <c r="D542" s="9">
        <v>45841</v>
      </c>
      <c r="E542">
        <v>146</v>
      </c>
      <c r="F542" t="s">
        <v>104</v>
      </c>
      <c r="G542">
        <v>3</v>
      </c>
      <c r="H542" t="s">
        <v>78</v>
      </c>
      <c r="I542">
        <v>3</v>
      </c>
      <c r="J542">
        <v>0</v>
      </c>
      <c r="K542">
        <f>IF(Convert_to_Games[[#This Row],[Total Score]]&gt;9, 1, 0)</f>
        <v>0</v>
      </c>
      <c r="L542">
        <f>IF(Convert_to_Games[[#This Row],[DD]]=0, 0, IF(L541 = "Cons DD", Convert_to_Games[[#This Row],[DD]], L541+L541))</f>
        <v>0</v>
      </c>
    </row>
    <row r="543" spans="1:12">
      <c r="A543" t="s">
        <v>25</v>
      </c>
      <c r="B543" t="s">
        <v>21</v>
      </c>
      <c r="C543" t="s">
        <v>16</v>
      </c>
      <c r="D543" s="9">
        <v>45841</v>
      </c>
      <c r="E543">
        <v>147</v>
      </c>
      <c r="F543" t="s">
        <v>100</v>
      </c>
      <c r="G543">
        <v>3</v>
      </c>
      <c r="H543" t="s">
        <v>78</v>
      </c>
      <c r="I543">
        <v>3</v>
      </c>
      <c r="J543">
        <v>0</v>
      </c>
      <c r="K543">
        <f>IF(Convert_to_Games[[#This Row],[Total Score]]&gt;9, 1, 0)</f>
        <v>0</v>
      </c>
      <c r="L543">
        <f>IF(Convert_to_Games[[#This Row],[DD]]=0, 0, IF(L542 = "Cons DD", Convert_to_Games[[#This Row],[DD]], L542+L542))</f>
        <v>0</v>
      </c>
    </row>
    <row r="544" spans="1:12">
      <c r="A544" t="s">
        <v>25</v>
      </c>
      <c r="B544" t="s">
        <v>21</v>
      </c>
      <c r="C544" t="s">
        <v>16</v>
      </c>
      <c r="D544" s="9">
        <v>45848</v>
      </c>
      <c r="E544">
        <v>157</v>
      </c>
      <c r="F544" t="s">
        <v>103</v>
      </c>
      <c r="G544">
        <v>5</v>
      </c>
      <c r="H544" t="s">
        <v>78</v>
      </c>
      <c r="I544">
        <v>3</v>
      </c>
      <c r="J544">
        <v>0</v>
      </c>
      <c r="K544">
        <f>IF(Convert_to_Games[[#This Row],[Total Score]]&gt;9, 1, 0)</f>
        <v>0</v>
      </c>
      <c r="L544">
        <f>IF(Convert_to_Games[[#This Row],[DD]]=0, 0, IF(L543 = "Cons DD", Convert_to_Games[[#This Row],[DD]], L543+L543))</f>
        <v>0</v>
      </c>
    </row>
    <row r="545" spans="1:12">
      <c r="A545" t="s">
        <v>25</v>
      </c>
      <c r="B545" t="s">
        <v>20</v>
      </c>
      <c r="C545" t="s">
        <v>16</v>
      </c>
      <c r="D545" s="9">
        <v>45849</v>
      </c>
      <c r="E545">
        <v>160</v>
      </c>
      <c r="F545" t="s">
        <v>111</v>
      </c>
      <c r="G545">
        <v>3</v>
      </c>
      <c r="H545" t="s">
        <v>4</v>
      </c>
      <c r="I545">
        <v>3</v>
      </c>
      <c r="J545">
        <v>1</v>
      </c>
      <c r="K545">
        <f>IF(Convert_to_Games[[#This Row],[Total Score]]&gt;9, 1, 0)</f>
        <v>0</v>
      </c>
      <c r="L545">
        <f>IF(Convert_to_Games[[#This Row],[DD]]=0, 0, IF(L544 = "Cons DD", Convert_to_Games[[#This Row],[DD]], L544+L544))</f>
        <v>0</v>
      </c>
    </row>
    <row r="546" spans="1:12">
      <c r="A546" t="s">
        <v>25</v>
      </c>
      <c r="B546" t="s">
        <v>19</v>
      </c>
      <c r="C546" t="s">
        <v>16</v>
      </c>
      <c r="D546" s="9">
        <v>45853</v>
      </c>
      <c r="E546">
        <v>166</v>
      </c>
      <c r="F546" t="s">
        <v>94</v>
      </c>
      <c r="G546">
        <v>3</v>
      </c>
      <c r="H546" t="s">
        <v>5</v>
      </c>
      <c r="I546">
        <v>3</v>
      </c>
      <c r="J546">
        <v>0</v>
      </c>
      <c r="K546">
        <f>IF(Convert_to_Games[[#This Row],[Total Score]]&gt;9, 1, 0)</f>
        <v>0</v>
      </c>
      <c r="L546">
        <f>IF(Convert_to_Games[[#This Row],[DD]]=0, 0, IF(L545 = "Cons DD", Convert_to_Games[[#This Row],[DD]], L545+L545))</f>
        <v>0</v>
      </c>
    </row>
    <row r="547" spans="1:12">
      <c r="A547" t="s">
        <v>25</v>
      </c>
      <c r="B547" t="s">
        <v>20</v>
      </c>
      <c r="C547" t="s">
        <v>16</v>
      </c>
      <c r="D547" s="9">
        <v>45854</v>
      </c>
      <c r="E547">
        <v>168</v>
      </c>
      <c r="F547" t="s">
        <v>104</v>
      </c>
      <c r="G547">
        <v>3</v>
      </c>
      <c r="H547" t="s">
        <v>5</v>
      </c>
      <c r="I547">
        <v>3</v>
      </c>
      <c r="J547">
        <v>0</v>
      </c>
      <c r="K547">
        <f>IF(Convert_to_Games[[#This Row],[Total Score]]&gt;9, 1, 0)</f>
        <v>0</v>
      </c>
      <c r="L547">
        <f>IF(Convert_to_Games[[#This Row],[DD]]=0, 0, IF(L546 = "Cons DD", Convert_to_Games[[#This Row],[DD]], L546+L546))</f>
        <v>0</v>
      </c>
    </row>
    <row r="548" spans="1:12">
      <c r="A548" t="s">
        <v>25</v>
      </c>
      <c r="B548" t="s">
        <v>20</v>
      </c>
      <c r="C548" t="s">
        <v>16</v>
      </c>
      <c r="D548" s="9">
        <v>45855</v>
      </c>
      <c r="E548">
        <v>170</v>
      </c>
      <c r="F548" t="s">
        <v>108</v>
      </c>
      <c r="G548">
        <v>3</v>
      </c>
      <c r="H548" t="s">
        <v>78</v>
      </c>
      <c r="I548">
        <v>3</v>
      </c>
      <c r="J548">
        <v>0</v>
      </c>
      <c r="K548">
        <f>IF(Convert_to_Games[[#This Row],[Total Score]]&gt;9, 1, 0)</f>
        <v>0</v>
      </c>
      <c r="L548">
        <f>IF(Convert_to_Games[[#This Row],[DD]]=0, 0, IF(L547 = "Cons DD", Convert_to_Games[[#This Row],[DD]], L547+L547))</f>
        <v>0</v>
      </c>
    </row>
    <row r="549" spans="1:12">
      <c r="A549" t="s">
        <v>25</v>
      </c>
      <c r="B549" t="s">
        <v>20</v>
      </c>
      <c r="C549" t="s">
        <v>16</v>
      </c>
      <c r="D549" s="9">
        <v>45859</v>
      </c>
      <c r="E549">
        <v>174</v>
      </c>
      <c r="F549" t="s">
        <v>115</v>
      </c>
      <c r="G549">
        <v>3</v>
      </c>
      <c r="H549" t="s">
        <v>78</v>
      </c>
      <c r="I549">
        <v>3</v>
      </c>
      <c r="J549">
        <v>0</v>
      </c>
      <c r="K549">
        <f>IF(Convert_to_Games[[#This Row],[Total Score]]&gt;9, 1, 0)</f>
        <v>0</v>
      </c>
      <c r="L549">
        <f>IF(Convert_to_Games[[#This Row],[DD]]=0, 0, IF(L548 = "Cons DD", Convert_to_Games[[#This Row],[DD]], L548+L548))</f>
        <v>0</v>
      </c>
    </row>
    <row r="550" spans="1:12">
      <c r="A550" t="s">
        <v>25</v>
      </c>
      <c r="B550" t="s">
        <v>19</v>
      </c>
      <c r="C550" t="s">
        <v>16</v>
      </c>
      <c r="D550" s="9">
        <v>45860</v>
      </c>
      <c r="E550">
        <v>177</v>
      </c>
      <c r="F550" t="s">
        <v>9</v>
      </c>
      <c r="G550">
        <v>3</v>
      </c>
      <c r="H550" t="s">
        <v>4</v>
      </c>
      <c r="I550">
        <v>3</v>
      </c>
      <c r="J550">
        <v>0</v>
      </c>
      <c r="K550">
        <f>IF(Convert_to_Games[[#This Row],[Total Score]]&gt;9, 1, 0)</f>
        <v>0</v>
      </c>
      <c r="L550">
        <f>IF(Convert_to_Games[[#This Row],[DD]]=0, 0, IF(L549 = "Cons DD", Convert_to_Games[[#This Row],[DD]], L549+L549))</f>
        <v>0</v>
      </c>
    </row>
    <row r="551" spans="1:12">
      <c r="A551" t="s">
        <v>25</v>
      </c>
      <c r="B551" t="s">
        <v>20</v>
      </c>
      <c r="C551" t="s">
        <v>16</v>
      </c>
      <c r="D551" s="9">
        <v>45861</v>
      </c>
      <c r="E551">
        <v>179</v>
      </c>
      <c r="F551" t="s">
        <v>9</v>
      </c>
      <c r="G551">
        <v>3</v>
      </c>
      <c r="H551" t="s">
        <v>5</v>
      </c>
      <c r="I551">
        <v>3</v>
      </c>
      <c r="J551">
        <v>0</v>
      </c>
      <c r="K551">
        <f>IF(Convert_to_Games[[#This Row],[Total Score]]&gt;9, 1, 0)</f>
        <v>0</v>
      </c>
      <c r="L551">
        <f>IF(Convert_to_Games[[#This Row],[DD]]=0, 0, IF(L550 = "Cons DD", Convert_to_Games[[#This Row],[DD]], L550+L550))</f>
        <v>0</v>
      </c>
    </row>
    <row r="552" spans="1:12">
      <c r="A552" t="s">
        <v>25</v>
      </c>
      <c r="B552" t="s">
        <v>20</v>
      </c>
      <c r="C552" t="s">
        <v>16</v>
      </c>
      <c r="D552" s="9">
        <v>45863</v>
      </c>
      <c r="E552">
        <v>182</v>
      </c>
      <c r="F552" t="s">
        <v>115</v>
      </c>
      <c r="G552">
        <v>4</v>
      </c>
      <c r="H552" t="s">
        <v>78</v>
      </c>
      <c r="I552">
        <v>3</v>
      </c>
      <c r="J552">
        <v>0</v>
      </c>
      <c r="K552">
        <f>IF(Convert_to_Games[[#This Row],[Total Score]]&gt;9, 1, 0)</f>
        <v>0</v>
      </c>
      <c r="L552">
        <f>IF(Convert_to_Games[[#This Row],[DD]]=0, 0, IF(L551 = "Cons DD", Convert_to_Games[[#This Row],[DD]], L551+L551))</f>
        <v>0</v>
      </c>
    </row>
    <row r="553" spans="1:12">
      <c r="A553" t="s">
        <v>25</v>
      </c>
      <c r="B553" t="s">
        <v>20</v>
      </c>
      <c r="C553" t="s">
        <v>16</v>
      </c>
      <c r="D553" s="9">
        <v>45863</v>
      </c>
      <c r="E553">
        <v>183</v>
      </c>
      <c r="F553" t="s">
        <v>77</v>
      </c>
      <c r="G553">
        <v>3</v>
      </c>
      <c r="H553" t="s">
        <v>78</v>
      </c>
      <c r="I553">
        <v>3</v>
      </c>
      <c r="J553">
        <v>0</v>
      </c>
      <c r="K553">
        <f>IF(Convert_to_Games[[#This Row],[Total Score]]&gt;9, 1, 0)</f>
        <v>0</v>
      </c>
      <c r="L553">
        <f>IF(Convert_to_Games[[#This Row],[DD]]=0, 0, IF(L552 = "Cons DD", Convert_to_Games[[#This Row],[DD]], L552+L552))</f>
        <v>0</v>
      </c>
    </row>
    <row r="554" spans="1:12">
      <c r="A554" t="s">
        <v>25</v>
      </c>
      <c r="B554" t="s">
        <v>20</v>
      </c>
      <c r="C554" t="s">
        <v>116</v>
      </c>
      <c r="D554" s="9">
        <v>45873</v>
      </c>
      <c r="E554">
        <v>196</v>
      </c>
      <c r="F554" t="s">
        <v>11</v>
      </c>
      <c r="G554">
        <v>3</v>
      </c>
      <c r="H554" t="s">
        <v>5</v>
      </c>
      <c r="I554">
        <v>3</v>
      </c>
      <c r="J554">
        <v>0</v>
      </c>
      <c r="K554">
        <f>IF(Convert_to_Games[[#This Row],[Total Score]]&gt;9, 1, 0)</f>
        <v>0</v>
      </c>
      <c r="L554">
        <f>IF(Convert_to_Games[[#This Row],[DD]]=0, 0, IF(L553 = "Cons DD", Convert_to_Games[[#This Row],[DD]], L553+L553))</f>
        <v>0</v>
      </c>
    </row>
    <row r="555" spans="1:12">
      <c r="A555" t="s">
        <v>25</v>
      </c>
      <c r="B555">
        <v>256</v>
      </c>
      <c r="C555" t="s">
        <v>116</v>
      </c>
      <c r="D555" s="9">
        <v>45887</v>
      </c>
      <c r="E555">
        <v>206</v>
      </c>
      <c r="F555" t="s">
        <v>9</v>
      </c>
      <c r="G555">
        <v>3</v>
      </c>
      <c r="H555" t="s">
        <v>5</v>
      </c>
      <c r="I555">
        <v>3</v>
      </c>
      <c r="J555">
        <v>0</v>
      </c>
      <c r="K555">
        <f>IF(Convert_to_Games[[#This Row],[Total Score]]&gt;9, 1, 0)</f>
        <v>0</v>
      </c>
      <c r="L555">
        <f>IF(Convert_to_Games[[#This Row],[DD]]=0, 0, IF(L554 = "Cons DD", Convert_to_Games[[#This Row],[DD]], L554+L554))</f>
        <v>0</v>
      </c>
    </row>
    <row r="556" spans="1:12">
      <c r="A556" t="s">
        <v>25</v>
      </c>
      <c r="B556">
        <v>256</v>
      </c>
      <c r="C556" t="s">
        <v>116</v>
      </c>
      <c r="D556" s="9">
        <v>45926</v>
      </c>
      <c r="E556">
        <v>226</v>
      </c>
      <c r="F556" t="s">
        <v>94</v>
      </c>
      <c r="G556">
        <v>3</v>
      </c>
      <c r="H556" t="s">
        <v>78</v>
      </c>
      <c r="I556">
        <v>3</v>
      </c>
      <c r="J556">
        <v>0</v>
      </c>
      <c r="K556">
        <f>IF(Convert_to_Games[[#This Row],[Total Score]]&gt;9, 1, 0)</f>
        <v>0</v>
      </c>
      <c r="L556">
        <f>IF(Convert_to_Games[[#This Row],[DD]]=0, 0, IF(L555 = "Cons DD", Convert_to_Games[[#This Row],[DD]], L555+L555))</f>
        <v>0</v>
      </c>
    </row>
    <row r="557" spans="1:12">
      <c r="A557" t="s">
        <v>25</v>
      </c>
      <c r="B557" t="s">
        <v>20</v>
      </c>
      <c r="C557" t="s">
        <v>18</v>
      </c>
      <c r="D557" s="9">
        <v>45712</v>
      </c>
      <c r="E557">
        <v>8</v>
      </c>
      <c r="F557" t="s">
        <v>11</v>
      </c>
      <c r="G557">
        <v>3</v>
      </c>
      <c r="H557" t="s">
        <v>5</v>
      </c>
      <c r="I557">
        <v>2</v>
      </c>
      <c r="J557">
        <v>0</v>
      </c>
      <c r="K557">
        <f>IF(Convert_to_Games[[#This Row],[Total Score]]&gt;9, 1, 0)</f>
        <v>0</v>
      </c>
      <c r="L557">
        <f>IF(Convert_to_Games[[#This Row],[DD]]=0, 0, IF(L556 = "Cons DD", Convert_to_Games[[#This Row],[DD]], L556+L556))</f>
        <v>0</v>
      </c>
    </row>
    <row r="558" spans="1:12">
      <c r="A558" t="s">
        <v>25</v>
      </c>
      <c r="B558" t="s">
        <v>20</v>
      </c>
      <c r="C558" t="s">
        <v>16</v>
      </c>
      <c r="D558" s="9">
        <v>45723</v>
      </c>
      <c r="E558">
        <v>20</v>
      </c>
      <c r="F558" t="s">
        <v>9</v>
      </c>
      <c r="G558">
        <v>3</v>
      </c>
      <c r="H558" t="s">
        <v>5</v>
      </c>
      <c r="I558">
        <v>2</v>
      </c>
      <c r="J558">
        <v>0</v>
      </c>
      <c r="K558">
        <f>IF(Convert_to_Games[[#This Row],[Total Score]]&gt;9, 1, 0)</f>
        <v>0</v>
      </c>
      <c r="L558">
        <f>IF(Convert_to_Games[[#This Row],[DD]]=0, 0, IF(L557 = "Cons DD", Convert_to_Games[[#This Row],[DD]], L557+L557))</f>
        <v>0</v>
      </c>
    </row>
    <row r="559" spans="1:12">
      <c r="A559" t="s">
        <v>25</v>
      </c>
      <c r="B559" t="s">
        <v>20</v>
      </c>
      <c r="C559" t="s">
        <v>16</v>
      </c>
      <c r="D559" s="9">
        <v>45728</v>
      </c>
      <c r="E559">
        <v>23</v>
      </c>
      <c r="F559" t="s">
        <v>9</v>
      </c>
      <c r="G559">
        <v>3</v>
      </c>
      <c r="H559" t="s">
        <v>5</v>
      </c>
      <c r="I559">
        <v>2</v>
      </c>
      <c r="J559">
        <v>0</v>
      </c>
      <c r="K559">
        <f>IF(Convert_to_Games[[#This Row],[Total Score]]&gt;9, 1, 0)</f>
        <v>0</v>
      </c>
      <c r="L559">
        <f>IF(Convert_to_Games[[#This Row],[DD]]=0, 0, IF(L558 = "Cons DD", Convert_to_Games[[#This Row],[DD]], L558+L558))</f>
        <v>0</v>
      </c>
    </row>
    <row r="560" spans="1:12">
      <c r="A560" t="s">
        <v>25</v>
      </c>
      <c r="B560" t="s">
        <v>20</v>
      </c>
      <c r="C560" t="s">
        <v>16</v>
      </c>
      <c r="D560" s="9">
        <v>45742</v>
      </c>
      <c r="E560">
        <v>27</v>
      </c>
      <c r="F560" t="s">
        <v>15</v>
      </c>
      <c r="G560">
        <v>3</v>
      </c>
      <c r="H560" t="s">
        <v>5</v>
      </c>
      <c r="I560">
        <v>2</v>
      </c>
      <c r="J560">
        <v>0</v>
      </c>
      <c r="K560">
        <f>IF(Convert_to_Games[[#This Row],[Total Score]]&gt;9, 1, 0)</f>
        <v>0</v>
      </c>
      <c r="L560">
        <f>IF(Convert_to_Games[[#This Row],[DD]]=0, 0, IF(L559 = "Cons DD", Convert_to_Games[[#This Row],[DD]], L559+L559))</f>
        <v>0</v>
      </c>
    </row>
    <row r="561" spans="1:12">
      <c r="A561" t="s">
        <v>25</v>
      </c>
      <c r="B561" t="s">
        <v>20</v>
      </c>
      <c r="C561" t="s">
        <v>16</v>
      </c>
      <c r="D561" s="9">
        <v>45747</v>
      </c>
      <c r="E561">
        <v>30</v>
      </c>
      <c r="F561" t="s">
        <v>9</v>
      </c>
      <c r="G561">
        <v>3</v>
      </c>
      <c r="H561" t="s">
        <v>5</v>
      </c>
      <c r="I561">
        <v>2</v>
      </c>
      <c r="J561">
        <v>0</v>
      </c>
      <c r="K561">
        <f>IF(Convert_to_Games[[#This Row],[Total Score]]&gt;9, 1, 0)</f>
        <v>0</v>
      </c>
      <c r="L561">
        <f>IF(Convert_to_Games[[#This Row],[DD]]=0, 0, IF(L560 = "Cons DD", Convert_to_Games[[#This Row],[DD]], L560+L560))</f>
        <v>0</v>
      </c>
    </row>
    <row r="562" spans="1:12">
      <c r="A562" t="s">
        <v>25</v>
      </c>
      <c r="B562" t="s">
        <v>19</v>
      </c>
      <c r="C562" t="s">
        <v>16</v>
      </c>
      <c r="D562" s="9">
        <v>45749</v>
      </c>
      <c r="E562">
        <v>33</v>
      </c>
      <c r="F562" t="s">
        <v>9</v>
      </c>
      <c r="G562">
        <v>3</v>
      </c>
      <c r="H562" t="s">
        <v>6</v>
      </c>
      <c r="I562">
        <v>2</v>
      </c>
      <c r="J562">
        <v>0</v>
      </c>
      <c r="K562">
        <f>IF(Convert_to_Games[[#This Row],[Total Score]]&gt;9, 1, 0)</f>
        <v>0</v>
      </c>
      <c r="L562">
        <f>IF(Convert_to_Games[[#This Row],[DD]]=0, 0, IF(L561 = "Cons DD", Convert_to_Games[[#This Row],[DD]], L561+L561))</f>
        <v>0</v>
      </c>
    </row>
    <row r="563" spans="1:12">
      <c r="A563" t="s">
        <v>25</v>
      </c>
      <c r="B563" t="s">
        <v>20</v>
      </c>
      <c r="C563" t="s">
        <v>16</v>
      </c>
      <c r="D563" s="9">
        <v>45751</v>
      </c>
      <c r="E563">
        <v>35</v>
      </c>
      <c r="F563" t="s">
        <v>11</v>
      </c>
      <c r="G563">
        <v>3</v>
      </c>
      <c r="H563" t="s">
        <v>5</v>
      </c>
      <c r="I563">
        <v>2</v>
      </c>
      <c r="J563">
        <v>0</v>
      </c>
      <c r="K563">
        <f>IF(Convert_to_Games[[#This Row],[Total Score]]&gt;9, 1, 0)</f>
        <v>0</v>
      </c>
      <c r="L563">
        <f>IF(Convert_to_Games[[#This Row],[DD]]=0, 0, IF(L562 = "Cons DD", Convert_to_Games[[#This Row],[DD]], L562+L562))</f>
        <v>0</v>
      </c>
    </row>
    <row r="564" spans="1:12">
      <c r="A564" t="s">
        <v>25</v>
      </c>
      <c r="B564" t="s">
        <v>19</v>
      </c>
      <c r="C564" t="s">
        <v>16</v>
      </c>
      <c r="D564" s="9">
        <v>45754</v>
      </c>
      <c r="E564">
        <v>36</v>
      </c>
      <c r="F564" t="s">
        <v>15</v>
      </c>
      <c r="G564">
        <v>3</v>
      </c>
      <c r="H564" t="s">
        <v>5</v>
      </c>
      <c r="I564">
        <v>2</v>
      </c>
      <c r="J564">
        <v>1</v>
      </c>
      <c r="K564">
        <f>IF(Convert_to_Games[[#This Row],[Total Score]]&gt;9, 1, 0)</f>
        <v>0</v>
      </c>
      <c r="L564">
        <f>IF(Convert_to_Games[[#This Row],[DD]]=0, 0, IF(L563 = "Cons DD", Convert_to_Games[[#This Row],[DD]], L563+L563))</f>
        <v>0</v>
      </c>
    </row>
    <row r="565" spans="1:12">
      <c r="A565" t="s">
        <v>25</v>
      </c>
      <c r="B565" t="s">
        <v>21</v>
      </c>
      <c r="C565" t="s">
        <v>16</v>
      </c>
      <c r="D565" s="9">
        <v>45756</v>
      </c>
      <c r="E565">
        <v>41</v>
      </c>
      <c r="F565" t="s">
        <v>11</v>
      </c>
      <c r="G565">
        <v>3</v>
      </c>
      <c r="H565" t="s">
        <v>5</v>
      </c>
      <c r="I565">
        <v>2</v>
      </c>
      <c r="J565">
        <v>0</v>
      </c>
      <c r="K565">
        <f>IF(Convert_to_Games[[#This Row],[Total Score]]&gt;9, 1, 0)</f>
        <v>0</v>
      </c>
      <c r="L565">
        <f>IF(Convert_to_Games[[#This Row],[DD]]=0, 0, IF(L564 = "Cons DD", Convert_to_Games[[#This Row],[DD]], L564+L564))</f>
        <v>0</v>
      </c>
    </row>
    <row r="566" spans="1:12">
      <c r="A566" t="s">
        <v>25</v>
      </c>
      <c r="B566" t="s">
        <v>20</v>
      </c>
      <c r="C566" t="s">
        <v>16</v>
      </c>
      <c r="D566" s="9">
        <v>45762</v>
      </c>
      <c r="E566">
        <v>44</v>
      </c>
      <c r="F566" t="s">
        <v>24</v>
      </c>
      <c r="G566">
        <v>3</v>
      </c>
      <c r="H566" t="s">
        <v>23</v>
      </c>
      <c r="I566">
        <v>2</v>
      </c>
      <c r="J566">
        <v>0</v>
      </c>
      <c r="K566">
        <f>IF(Convert_to_Games[[#This Row],[Total Score]]&gt;9, 1, 0)</f>
        <v>0</v>
      </c>
      <c r="L566">
        <f>IF(Convert_to_Games[[#This Row],[DD]]=0, 0, IF(L565 = "Cons DD", Convert_to_Games[[#This Row],[DD]], L565+L565))</f>
        <v>0</v>
      </c>
    </row>
    <row r="567" spans="1:12">
      <c r="A567" t="s">
        <v>25</v>
      </c>
      <c r="B567" t="s">
        <v>19</v>
      </c>
      <c r="C567" t="s">
        <v>16</v>
      </c>
      <c r="D567" s="9">
        <v>45762</v>
      </c>
      <c r="E567">
        <v>46</v>
      </c>
      <c r="F567" t="s">
        <v>11</v>
      </c>
      <c r="G567">
        <v>3</v>
      </c>
      <c r="H567" t="s">
        <v>5</v>
      </c>
      <c r="I567">
        <v>2</v>
      </c>
      <c r="J567">
        <v>0</v>
      </c>
      <c r="K567">
        <f>IF(Convert_to_Games[[#This Row],[Total Score]]&gt;9, 1, 0)</f>
        <v>0</v>
      </c>
      <c r="L567">
        <f>IF(Convert_to_Games[[#This Row],[DD]]=0, 0, IF(L566 = "Cons DD", Convert_to_Games[[#This Row],[DD]], L566+L566))</f>
        <v>0</v>
      </c>
    </row>
    <row r="568" spans="1:12">
      <c r="A568" t="s">
        <v>25</v>
      </c>
      <c r="B568" t="s">
        <v>19</v>
      </c>
      <c r="C568" t="s">
        <v>16</v>
      </c>
      <c r="D568" s="9">
        <v>45769</v>
      </c>
      <c r="E568">
        <v>61</v>
      </c>
      <c r="F568" t="s">
        <v>11</v>
      </c>
      <c r="G568">
        <v>3</v>
      </c>
      <c r="H568" t="s">
        <v>5</v>
      </c>
      <c r="I568">
        <v>2</v>
      </c>
      <c r="J568">
        <v>0</v>
      </c>
      <c r="K568">
        <f>IF(Convert_to_Games[[#This Row],[Total Score]]&gt;9, 1, 0)</f>
        <v>0</v>
      </c>
      <c r="L568">
        <f>IF(Convert_to_Games[[#This Row],[DD]]=0, 0, IF(L567 = "Cons DD", Convert_to_Games[[#This Row],[DD]], L567+L567))</f>
        <v>0</v>
      </c>
    </row>
    <row r="569" spans="1:12">
      <c r="A569" t="s">
        <v>25</v>
      </c>
      <c r="B569" t="s">
        <v>21</v>
      </c>
      <c r="C569" t="s">
        <v>16</v>
      </c>
      <c r="D569" s="9">
        <v>45769</v>
      </c>
      <c r="E569">
        <v>62</v>
      </c>
      <c r="F569" t="s">
        <v>33</v>
      </c>
      <c r="G569">
        <v>3</v>
      </c>
      <c r="H569" t="s">
        <v>5</v>
      </c>
      <c r="I569">
        <v>2</v>
      </c>
      <c r="J569">
        <v>0</v>
      </c>
      <c r="K569">
        <f>IF(Convert_to_Games[[#This Row],[Total Score]]&gt;9, 1, 0)</f>
        <v>0</v>
      </c>
      <c r="L569">
        <f>IF(Convert_to_Games[[#This Row],[DD]]=0, 0, IF(L568 = "Cons DD", Convert_to_Games[[#This Row],[DD]], L568+L568))</f>
        <v>0</v>
      </c>
    </row>
    <row r="570" spans="1:12">
      <c r="A570" t="s">
        <v>25</v>
      </c>
      <c r="B570" t="s">
        <v>19</v>
      </c>
      <c r="C570" t="s">
        <v>16</v>
      </c>
      <c r="D570" s="9">
        <v>45775</v>
      </c>
      <c r="E570">
        <v>73</v>
      </c>
      <c r="F570" t="s">
        <v>9</v>
      </c>
      <c r="G570">
        <v>3</v>
      </c>
      <c r="H570" t="s">
        <v>4</v>
      </c>
      <c r="I570">
        <v>2</v>
      </c>
      <c r="J570">
        <v>0</v>
      </c>
      <c r="K570">
        <f>IF(Convert_to_Games[[#This Row],[Total Score]]&gt;9, 1, 0)</f>
        <v>0</v>
      </c>
      <c r="L570">
        <f>IF(Convert_to_Games[[#This Row],[DD]]=0, 0, IF(L569 = "Cons DD", Convert_to_Games[[#This Row],[DD]], L569+L569))</f>
        <v>0</v>
      </c>
    </row>
    <row r="571" spans="1:12">
      <c r="A571" t="s">
        <v>25</v>
      </c>
      <c r="B571" t="s">
        <v>21</v>
      </c>
      <c r="C571" t="s">
        <v>16</v>
      </c>
      <c r="D571" s="9">
        <v>45777</v>
      </c>
      <c r="E571">
        <v>82</v>
      </c>
      <c r="F571" t="s">
        <v>62</v>
      </c>
      <c r="G571">
        <v>3</v>
      </c>
      <c r="H571" t="s">
        <v>7</v>
      </c>
      <c r="I571">
        <v>2</v>
      </c>
      <c r="J571">
        <v>0</v>
      </c>
      <c r="K571">
        <f>IF(Convert_to_Games[[#This Row],[Total Score]]&gt;9, 1, 0)</f>
        <v>0</v>
      </c>
      <c r="L571">
        <f>IF(Convert_to_Games[[#This Row],[DD]]=0, 0, IF(L570 = "Cons DD", Convert_to_Games[[#This Row],[DD]], L570+L570))</f>
        <v>0</v>
      </c>
    </row>
    <row r="572" spans="1:12">
      <c r="A572" t="s">
        <v>25</v>
      </c>
      <c r="B572" t="s">
        <v>19</v>
      </c>
      <c r="C572" t="s">
        <v>16</v>
      </c>
      <c r="D572" s="9">
        <v>45779</v>
      </c>
      <c r="E572">
        <v>89</v>
      </c>
      <c r="F572" t="s">
        <v>69</v>
      </c>
      <c r="G572">
        <v>3</v>
      </c>
      <c r="H572" t="s">
        <v>4</v>
      </c>
      <c r="I572">
        <v>2</v>
      </c>
      <c r="J572">
        <v>0</v>
      </c>
      <c r="K572">
        <f>IF(Convert_to_Games[[#This Row],[Total Score]]&gt;9, 1, 0)</f>
        <v>0</v>
      </c>
      <c r="L572">
        <f>IF(Convert_to_Games[[#This Row],[DD]]=0, 0, IF(L571 = "Cons DD", Convert_to_Games[[#This Row],[DD]], L571+L571))</f>
        <v>0</v>
      </c>
    </row>
    <row r="573" spans="1:12">
      <c r="A573" t="s">
        <v>25</v>
      </c>
      <c r="B573" t="s">
        <v>19</v>
      </c>
      <c r="C573" t="s">
        <v>16</v>
      </c>
      <c r="D573" s="9">
        <v>45779</v>
      </c>
      <c r="E573">
        <v>89</v>
      </c>
      <c r="F573" t="s">
        <v>69</v>
      </c>
      <c r="G573">
        <v>3</v>
      </c>
      <c r="H573" t="s">
        <v>23</v>
      </c>
      <c r="I573">
        <v>2</v>
      </c>
      <c r="J573">
        <v>0</v>
      </c>
      <c r="K573">
        <f>IF(Convert_to_Games[[#This Row],[Total Score]]&gt;9, 1, 0)</f>
        <v>0</v>
      </c>
      <c r="L573">
        <f>IF(Convert_to_Games[[#This Row],[DD]]=0, 0, IF(L572 = "Cons DD", Convert_to_Games[[#This Row],[DD]], L572+L572))</f>
        <v>0</v>
      </c>
    </row>
    <row r="574" spans="1:12">
      <c r="A574" t="s">
        <v>25</v>
      </c>
      <c r="B574" t="s">
        <v>20</v>
      </c>
      <c r="C574" t="s">
        <v>16</v>
      </c>
      <c r="D574" s="9">
        <v>45782</v>
      </c>
      <c r="E574">
        <v>90</v>
      </c>
      <c r="F574" t="s">
        <v>9</v>
      </c>
      <c r="G574">
        <v>3</v>
      </c>
      <c r="H574" t="s">
        <v>4</v>
      </c>
      <c r="I574">
        <v>2</v>
      </c>
      <c r="J574">
        <v>1</v>
      </c>
      <c r="K574">
        <f>IF(Convert_to_Games[[#This Row],[Total Score]]&gt;9, 1, 0)</f>
        <v>0</v>
      </c>
      <c r="L574">
        <f>IF(Convert_to_Games[[#This Row],[DD]]=0, 0, IF(L573 = "Cons DD", Convert_to_Games[[#This Row],[DD]], L573+L573))</f>
        <v>0</v>
      </c>
    </row>
    <row r="575" spans="1:12">
      <c r="A575" t="s">
        <v>25</v>
      </c>
      <c r="B575" t="s">
        <v>21</v>
      </c>
      <c r="C575" t="s">
        <v>16</v>
      </c>
      <c r="D575" s="9">
        <v>45784</v>
      </c>
      <c r="E575">
        <v>95</v>
      </c>
      <c r="F575" t="s">
        <v>9</v>
      </c>
      <c r="G575">
        <v>3</v>
      </c>
      <c r="H575" t="s">
        <v>4</v>
      </c>
      <c r="I575">
        <v>2</v>
      </c>
      <c r="J575">
        <v>1</v>
      </c>
      <c r="K575">
        <f>IF(Convert_to_Games[[#This Row],[Total Score]]&gt;9, 1, 0)</f>
        <v>0</v>
      </c>
      <c r="L575">
        <f>IF(Convert_to_Games[[#This Row],[DD]]=0, 0, IF(L574 = "Cons DD", Convert_to_Games[[#This Row],[DD]], L574+L574))</f>
        <v>0</v>
      </c>
    </row>
    <row r="576" spans="1:12">
      <c r="A576" t="s">
        <v>25</v>
      </c>
      <c r="B576" t="s">
        <v>20</v>
      </c>
      <c r="C576" t="s">
        <v>16</v>
      </c>
      <c r="D576" s="9">
        <v>45791</v>
      </c>
      <c r="E576">
        <v>98</v>
      </c>
      <c r="F576" t="s">
        <v>8</v>
      </c>
      <c r="G576">
        <v>3</v>
      </c>
      <c r="H576" t="s">
        <v>5</v>
      </c>
      <c r="I576">
        <v>2</v>
      </c>
      <c r="J576">
        <v>0</v>
      </c>
      <c r="K576">
        <f>IF(Convert_to_Games[[#This Row],[Total Score]]&gt;9, 1, 0)</f>
        <v>0</v>
      </c>
      <c r="L576">
        <f>IF(Convert_to_Games[[#This Row],[DD]]=0, 0, IF(L575 = "Cons DD", Convert_to_Games[[#This Row],[DD]], L575+L575))</f>
        <v>0</v>
      </c>
    </row>
    <row r="577" spans="1:12">
      <c r="A577" t="s">
        <v>25</v>
      </c>
      <c r="B577" t="s">
        <v>20</v>
      </c>
      <c r="C577" t="s">
        <v>16</v>
      </c>
      <c r="D577" s="9">
        <v>45811</v>
      </c>
      <c r="E577">
        <v>106</v>
      </c>
      <c r="F577" t="s">
        <v>34</v>
      </c>
      <c r="G577">
        <v>3</v>
      </c>
      <c r="H577" t="s">
        <v>6</v>
      </c>
      <c r="I577">
        <v>2</v>
      </c>
      <c r="J577">
        <v>0</v>
      </c>
      <c r="K577">
        <f>IF(Convert_to_Games[[#This Row],[Total Score]]&gt;9, 1, 0)</f>
        <v>0</v>
      </c>
      <c r="L577">
        <f>IF(Convert_to_Games[[#This Row],[DD]]=0, 0, IF(L576 = "Cons DD", Convert_to_Games[[#This Row],[DD]], L576+L576))</f>
        <v>0</v>
      </c>
    </row>
    <row r="578" spans="1:12">
      <c r="A578" t="s">
        <v>25</v>
      </c>
      <c r="B578" t="s">
        <v>19</v>
      </c>
      <c r="C578" t="s">
        <v>16</v>
      </c>
      <c r="D578" s="9">
        <v>45825</v>
      </c>
      <c r="E578">
        <v>115</v>
      </c>
      <c r="F578" t="s">
        <v>8</v>
      </c>
      <c r="G578">
        <v>3</v>
      </c>
      <c r="H578" t="s">
        <v>6</v>
      </c>
      <c r="I578">
        <v>2</v>
      </c>
      <c r="J578">
        <v>0</v>
      </c>
      <c r="K578">
        <f>IF(Convert_to_Games[[#This Row],[Total Score]]&gt;9, 1, 0)</f>
        <v>0</v>
      </c>
      <c r="L578">
        <f>IF(Convert_to_Games[[#This Row],[DD]]=0, 0, IF(L577 = "Cons DD", Convert_to_Games[[#This Row],[DD]], L577+L577))</f>
        <v>0</v>
      </c>
    </row>
    <row r="579" spans="1:12">
      <c r="A579" t="s">
        <v>25</v>
      </c>
      <c r="B579" t="s">
        <v>21</v>
      </c>
      <c r="C579" t="s">
        <v>16</v>
      </c>
      <c r="D579" s="9">
        <v>45826</v>
      </c>
      <c r="E579">
        <v>117</v>
      </c>
      <c r="F579" t="s">
        <v>11</v>
      </c>
      <c r="G579">
        <v>3</v>
      </c>
      <c r="H579" t="s">
        <v>5</v>
      </c>
      <c r="I579">
        <v>2</v>
      </c>
      <c r="J579">
        <v>0</v>
      </c>
      <c r="K579">
        <f>IF(Convert_to_Games[[#This Row],[Total Score]]&gt;9, 1, 0)</f>
        <v>0</v>
      </c>
      <c r="L579">
        <f>IF(Convert_to_Games[[#This Row],[DD]]=0, 0, IF(L578 = "Cons DD", Convert_to_Games[[#This Row],[DD]], L578+L578))</f>
        <v>0</v>
      </c>
    </row>
    <row r="580" spans="1:12">
      <c r="A580" t="s">
        <v>25</v>
      </c>
      <c r="B580" t="s">
        <v>20</v>
      </c>
      <c r="C580" t="s">
        <v>16</v>
      </c>
      <c r="D580" s="9">
        <v>45831</v>
      </c>
      <c r="E580">
        <v>124</v>
      </c>
      <c r="F580" t="s">
        <v>77</v>
      </c>
      <c r="G580">
        <v>3</v>
      </c>
      <c r="H580" t="s">
        <v>78</v>
      </c>
      <c r="I580">
        <v>2</v>
      </c>
      <c r="J580">
        <v>0</v>
      </c>
      <c r="K580">
        <f>IF(Convert_to_Games[[#This Row],[Total Score]]&gt;9, 1, 0)</f>
        <v>0</v>
      </c>
      <c r="L580">
        <f>IF(Convert_to_Games[[#This Row],[DD]]=0, 0, IF(L579 = "Cons DD", Convert_to_Games[[#This Row],[DD]], L579+L579))</f>
        <v>0</v>
      </c>
    </row>
    <row r="581" spans="1:12">
      <c r="A581" t="s">
        <v>25</v>
      </c>
      <c r="B581" t="s">
        <v>20</v>
      </c>
      <c r="C581" t="s">
        <v>16</v>
      </c>
      <c r="D581" s="9">
        <v>45832</v>
      </c>
      <c r="E581">
        <v>127</v>
      </c>
      <c r="F581" t="s">
        <v>84</v>
      </c>
      <c r="G581">
        <v>3</v>
      </c>
      <c r="H581" t="s">
        <v>4</v>
      </c>
      <c r="I581">
        <v>2</v>
      </c>
      <c r="J581">
        <v>0</v>
      </c>
      <c r="K581">
        <f>IF(Convert_to_Games[[#This Row],[Total Score]]&gt;9, 1, 0)</f>
        <v>0</v>
      </c>
      <c r="L581">
        <f>IF(Convert_to_Games[[#This Row],[DD]]=0, 0, IF(L580 = "Cons DD", Convert_to_Games[[#This Row],[DD]], L580+L580))</f>
        <v>0</v>
      </c>
    </row>
    <row r="582" spans="1:12">
      <c r="A582" t="s">
        <v>25</v>
      </c>
      <c r="B582" t="s">
        <v>20</v>
      </c>
      <c r="C582" t="s">
        <v>16</v>
      </c>
      <c r="D582" s="9">
        <v>45832</v>
      </c>
      <c r="E582">
        <v>128</v>
      </c>
      <c r="F582" t="s">
        <v>9</v>
      </c>
      <c r="G582">
        <v>3</v>
      </c>
      <c r="H582" t="s">
        <v>5</v>
      </c>
      <c r="I582">
        <v>2</v>
      </c>
      <c r="J582">
        <v>0</v>
      </c>
      <c r="K582">
        <f>IF(Convert_to_Games[[#This Row],[Total Score]]&gt;9, 1, 0)</f>
        <v>0</v>
      </c>
      <c r="L582">
        <f>IF(Convert_to_Games[[#This Row],[DD]]=0, 0, IF(L581 = "Cons DD", Convert_to_Games[[#This Row],[DD]], L581+L581))</f>
        <v>0</v>
      </c>
    </row>
    <row r="583" spans="1:12">
      <c r="A583" t="s">
        <v>25</v>
      </c>
      <c r="B583" t="s">
        <v>20</v>
      </c>
      <c r="C583" t="s">
        <v>16</v>
      </c>
      <c r="D583" s="9">
        <v>45839</v>
      </c>
      <c r="E583">
        <v>140</v>
      </c>
      <c r="F583" t="s">
        <v>100</v>
      </c>
      <c r="G583">
        <v>3</v>
      </c>
      <c r="H583" t="s">
        <v>78</v>
      </c>
      <c r="I583">
        <v>2</v>
      </c>
      <c r="J583">
        <v>0</v>
      </c>
      <c r="K583">
        <f>IF(Convert_to_Games[[#This Row],[Total Score]]&gt;9, 1, 0)</f>
        <v>0</v>
      </c>
      <c r="L583">
        <f>IF(Convert_to_Games[[#This Row],[DD]]=0, 0, IF(L582 = "Cons DD", Convert_to_Games[[#This Row],[DD]], L582+L582))</f>
        <v>0</v>
      </c>
    </row>
    <row r="584" spans="1:12">
      <c r="A584" t="s">
        <v>25</v>
      </c>
      <c r="B584" t="s">
        <v>20</v>
      </c>
      <c r="C584" t="s">
        <v>16</v>
      </c>
      <c r="D584" s="9">
        <v>45840</v>
      </c>
      <c r="E584">
        <v>144</v>
      </c>
      <c r="F584" t="s">
        <v>8</v>
      </c>
      <c r="G584">
        <v>3</v>
      </c>
      <c r="H584" t="s">
        <v>6</v>
      </c>
      <c r="I584">
        <v>2</v>
      </c>
      <c r="J584">
        <v>0</v>
      </c>
      <c r="K584">
        <f>IF(Convert_to_Games[[#This Row],[Total Score]]&gt;9, 1, 0)</f>
        <v>0</v>
      </c>
      <c r="L584">
        <f>IF(Convert_to_Games[[#This Row],[DD]]=0, 0, IF(L583 = "Cons DD", Convert_to_Games[[#This Row],[DD]], L583+L583))</f>
        <v>0</v>
      </c>
    </row>
    <row r="585" spans="1:12">
      <c r="A585" t="s">
        <v>25</v>
      </c>
      <c r="B585" t="s">
        <v>19</v>
      </c>
      <c r="C585" t="s">
        <v>16</v>
      </c>
      <c r="D585" s="9">
        <v>45847</v>
      </c>
      <c r="E585">
        <v>154</v>
      </c>
      <c r="F585" t="s">
        <v>111</v>
      </c>
      <c r="G585">
        <v>3</v>
      </c>
      <c r="H585" t="s">
        <v>78</v>
      </c>
      <c r="I585">
        <v>2</v>
      </c>
      <c r="J585">
        <v>0</v>
      </c>
      <c r="K585">
        <f>IF(Convert_to_Games[[#This Row],[Total Score]]&gt;9, 1, 0)</f>
        <v>0</v>
      </c>
      <c r="L585">
        <f>IF(Convert_to_Games[[#This Row],[DD]]=0, 0, IF(L584 = "Cons DD", Convert_to_Games[[#This Row],[DD]], L584+L584))</f>
        <v>0</v>
      </c>
    </row>
    <row r="586" spans="1:12">
      <c r="A586" t="s">
        <v>25</v>
      </c>
      <c r="B586" t="s">
        <v>20</v>
      </c>
      <c r="C586" t="s">
        <v>16</v>
      </c>
      <c r="D586" s="9">
        <v>45852</v>
      </c>
      <c r="E586">
        <v>164</v>
      </c>
      <c r="F586" t="s">
        <v>111</v>
      </c>
      <c r="G586">
        <v>3</v>
      </c>
      <c r="H586" t="s">
        <v>4</v>
      </c>
      <c r="I586">
        <v>2</v>
      </c>
      <c r="J586">
        <v>0</v>
      </c>
      <c r="K586">
        <f>IF(Convert_to_Games[[#This Row],[Total Score]]&gt;9, 1, 0)</f>
        <v>0</v>
      </c>
      <c r="L586">
        <f>IF(Convert_to_Games[[#This Row],[DD]]=0, 0, IF(L585 = "Cons DD", Convert_to_Games[[#This Row],[DD]], L585+L585))</f>
        <v>0</v>
      </c>
    </row>
    <row r="587" spans="1:12">
      <c r="A587" t="s">
        <v>25</v>
      </c>
      <c r="B587" t="s">
        <v>21</v>
      </c>
      <c r="C587" t="s">
        <v>16</v>
      </c>
      <c r="D587" s="9">
        <v>45853</v>
      </c>
      <c r="E587">
        <v>167</v>
      </c>
      <c r="F587" t="s">
        <v>111</v>
      </c>
      <c r="G587">
        <v>3</v>
      </c>
      <c r="H587" t="s">
        <v>78</v>
      </c>
      <c r="I587">
        <v>2</v>
      </c>
      <c r="J587">
        <v>0</v>
      </c>
      <c r="K587">
        <f>IF(Convert_to_Games[[#This Row],[Total Score]]&gt;9, 1, 0)</f>
        <v>0</v>
      </c>
      <c r="L587">
        <f>IF(Convert_to_Games[[#This Row],[DD]]=0, 0, IF(L586 = "Cons DD", Convert_to_Games[[#This Row],[DD]], L586+L586))</f>
        <v>0</v>
      </c>
    </row>
    <row r="588" spans="1:12">
      <c r="A588" t="s">
        <v>25</v>
      </c>
      <c r="B588" t="s">
        <v>20</v>
      </c>
      <c r="C588" t="s">
        <v>16</v>
      </c>
      <c r="D588" s="9">
        <v>45854</v>
      </c>
      <c r="E588">
        <v>169</v>
      </c>
      <c r="F588" t="s">
        <v>108</v>
      </c>
      <c r="G588">
        <v>3</v>
      </c>
      <c r="H588" t="s">
        <v>78</v>
      </c>
      <c r="I588">
        <v>2</v>
      </c>
      <c r="J588">
        <v>0</v>
      </c>
      <c r="K588">
        <f>IF(Convert_to_Games[[#This Row],[Total Score]]&gt;9, 1, 0)</f>
        <v>0</v>
      </c>
      <c r="L588">
        <f>IF(Convert_to_Games[[#This Row],[DD]]=0, 0, IF(L587 = "Cons DD", Convert_to_Games[[#This Row],[DD]], L587+L587))</f>
        <v>0</v>
      </c>
    </row>
    <row r="589" spans="1:12">
      <c r="A589" t="s">
        <v>25</v>
      </c>
      <c r="B589" t="s">
        <v>20</v>
      </c>
      <c r="C589" t="s">
        <v>16</v>
      </c>
      <c r="D589" s="9">
        <v>45861</v>
      </c>
      <c r="E589">
        <v>178</v>
      </c>
      <c r="F589" t="s">
        <v>8</v>
      </c>
      <c r="G589">
        <v>3</v>
      </c>
      <c r="H589" t="s">
        <v>6</v>
      </c>
      <c r="I589">
        <v>2</v>
      </c>
      <c r="J589">
        <v>0</v>
      </c>
      <c r="K589">
        <f>IF(Convert_to_Games[[#This Row],[Total Score]]&gt;9, 1, 0)</f>
        <v>0</v>
      </c>
      <c r="L589">
        <f>IF(Convert_to_Games[[#This Row],[DD]]=0, 0, IF(L588 = "Cons DD", Convert_to_Games[[#This Row],[DD]], L588+L588))</f>
        <v>0</v>
      </c>
    </row>
    <row r="590" spans="1:12">
      <c r="A590" t="s">
        <v>25</v>
      </c>
      <c r="B590" t="s">
        <v>20</v>
      </c>
      <c r="C590" t="s">
        <v>16</v>
      </c>
      <c r="D590" s="9">
        <v>45866</v>
      </c>
      <c r="E590">
        <v>184</v>
      </c>
      <c r="F590" t="s">
        <v>71</v>
      </c>
      <c r="G590">
        <v>3</v>
      </c>
      <c r="H590" t="s">
        <v>6</v>
      </c>
      <c r="I590">
        <v>2</v>
      </c>
      <c r="J590">
        <v>0</v>
      </c>
      <c r="K590">
        <f>IF(Convert_to_Games[[#This Row],[Total Score]]&gt;9, 1, 0)</f>
        <v>0</v>
      </c>
      <c r="L590">
        <f>IF(Convert_to_Games[[#This Row],[DD]]=0, 0, IF(L589 = "Cons DD", Convert_to_Games[[#This Row],[DD]], L589+L589))</f>
        <v>0</v>
      </c>
    </row>
    <row r="591" spans="1:12">
      <c r="A591" t="s">
        <v>25</v>
      </c>
      <c r="B591">
        <v>256</v>
      </c>
      <c r="C591" t="s">
        <v>116</v>
      </c>
      <c r="D591" s="9">
        <v>45999</v>
      </c>
      <c r="E591">
        <v>249</v>
      </c>
      <c r="F591" t="s">
        <v>8</v>
      </c>
      <c r="G591">
        <v>3</v>
      </c>
      <c r="H591" t="s">
        <v>6</v>
      </c>
      <c r="I591">
        <v>2</v>
      </c>
      <c r="J591">
        <v>0</v>
      </c>
      <c r="K591">
        <f>IF(Convert_to_Games[[#This Row],[Total Score]]&gt;9, 1, 0)</f>
        <v>0</v>
      </c>
      <c r="L591">
        <f>IF(Convert_to_Games[[#This Row],[DD]]=0, 0, IF(L590 = "Cons DD", Convert_to_Games[[#This Row],[DD]], L590+L590))</f>
        <v>0</v>
      </c>
    </row>
    <row r="592" spans="1:12">
      <c r="A592" t="s">
        <v>25</v>
      </c>
      <c r="B592" t="s">
        <v>20</v>
      </c>
      <c r="C592" t="s">
        <v>18</v>
      </c>
      <c r="D592" s="9">
        <v>45707</v>
      </c>
      <c r="E592">
        <v>1</v>
      </c>
      <c r="F592" t="s">
        <v>8</v>
      </c>
      <c r="G592">
        <v>3</v>
      </c>
      <c r="H592" t="s">
        <v>5</v>
      </c>
      <c r="I592">
        <v>1</v>
      </c>
      <c r="J592">
        <v>0</v>
      </c>
      <c r="K592">
        <f>IF(Convert_to_Games[[#This Row],[Total Score]]&gt;9, 1, 0)</f>
        <v>0</v>
      </c>
      <c r="L592">
        <f>IF(Convert_to_Games[[#This Row],[DD]]=0, 0, IF(L591 = "Cons DD", Convert_to_Games[[#This Row],[DD]], L591+L591))</f>
        <v>0</v>
      </c>
    </row>
    <row r="593" spans="1:12">
      <c r="A593" t="s">
        <v>25</v>
      </c>
      <c r="B593" t="s">
        <v>20</v>
      </c>
      <c r="C593" t="s">
        <v>18</v>
      </c>
      <c r="D593" s="9">
        <v>45707</v>
      </c>
      <c r="E593">
        <v>1</v>
      </c>
      <c r="F593" t="s">
        <v>8</v>
      </c>
      <c r="G593">
        <v>3</v>
      </c>
      <c r="H593" t="s">
        <v>6</v>
      </c>
      <c r="I593">
        <v>1</v>
      </c>
      <c r="J593">
        <v>0</v>
      </c>
      <c r="K593">
        <f>IF(Convert_to_Games[[#This Row],[Total Score]]&gt;9, 1, 0)</f>
        <v>0</v>
      </c>
      <c r="L593">
        <f>IF(Convert_to_Games[[#This Row],[DD]]=0, 0, IF(L592 = "Cons DD", Convert_to_Games[[#This Row],[DD]], L592+L592))</f>
        <v>0</v>
      </c>
    </row>
    <row r="594" spans="1:12">
      <c r="A594" t="s">
        <v>25</v>
      </c>
      <c r="B594" t="s">
        <v>20</v>
      </c>
      <c r="C594" t="s">
        <v>18</v>
      </c>
      <c r="D594" s="9">
        <v>45708</v>
      </c>
      <c r="E594">
        <v>5</v>
      </c>
      <c r="F594" t="s">
        <v>10</v>
      </c>
      <c r="G594">
        <v>3</v>
      </c>
      <c r="H594" t="s">
        <v>5</v>
      </c>
      <c r="I594">
        <v>1</v>
      </c>
      <c r="J594">
        <v>0</v>
      </c>
      <c r="K594">
        <f>IF(Convert_to_Games[[#This Row],[Total Score]]&gt;9, 1, 0)</f>
        <v>0</v>
      </c>
      <c r="L594">
        <f>IF(Convert_to_Games[[#This Row],[DD]]=0, 0, IF(L593 = "Cons DD", Convert_to_Games[[#This Row],[DD]], L593+L593))</f>
        <v>0</v>
      </c>
    </row>
    <row r="595" spans="1:12">
      <c r="A595" t="s">
        <v>25</v>
      </c>
      <c r="B595" t="s">
        <v>20</v>
      </c>
      <c r="C595" t="s">
        <v>18</v>
      </c>
      <c r="D595" s="9">
        <v>45713</v>
      </c>
      <c r="E595">
        <v>10</v>
      </c>
      <c r="F595" t="s">
        <v>11</v>
      </c>
      <c r="G595">
        <v>3</v>
      </c>
      <c r="H595" t="s">
        <v>5</v>
      </c>
      <c r="I595">
        <v>1</v>
      </c>
      <c r="J595">
        <v>0</v>
      </c>
      <c r="K595">
        <f>IF(Convert_to_Games[[#This Row],[Total Score]]&gt;9, 1, 0)</f>
        <v>0</v>
      </c>
      <c r="L595">
        <f>IF(Convert_to_Games[[#This Row],[DD]]=0, 0, IF(L594 = "Cons DD", Convert_to_Games[[#This Row],[DD]], L594+L594))</f>
        <v>0</v>
      </c>
    </row>
    <row r="596" spans="1:12">
      <c r="A596" t="s">
        <v>25</v>
      </c>
      <c r="B596" t="s">
        <v>20</v>
      </c>
      <c r="C596" t="s">
        <v>16</v>
      </c>
      <c r="D596" s="9">
        <v>45715</v>
      </c>
      <c r="E596">
        <v>13</v>
      </c>
      <c r="F596" t="s">
        <v>12</v>
      </c>
      <c r="G596">
        <v>3</v>
      </c>
      <c r="H596" t="s">
        <v>5</v>
      </c>
      <c r="I596">
        <v>1</v>
      </c>
      <c r="J596">
        <v>0</v>
      </c>
      <c r="K596">
        <f>IF(Convert_to_Games[[#This Row],[Total Score]]&gt;9, 1, 0)</f>
        <v>0</v>
      </c>
      <c r="L596">
        <f>IF(Convert_to_Games[[#This Row],[DD]]=0, 0, IF(L595 = "Cons DD", Convert_to_Games[[#This Row],[DD]], L595+L595))</f>
        <v>0</v>
      </c>
    </row>
    <row r="597" spans="1:12">
      <c r="A597" t="s">
        <v>25</v>
      </c>
      <c r="B597" t="s">
        <v>20</v>
      </c>
      <c r="C597" t="s">
        <v>16</v>
      </c>
      <c r="D597" s="9">
        <v>45720</v>
      </c>
      <c r="E597">
        <v>16</v>
      </c>
      <c r="F597" t="s">
        <v>14</v>
      </c>
      <c r="G597">
        <v>3</v>
      </c>
      <c r="H597" t="s">
        <v>5</v>
      </c>
      <c r="I597">
        <v>1</v>
      </c>
      <c r="J597">
        <v>0</v>
      </c>
      <c r="K597">
        <f>IF(Convert_to_Games[[#This Row],[Total Score]]&gt;9, 1, 0)</f>
        <v>0</v>
      </c>
      <c r="L597">
        <f>IF(Convert_to_Games[[#This Row],[DD]]=0, 0, IF(L596 = "Cons DD", Convert_to_Games[[#This Row],[DD]], L596+L596))</f>
        <v>0</v>
      </c>
    </row>
    <row r="598" spans="1:12">
      <c r="A598" t="s">
        <v>25</v>
      </c>
      <c r="B598" t="s">
        <v>20</v>
      </c>
      <c r="C598" t="s">
        <v>16</v>
      </c>
      <c r="D598" s="9">
        <v>45721</v>
      </c>
      <c r="E598">
        <v>17</v>
      </c>
      <c r="F598" t="s">
        <v>9</v>
      </c>
      <c r="G598">
        <v>3</v>
      </c>
      <c r="H598" t="s">
        <v>5</v>
      </c>
      <c r="I598">
        <v>1</v>
      </c>
      <c r="J598">
        <v>0</v>
      </c>
      <c r="K598">
        <f>IF(Convert_to_Games[[#This Row],[Total Score]]&gt;9, 1, 0)</f>
        <v>0</v>
      </c>
      <c r="L598">
        <f>IF(Convert_to_Games[[#This Row],[DD]]=0, 0, IF(L597 = "Cons DD", Convert_to_Games[[#This Row],[DD]], L597+L597))</f>
        <v>0</v>
      </c>
    </row>
    <row r="599" spans="1:12">
      <c r="A599" t="s">
        <v>25</v>
      </c>
      <c r="B599" t="s">
        <v>20</v>
      </c>
      <c r="C599" t="s">
        <v>16</v>
      </c>
      <c r="D599" s="9">
        <v>45729</v>
      </c>
      <c r="E599">
        <v>24</v>
      </c>
      <c r="F599" t="s">
        <v>9</v>
      </c>
      <c r="G599">
        <v>3</v>
      </c>
      <c r="H599" t="s">
        <v>5</v>
      </c>
      <c r="I599">
        <v>1</v>
      </c>
      <c r="J599">
        <v>0</v>
      </c>
      <c r="K599">
        <f>IF(Convert_to_Games[[#This Row],[Total Score]]&gt;9, 1, 0)</f>
        <v>0</v>
      </c>
      <c r="L599">
        <f>IF(Convert_to_Games[[#This Row],[DD]]=0, 0, IF(L598 = "Cons DD", Convert_to_Games[[#This Row],[DD]], L598+L598))</f>
        <v>0</v>
      </c>
    </row>
    <row r="600" spans="1:12">
      <c r="A600" t="s">
        <v>25</v>
      </c>
      <c r="B600" t="s">
        <v>20</v>
      </c>
      <c r="C600" t="s">
        <v>18</v>
      </c>
      <c r="D600" s="9">
        <v>45740</v>
      </c>
      <c r="E600">
        <v>25</v>
      </c>
      <c r="F600" t="s">
        <v>13</v>
      </c>
      <c r="G600">
        <v>3</v>
      </c>
      <c r="H600" t="s">
        <v>7</v>
      </c>
      <c r="I600">
        <v>1</v>
      </c>
      <c r="J600">
        <v>0</v>
      </c>
      <c r="K600">
        <f>IF(Convert_to_Games[[#This Row],[Total Score]]&gt;9, 1, 0)</f>
        <v>0</v>
      </c>
      <c r="L600">
        <f>IF(Convert_to_Games[[#This Row],[DD]]=0, 0, IF(L599 = "Cons DD", Convert_to_Games[[#This Row],[DD]], L599+L599))</f>
        <v>0</v>
      </c>
    </row>
    <row r="601" spans="1:12">
      <c r="A601" t="s">
        <v>25</v>
      </c>
      <c r="B601" t="s">
        <v>21</v>
      </c>
      <c r="C601" t="s">
        <v>16</v>
      </c>
      <c r="D601" s="9">
        <v>45750</v>
      </c>
      <c r="E601">
        <v>34</v>
      </c>
      <c r="F601" t="s">
        <v>15</v>
      </c>
      <c r="G601">
        <v>3</v>
      </c>
      <c r="H601" t="s">
        <v>5</v>
      </c>
      <c r="I601">
        <v>1</v>
      </c>
      <c r="J601">
        <v>0</v>
      </c>
      <c r="K601">
        <f>IF(Convert_to_Games[[#This Row],[Total Score]]&gt;9, 1, 0)</f>
        <v>0</v>
      </c>
      <c r="L601">
        <f>IF(Convert_to_Games[[#This Row],[DD]]=0, 0, IF(L600 = "Cons DD", Convert_to_Games[[#This Row],[DD]], L600+L600))</f>
        <v>0</v>
      </c>
    </row>
    <row r="602" spans="1:12">
      <c r="A602" t="s">
        <v>25</v>
      </c>
      <c r="B602" t="s">
        <v>21</v>
      </c>
      <c r="C602" t="s">
        <v>16</v>
      </c>
      <c r="D602" s="9">
        <v>45750</v>
      </c>
      <c r="E602">
        <v>34</v>
      </c>
      <c r="F602" t="s">
        <v>15</v>
      </c>
      <c r="G602">
        <v>3</v>
      </c>
      <c r="H602" t="s">
        <v>6</v>
      </c>
      <c r="I602">
        <v>1</v>
      </c>
      <c r="J602">
        <v>0</v>
      </c>
      <c r="K602">
        <f>IF(Convert_to_Games[[#This Row],[Total Score]]&gt;9, 1, 0)</f>
        <v>0</v>
      </c>
      <c r="L602">
        <f>IF(Convert_to_Games[[#This Row],[DD]]=0, 0, IF(L601 = "Cons DD", Convert_to_Games[[#This Row],[DD]], L601+L601))</f>
        <v>0</v>
      </c>
    </row>
    <row r="603" spans="1:12">
      <c r="A603" t="s">
        <v>25</v>
      </c>
      <c r="B603" t="s">
        <v>19</v>
      </c>
      <c r="C603" t="s">
        <v>16</v>
      </c>
      <c r="D603" s="9">
        <v>45754</v>
      </c>
      <c r="E603">
        <v>36</v>
      </c>
      <c r="F603" t="s">
        <v>15</v>
      </c>
      <c r="G603">
        <v>3</v>
      </c>
      <c r="H603" t="s">
        <v>4</v>
      </c>
      <c r="I603">
        <v>1</v>
      </c>
      <c r="J603">
        <v>0</v>
      </c>
      <c r="K603">
        <f>IF(Convert_to_Games[[#This Row],[Total Score]]&gt;9, 1, 0)</f>
        <v>0</v>
      </c>
      <c r="L603">
        <f>IF(Convert_to_Games[[#This Row],[DD]]=0, 0, IF(L602 = "Cons DD", Convert_to_Games[[#This Row],[DD]], L602+L602))</f>
        <v>0</v>
      </c>
    </row>
    <row r="604" spans="1:12">
      <c r="A604" t="s">
        <v>25</v>
      </c>
      <c r="B604" t="s">
        <v>21</v>
      </c>
      <c r="C604" t="s">
        <v>16</v>
      </c>
      <c r="D604" s="9">
        <v>45755</v>
      </c>
      <c r="E604">
        <v>38</v>
      </c>
      <c r="F604" t="s">
        <v>13</v>
      </c>
      <c r="G604">
        <v>3</v>
      </c>
      <c r="H604" t="s">
        <v>4</v>
      </c>
      <c r="I604">
        <v>1</v>
      </c>
      <c r="J604">
        <v>0</v>
      </c>
      <c r="K604">
        <f>IF(Convert_to_Games[[#This Row],[Total Score]]&gt;9, 1, 0)</f>
        <v>0</v>
      </c>
      <c r="L604">
        <f>IF(Convert_to_Games[[#This Row],[DD]]=0, 0, IF(L603 = "Cons DD", Convert_to_Games[[#This Row],[DD]], L603+L603))</f>
        <v>0</v>
      </c>
    </row>
    <row r="605" spans="1:12">
      <c r="A605" t="s">
        <v>26</v>
      </c>
      <c r="B605" t="s">
        <v>20</v>
      </c>
      <c r="C605" t="s">
        <v>16</v>
      </c>
      <c r="D605" s="9">
        <v>45762</v>
      </c>
      <c r="E605">
        <v>45</v>
      </c>
      <c r="F605" t="s">
        <v>9</v>
      </c>
      <c r="G605">
        <v>3</v>
      </c>
      <c r="H605" t="s">
        <v>5</v>
      </c>
      <c r="I605">
        <v>1</v>
      </c>
      <c r="J605">
        <v>0</v>
      </c>
      <c r="K605">
        <f>IF(Convert_to_Games[[#This Row],[Total Score]]&gt;9, 1, 0)</f>
        <v>0</v>
      </c>
      <c r="L605">
        <f>IF(Convert_to_Games[[#This Row],[DD]]=0, 0, IF(L604 = "Cons DD", Convert_to_Games[[#This Row],[DD]], L604+L604))</f>
        <v>0</v>
      </c>
    </row>
    <row r="606" spans="1:12">
      <c r="A606" t="s">
        <v>25</v>
      </c>
      <c r="B606" t="s">
        <v>20</v>
      </c>
      <c r="C606" t="s">
        <v>16</v>
      </c>
      <c r="D606" s="9">
        <v>45762</v>
      </c>
      <c r="E606">
        <v>47</v>
      </c>
      <c r="F606" t="s">
        <v>27</v>
      </c>
      <c r="G606">
        <v>3</v>
      </c>
      <c r="H606" t="s">
        <v>7</v>
      </c>
      <c r="I606">
        <v>1</v>
      </c>
      <c r="J606">
        <v>0</v>
      </c>
      <c r="K606">
        <f>IF(Convert_to_Games[[#This Row],[Total Score]]&gt;9, 1, 0)</f>
        <v>0</v>
      </c>
      <c r="L606">
        <f>IF(Convert_to_Games[[#This Row],[DD]]=0, 0, IF(L605 = "Cons DD", Convert_to_Games[[#This Row],[DD]], L605+L605))</f>
        <v>0</v>
      </c>
    </row>
    <row r="607" spans="1:12">
      <c r="A607" t="s">
        <v>25</v>
      </c>
      <c r="B607" t="s">
        <v>21</v>
      </c>
      <c r="C607" t="s">
        <v>16</v>
      </c>
      <c r="D607" s="9">
        <v>45764</v>
      </c>
      <c r="E607">
        <v>54</v>
      </c>
      <c r="F607" t="s">
        <v>28</v>
      </c>
      <c r="G607">
        <v>3</v>
      </c>
      <c r="H607" t="s">
        <v>29</v>
      </c>
      <c r="I607">
        <v>1</v>
      </c>
      <c r="J607">
        <v>0</v>
      </c>
      <c r="K607">
        <f>IF(Convert_to_Games[[#This Row],[Total Score]]&gt;9, 1, 0)</f>
        <v>0</v>
      </c>
      <c r="L607">
        <f>IF(Convert_to_Games[[#This Row],[DD]]=0, 0, IF(L606 = "Cons DD", Convert_to_Games[[#This Row],[DD]], L606+L606))</f>
        <v>0</v>
      </c>
    </row>
    <row r="608" spans="1:12">
      <c r="A608" t="s">
        <v>25</v>
      </c>
      <c r="B608" t="s">
        <v>21</v>
      </c>
      <c r="C608" t="s">
        <v>16</v>
      </c>
      <c r="D608" s="9">
        <v>45768</v>
      </c>
      <c r="E608">
        <v>59</v>
      </c>
      <c r="F608" t="s">
        <v>11</v>
      </c>
      <c r="G608">
        <v>3</v>
      </c>
      <c r="H608" t="s">
        <v>5</v>
      </c>
      <c r="I608">
        <v>1</v>
      </c>
      <c r="J608">
        <v>0</v>
      </c>
      <c r="K608">
        <f>IF(Convert_to_Games[[#This Row],[Total Score]]&gt;9, 1, 0)</f>
        <v>0</v>
      </c>
      <c r="L608">
        <f>IF(Convert_to_Games[[#This Row],[DD]]=0, 0, IF(L607 = "Cons DD", Convert_to_Games[[#This Row],[DD]], L607+L607))</f>
        <v>0</v>
      </c>
    </row>
    <row r="609" spans="1:12">
      <c r="A609" t="s">
        <v>25</v>
      </c>
      <c r="B609" t="s">
        <v>21</v>
      </c>
      <c r="C609" t="s">
        <v>16</v>
      </c>
      <c r="D609" s="9">
        <v>45769</v>
      </c>
      <c r="E609">
        <v>62</v>
      </c>
      <c r="F609" t="s">
        <v>33</v>
      </c>
      <c r="G609">
        <v>3</v>
      </c>
      <c r="H609" t="s">
        <v>7</v>
      </c>
      <c r="I609">
        <v>1</v>
      </c>
      <c r="J609">
        <v>0</v>
      </c>
      <c r="K609">
        <f>IF(Convert_to_Games[[#This Row],[Total Score]]&gt;9, 1, 0)</f>
        <v>0</v>
      </c>
      <c r="L609">
        <f>IF(Convert_to_Games[[#This Row],[DD]]=0, 0, IF(L608 = "Cons DD", Convert_to_Games[[#This Row],[DD]], L608+L608))</f>
        <v>0</v>
      </c>
    </row>
    <row r="610" spans="1:12">
      <c r="A610" t="s">
        <v>25</v>
      </c>
      <c r="B610" t="s">
        <v>20</v>
      </c>
      <c r="C610" t="s">
        <v>16</v>
      </c>
      <c r="D610" s="9">
        <v>45771</v>
      </c>
      <c r="E610">
        <v>68</v>
      </c>
      <c r="F610" t="s">
        <v>15</v>
      </c>
      <c r="G610">
        <v>3</v>
      </c>
      <c r="H610" t="s">
        <v>5</v>
      </c>
      <c r="I610">
        <v>1</v>
      </c>
      <c r="J610">
        <v>0</v>
      </c>
      <c r="K610">
        <f>IF(Convert_to_Games[[#This Row],[Total Score]]&gt;9, 1, 0)</f>
        <v>0</v>
      </c>
      <c r="L610">
        <f>IF(Convert_to_Games[[#This Row],[DD]]=0, 0, IF(L609 = "Cons DD", Convert_to_Games[[#This Row],[DD]], L609+L609))</f>
        <v>0</v>
      </c>
    </row>
    <row r="611" spans="1:12">
      <c r="A611" t="s">
        <v>25</v>
      </c>
      <c r="B611" t="s">
        <v>20</v>
      </c>
      <c r="C611" t="s">
        <v>16</v>
      </c>
      <c r="D611" s="9">
        <v>45775</v>
      </c>
      <c r="E611">
        <v>72</v>
      </c>
      <c r="F611" t="s">
        <v>12</v>
      </c>
      <c r="G611">
        <v>3</v>
      </c>
      <c r="H611" t="s">
        <v>5</v>
      </c>
      <c r="I611">
        <v>1</v>
      </c>
      <c r="J611">
        <v>0</v>
      </c>
      <c r="K611">
        <f>IF(Convert_to_Games[[#This Row],[Total Score]]&gt;9, 1, 0)</f>
        <v>0</v>
      </c>
      <c r="L611">
        <f>IF(Convert_to_Games[[#This Row],[DD]]=0, 0, IF(L610 = "Cons DD", Convert_to_Games[[#This Row],[DD]], L610+L610))</f>
        <v>0</v>
      </c>
    </row>
    <row r="612" spans="1:12">
      <c r="A612" t="s">
        <v>25</v>
      </c>
      <c r="B612" t="s">
        <v>21</v>
      </c>
      <c r="C612" t="s">
        <v>16</v>
      </c>
      <c r="D612" s="9">
        <v>45775</v>
      </c>
      <c r="E612">
        <v>74</v>
      </c>
      <c r="F612" t="s">
        <v>33</v>
      </c>
      <c r="G612">
        <v>3</v>
      </c>
      <c r="H612" t="s">
        <v>5</v>
      </c>
      <c r="I612">
        <v>1</v>
      </c>
      <c r="J612">
        <v>0</v>
      </c>
      <c r="K612">
        <f>IF(Convert_to_Games[[#This Row],[Total Score]]&gt;9, 1, 0)</f>
        <v>0</v>
      </c>
      <c r="L612">
        <f>IF(Convert_to_Games[[#This Row],[DD]]=0, 0, IF(L611 = "Cons DD", Convert_to_Games[[#This Row],[DD]], L611+L611))</f>
        <v>0</v>
      </c>
    </row>
    <row r="613" spans="1:12">
      <c r="A613" t="s">
        <v>25</v>
      </c>
      <c r="B613" t="s">
        <v>20</v>
      </c>
      <c r="C613" t="s">
        <v>16</v>
      </c>
      <c r="D613" s="9">
        <v>45776</v>
      </c>
      <c r="E613">
        <v>77</v>
      </c>
      <c r="F613" t="s">
        <v>57</v>
      </c>
      <c r="G613">
        <v>3</v>
      </c>
      <c r="H613" t="s">
        <v>4</v>
      </c>
      <c r="I613">
        <v>1</v>
      </c>
      <c r="J613">
        <v>0</v>
      </c>
      <c r="K613">
        <f>IF(Convert_to_Games[[#This Row],[Total Score]]&gt;9, 1, 0)</f>
        <v>0</v>
      </c>
      <c r="L613">
        <f>IF(Convert_to_Games[[#This Row],[DD]]=0, 0, IF(L612 = "Cons DD", Convert_to_Games[[#This Row],[DD]], L612+L612))</f>
        <v>0</v>
      </c>
    </row>
    <row r="614" spans="1:12">
      <c r="A614" t="s">
        <v>25</v>
      </c>
      <c r="B614" t="s">
        <v>20</v>
      </c>
      <c r="C614" t="s">
        <v>16</v>
      </c>
      <c r="D614" s="9">
        <v>45776</v>
      </c>
      <c r="E614">
        <v>79</v>
      </c>
      <c r="F614" t="s">
        <v>59</v>
      </c>
      <c r="G614">
        <v>3</v>
      </c>
      <c r="H614" t="s">
        <v>5</v>
      </c>
      <c r="I614">
        <v>1</v>
      </c>
      <c r="J614">
        <v>0</v>
      </c>
      <c r="K614">
        <f>IF(Convert_to_Games[[#This Row],[Total Score]]&gt;9, 1, 0)</f>
        <v>0</v>
      </c>
      <c r="L614">
        <f>IF(Convert_to_Games[[#This Row],[DD]]=0, 0, IF(L613 = "Cons DD", Convert_to_Games[[#This Row],[DD]], L613+L613))</f>
        <v>0</v>
      </c>
    </row>
    <row r="615" spans="1:12">
      <c r="A615" t="s">
        <v>25</v>
      </c>
      <c r="B615" t="s">
        <v>20</v>
      </c>
      <c r="C615" t="s">
        <v>16</v>
      </c>
      <c r="D615" s="9">
        <v>45776</v>
      </c>
      <c r="E615">
        <v>79</v>
      </c>
      <c r="F615" t="s">
        <v>59</v>
      </c>
      <c r="G615">
        <v>3</v>
      </c>
      <c r="H615" t="s">
        <v>6</v>
      </c>
      <c r="I615">
        <v>1</v>
      </c>
      <c r="J615">
        <v>0</v>
      </c>
      <c r="K615">
        <f>IF(Convert_to_Games[[#This Row],[Total Score]]&gt;9, 1, 0)</f>
        <v>0</v>
      </c>
      <c r="L615">
        <f>IF(Convert_to_Games[[#This Row],[DD]]=0, 0, IF(L614 = "Cons DD", Convert_to_Games[[#This Row],[DD]], L614+L614))</f>
        <v>0</v>
      </c>
    </row>
    <row r="616" spans="1:12">
      <c r="A616" t="s">
        <v>25</v>
      </c>
      <c r="B616" t="s">
        <v>20</v>
      </c>
      <c r="C616" t="s">
        <v>16</v>
      </c>
      <c r="D616" s="9">
        <v>45782</v>
      </c>
      <c r="E616">
        <v>90</v>
      </c>
      <c r="F616" t="s">
        <v>9</v>
      </c>
      <c r="G616">
        <v>3</v>
      </c>
      <c r="H616" t="s">
        <v>5</v>
      </c>
      <c r="I616">
        <v>1</v>
      </c>
      <c r="J616">
        <v>0</v>
      </c>
      <c r="K616">
        <f>IF(Convert_to_Games[[#This Row],[Total Score]]&gt;9, 1, 0)</f>
        <v>0</v>
      </c>
      <c r="L616">
        <f>IF(Convert_to_Games[[#This Row],[DD]]=0, 0, IF(L615 = "Cons DD", Convert_to_Games[[#This Row],[DD]], L615+L615))</f>
        <v>0</v>
      </c>
    </row>
    <row r="617" spans="1:12">
      <c r="A617" t="s">
        <v>25</v>
      </c>
      <c r="B617" t="s">
        <v>20</v>
      </c>
      <c r="C617" t="s">
        <v>16</v>
      </c>
      <c r="D617" s="9">
        <v>45784</v>
      </c>
      <c r="E617">
        <v>93</v>
      </c>
      <c r="F617" t="s">
        <v>11</v>
      </c>
      <c r="G617">
        <v>3</v>
      </c>
      <c r="H617" t="s">
        <v>5</v>
      </c>
      <c r="I617">
        <v>1</v>
      </c>
      <c r="J617">
        <v>0</v>
      </c>
      <c r="K617">
        <f>IF(Convert_to_Games[[#This Row],[Total Score]]&gt;9, 1, 0)</f>
        <v>0</v>
      </c>
      <c r="L617">
        <f>IF(Convert_to_Games[[#This Row],[DD]]=0, 0, IF(L616 = "Cons DD", Convert_to_Games[[#This Row],[DD]], L616+L616))</f>
        <v>0</v>
      </c>
    </row>
    <row r="618" spans="1:12">
      <c r="A618" t="s">
        <v>25</v>
      </c>
      <c r="B618" t="s">
        <v>21</v>
      </c>
      <c r="C618" t="s">
        <v>16</v>
      </c>
      <c r="D618" s="9">
        <v>45784</v>
      </c>
      <c r="E618">
        <v>95</v>
      </c>
      <c r="F618" t="s">
        <v>9</v>
      </c>
      <c r="G618">
        <v>3</v>
      </c>
      <c r="H618" t="s">
        <v>5</v>
      </c>
      <c r="I618">
        <v>1</v>
      </c>
      <c r="J618">
        <v>0</v>
      </c>
      <c r="K618">
        <f>IF(Convert_to_Games[[#This Row],[Total Score]]&gt;9, 1, 0)</f>
        <v>0</v>
      </c>
      <c r="L618">
        <f>IF(Convert_to_Games[[#This Row],[DD]]=0, 0, IF(L617 = "Cons DD", Convert_to_Games[[#This Row],[DD]], L617+L617))</f>
        <v>0</v>
      </c>
    </row>
    <row r="619" spans="1:12">
      <c r="A619" t="s">
        <v>25</v>
      </c>
      <c r="B619" t="s">
        <v>20</v>
      </c>
      <c r="C619" t="s">
        <v>16</v>
      </c>
      <c r="D619" s="9">
        <v>45797</v>
      </c>
      <c r="E619">
        <v>102</v>
      </c>
      <c r="F619" t="s">
        <v>27</v>
      </c>
      <c r="G619">
        <v>3</v>
      </c>
      <c r="H619" t="s">
        <v>7</v>
      </c>
      <c r="I619">
        <v>1</v>
      </c>
      <c r="J619">
        <v>0</v>
      </c>
      <c r="K619">
        <f>IF(Convert_to_Games[[#This Row],[Total Score]]&gt;9, 1, 0)</f>
        <v>0</v>
      </c>
      <c r="L619">
        <f>IF(Convert_to_Games[[#This Row],[DD]]=0, 0, IF(L618 = "Cons DD", Convert_to_Games[[#This Row],[DD]], L618+L618))</f>
        <v>0</v>
      </c>
    </row>
    <row r="620" spans="1:12">
      <c r="A620" t="s">
        <v>25</v>
      </c>
      <c r="B620" t="s">
        <v>20</v>
      </c>
      <c r="C620" t="s">
        <v>16</v>
      </c>
      <c r="D620" s="9">
        <v>45799</v>
      </c>
      <c r="E620">
        <v>104</v>
      </c>
      <c r="F620" t="s">
        <v>71</v>
      </c>
      <c r="G620">
        <v>3</v>
      </c>
      <c r="H620" t="s">
        <v>6</v>
      </c>
      <c r="I620">
        <v>1</v>
      </c>
      <c r="J620">
        <v>0</v>
      </c>
      <c r="K620">
        <f>IF(Convert_to_Games[[#This Row],[Total Score]]&gt;9, 1, 0)</f>
        <v>0</v>
      </c>
      <c r="L620">
        <f>IF(Convert_to_Games[[#This Row],[DD]]=0, 0, IF(L619 = "Cons DD", Convert_to_Games[[#This Row],[DD]], L619+L619))</f>
        <v>0</v>
      </c>
    </row>
    <row r="621" spans="1:12">
      <c r="A621" t="s">
        <v>25</v>
      </c>
      <c r="B621" t="s">
        <v>20</v>
      </c>
      <c r="C621" t="s">
        <v>16</v>
      </c>
      <c r="D621" s="9">
        <v>45811</v>
      </c>
      <c r="E621">
        <v>105</v>
      </c>
      <c r="F621" t="s">
        <v>71</v>
      </c>
      <c r="G621">
        <v>3</v>
      </c>
      <c r="H621" t="s">
        <v>6</v>
      </c>
      <c r="I621">
        <v>1</v>
      </c>
      <c r="J621">
        <v>0</v>
      </c>
      <c r="K621">
        <f>IF(Convert_to_Games[[#This Row],[Total Score]]&gt;9, 1, 0)</f>
        <v>0</v>
      </c>
      <c r="L621">
        <f>IF(Convert_to_Games[[#This Row],[DD]]=0, 0, IF(L620 = "Cons DD", Convert_to_Games[[#This Row],[DD]], L620+L620))</f>
        <v>0</v>
      </c>
    </row>
    <row r="622" spans="1:12">
      <c r="A622" t="s">
        <v>25</v>
      </c>
      <c r="B622" t="s">
        <v>20</v>
      </c>
      <c r="C622" t="s">
        <v>16</v>
      </c>
      <c r="D622" s="9">
        <v>45824</v>
      </c>
      <c r="E622">
        <v>112</v>
      </c>
      <c r="F622" t="s">
        <v>59</v>
      </c>
      <c r="G622">
        <v>3</v>
      </c>
      <c r="H622" t="s">
        <v>5</v>
      </c>
      <c r="I622">
        <v>1</v>
      </c>
      <c r="J622">
        <v>0</v>
      </c>
      <c r="K622">
        <f>IF(Convert_to_Games[[#This Row],[Total Score]]&gt;9, 1, 0)</f>
        <v>0</v>
      </c>
      <c r="L622">
        <f>IF(Convert_to_Games[[#This Row],[DD]]=0, 0, IF(L621 = "Cons DD", Convert_to_Games[[#This Row],[DD]], L621+L621))</f>
        <v>0</v>
      </c>
    </row>
    <row r="623" spans="1:12">
      <c r="A623" t="s">
        <v>25</v>
      </c>
      <c r="B623" t="s">
        <v>20</v>
      </c>
      <c r="C623" t="s">
        <v>16</v>
      </c>
      <c r="D623" s="9">
        <v>45825</v>
      </c>
      <c r="E623">
        <v>114</v>
      </c>
      <c r="F623" t="s">
        <v>8</v>
      </c>
      <c r="G623">
        <v>3</v>
      </c>
      <c r="H623" t="s">
        <v>6</v>
      </c>
      <c r="I623">
        <v>1</v>
      </c>
      <c r="J623">
        <v>0</v>
      </c>
      <c r="K623">
        <f>IF(Convert_to_Games[[#This Row],[Total Score]]&gt;9, 1, 0)</f>
        <v>0</v>
      </c>
      <c r="L623">
        <f>IF(Convert_to_Games[[#This Row],[DD]]=0, 0, IF(L622 = "Cons DD", Convert_to_Games[[#This Row],[DD]], L622+L622))</f>
        <v>0</v>
      </c>
    </row>
    <row r="624" spans="1:12">
      <c r="A624" t="s">
        <v>25</v>
      </c>
      <c r="B624" t="s">
        <v>20</v>
      </c>
      <c r="C624" t="s">
        <v>16</v>
      </c>
      <c r="D624" s="9">
        <v>45833</v>
      </c>
      <c r="E624">
        <v>130</v>
      </c>
      <c r="F624" t="s">
        <v>94</v>
      </c>
      <c r="G624">
        <v>3</v>
      </c>
      <c r="H624" t="s">
        <v>78</v>
      </c>
      <c r="I624">
        <v>1</v>
      </c>
      <c r="J624">
        <v>0</v>
      </c>
      <c r="K624">
        <f>IF(Convert_to_Games[[#This Row],[Total Score]]&gt;9, 1, 0)</f>
        <v>0</v>
      </c>
      <c r="L624">
        <f>IF(Convert_to_Games[[#This Row],[DD]]=0, 0, IF(L623 = "Cons DD", Convert_to_Games[[#This Row],[DD]], L623+L623))</f>
        <v>0</v>
      </c>
    </row>
    <row r="625" spans="1:12">
      <c r="A625" t="s">
        <v>25</v>
      </c>
      <c r="B625" t="s">
        <v>20</v>
      </c>
      <c r="C625" t="s">
        <v>16</v>
      </c>
      <c r="D625" s="9">
        <v>45838</v>
      </c>
      <c r="E625">
        <v>137</v>
      </c>
      <c r="F625" t="s">
        <v>104</v>
      </c>
      <c r="G625">
        <v>3</v>
      </c>
      <c r="H625" t="s">
        <v>78</v>
      </c>
      <c r="I625">
        <v>1</v>
      </c>
      <c r="J625">
        <v>0</v>
      </c>
      <c r="K625">
        <f>IF(Convert_to_Games[[#This Row],[Total Score]]&gt;9, 1, 0)</f>
        <v>0</v>
      </c>
      <c r="L625">
        <f>IF(Convert_to_Games[[#This Row],[DD]]=0, 0, IF(L624 = "Cons DD", Convert_to_Games[[#This Row],[DD]], L624+L624))</f>
        <v>0</v>
      </c>
    </row>
    <row r="626" spans="1:12">
      <c r="A626" t="s">
        <v>25</v>
      </c>
      <c r="B626" t="s">
        <v>20</v>
      </c>
      <c r="C626" t="s">
        <v>16</v>
      </c>
      <c r="D626" s="9">
        <v>45841</v>
      </c>
      <c r="E626">
        <v>145</v>
      </c>
      <c r="F626" t="s">
        <v>108</v>
      </c>
      <c r="G626">
        <v>3</v>
      </c>
      <c r="H626" t="s">
        <v>78</v>
      </c>
      <c r="I626">
        <v>1</v>
      </c>
      <c r="J626">
        <v>0</v>
      </c>
      <c r="K626">
        <f>IF(Convert_to_Games[[#This Row],[Total Score]]&gt;9, 1, 0)</f>
        <v>0</v>
      </c>
      <c r="L626">
        <f>IF(Convert_to_Games[[#This Row],[DD]]=0, 0, IF(L625 = "Cons DD", Convert_to_Games[[#This Row],[DD]], L625+L625))</f>
        <v>0</v>
      </c>
    </row>
    <row r="627" spans="1:12">
      <c r="A627" t="s">
        <v>25</v>
      </c>
      <c r="B627" t="s">
        <v>20</v>
      </c>
      <c r="C627" t="s">
        <v>17</v>
      </c>
      <c r="D627" s="9">
        <v>45845</v>
      </c>
      <c r="E627">
        <v>148</v>
      </c>
      <c r="F627" t="s">
        <v>109</v>
      </c>
      <c r="G627">
        <v>3</v>
      </c>
      <c r="H627" t="s">
        <v>4</v>
      </c>
      <c r="I627">
        <v>1</v>
      </c>
      <c r="J627">
        <v>0</v>
      </c>
      <c r="K627">
        <f>IF(Convert_to_Games[[#This Row],[Total Score]]&gt;9, 1, 0)</f>
        <v>0</v>
      </c>
      <c r="L627">
        <f>IF(Convert_to_Games[[#This Row],[DD]]=0, 0, IF(L626 = "Cons DD", Convert_to_Games[[#This Row],[DD]], L626+L626))</f>
        <v>0</v>
      </c>
    </row>
    <row r="628" spans="1:12">
      <c r="A628" t="s">
        <v>25</v>
      </c>
      <c r="B628" t="s">
        <v>20</v>
      </c>
      <c r="C628" t="s">
        <v>16</v>
      </c>
      <c r="D628" s="9">
        <v>45847</v>
      </c>
      <c r="E628">
        <v>155</v>
      </c>
      <c r="F628" t="s">
        <v>103</v>
      </c>
      <c r="G628">
        <v>3</v>
      </c>
      <c r="H628" t="s">
        <v>78</v>
      </c>
      <c r="I628">
        <v>1</v>
      </c>
      <c r="J628">
        <v>0</v>
      </c>
      <c r="K628">
        <f>IF(Convert_to_Games[[#This Row],[Total Score]]&gt;9, 1, 0)</f>
        <v>0</v>
      </c>
      <c r="L628">
        <f>IF(Convert_to_Games[[#This Row],[DD]]=0, 0, IF(L627 = "Cons DD", Convert_to_Games[[#This Row],[DD]], L627+L627))</f>
        <v>0</v>
      </c>
    </row>
    <row r="629" spans="1:12">
      <c r="A629" t="s">
        <v>25</v>
      </c>
      <c r="B629" t="s">
        <v>20</v>
      </c>
      <c r="C629" t="s">
        <v>16</v>
      </c>
      <c r="D629" s="9">
        <v>45848</v>
      </c>
      <c r="E629">
        <v>156</v>
      </c>
      <c r="F629" t="s">
        <v>111</v>
      </c>
      <c r="G629">
        <v>3</v>
      </c>
      <c r="H629" t="s">
        <v>78</v>
      </c>
      <c r="I629">
        <v>1</v>
      </c>
      <c r="J629">
        <v>0</v>
      </c>
      <c r="K629">
        <f>IF(Convert_to_Games[[#This Row],[Total Score]]&gt;9, 1, 0)</f>
        <v>0</v>
      </c>
      <c r="L629">
        <f>IF(Convert_to_Games[[#This Row],[DD]]=0, 0, IF(L628 = "Cons DD", Convert_to_Games[[#This Row],[DD]], L628+L628))</f>
        <v>0</v>
      </c>
    </row>
    <row r="630" spans="1:12">
      <c r="A630" t="s">
        <v>25</v>
      </c>
      <c r="B630" t="s">
        <v>20</v>
      </c>
      <c r="C630" t="s">
        <v>16</v>
      </c>
      <c r="D630" s="9">
        <v>45849</v>
      </c>
      <c r="E630">
        <v>160</v>
      </c>
      <c r="F630" t="s">
        <v>111</v>
      </c>
      <c r="G630">
        <v>3</v>
      </c>
      <c r="H630" t="s">
        <v>78</v>
      </c>
      <c r="I630">
        <v>1</v>
      </c>
      <c r="J630">
        <v>0</v>
      </c>
      <c r="K630">
        <f>IF(Convert_to_Games[[#This Row],[Total Score]]&gt;9, 1, 0)</f>
        <v>0</v>
      </c>
      <c r="L630">
        <f>IF(Convert_to_Games[[#This Row],[DD]]=0, 0, IF(L629 = "Cons DD", Convert_to_Games[[#This Row],[DD]], L629+L629))</f>
        <v>0</v>
      </c>
    </row>
    <row r="631" spans="1:12">
      <c r="A631" t="s">
        <v>25</v>
      </c>
      <c r="B631" t="s">
        <v>20</v>
      </c>
      <c r="C631" t="s">
        <v>16</v>
      </c>
      <c r="D631" s="9">
        <v>45849</v>
      </c>
      <c r="E631">
        <v>161</v>
      </c>
      <c r="F631" t="s">
        <v>103</v>
      </c>
      <c r="G631">
        <v>3</v>
      </c>
      <c r="H631" t="s">
        <v>78</v>
      </c>
      <c r="I631">
        <v>1</v>
      </c>
      <c r="J631">
        <v>0</v>
      </c>
      <c r="K631">
        <f>IF(Convert_to_Games[[#This Row],[Total Score]]&gt;9, 1, 0)</f>
        <v>0</v>
      </c>
      <c r="L631">
        <f>IF(Convert_to_Games[[#This Row],[DD]]=0, 0, IF(L630 = "Cons DD", Convert_to_Games[[#This Row],[DD]], L630+L630))</f>
        <v>0</v>
      </c>
    </row>
    <row r="632" spans="1:12">
      <c r="A632" t="s">
        <v>25</v>
      </c>
      <c r="B632" t="s">
        <v>20</v>
      </c>
      <c r="C632" t="s">
        <v>16</v>
      </c>
      <c r="D632" s="9">
        <v>45854</v>
      </c>
      <c r="E632">
        <v>169</v>
      </c>
      <c r="F632" t="s">
        <v>108</v>
      </c>
      <c r="G632">
        <v>3</v>
      </c>
      <c r="H632" t="s">
        <v>5</v>
      </c>
      <c r="I632">
        <v>1</v>
      </c>
      <c r="J632">
        <v>0</v>
      </c>
      <c r="K632">
        <f>IF(Convert_to_Games[[#This Row],[Total Score]]&gt;9, 1, 0)</f>
        <v>0</v>
      </c>
      <c r="L632">
        <f>IF(Convert_to_Games[[#This Row],[DD]]=0, 0, IF(L631 = "Cons DD", Convert_to_Games[[#This Row],[DD]], L631+L631))</f>
        <v>0</v>
      </c>
    </row>
    <row r="633" spans="1:12">
      <c r="A633" t="s">
        <v>25</v>
      </c>
      <c r="B633" t="s">
        <v>20</v>
      </c>
      <c r="C633" t="s">
        <v>16</v>
      </c>
      <c r="D633" s="9">
        <v>45855</v>
      </c>
      <c r="E633">
        <v>171</v>
      </c>
      <c r="F633" t="s">
        <v>104</v>
      </c>
      <c r="G633">
        <v>3</v>
      </c>
      <c r="H633" t="s">
        <v>78</v>
      </c>
      <c r="I633">
        <v>1</v>
      </c>
      <c r="J633">
        <v>0</v>
      </c>
      <c r="K633">
        <f>IF(Convert_to_Games[[#This Row],[Total Score]]&gt;9, 1, 0)</f>
        <v>0</v>
      </c>
      <c r="L633">
        <f>IF(Convert_to_Games[[#This Row],[DD]]=0, 0, IF(L632 = "Cons DD", Convert_to_Games[[#This Row],[DD]], L632+L632))</f>
        <v>0</v>
      </c>
    </row>
    <row r="634" spans="1:12">
      <c r="A634" t="s">
        <v>25</v>
      </c>
      <c r="B634" t="s">
        <v>20</v>
      </c>
      <c r="C634" t="s">
        <v>16</v>
      </c>
      <c r="D634" s="9">
        <v>45859</v>
      </c>
      <c r="E634">
        <v>173</v>
      </c>
      <c r="F634" t="s">
        <v>77</v>
      </c>
      <c r="G634">
        <v>4</v>
      </c>
      <c r="H634" t="s">
        <v>5</v>
      </c>
      <c r="I634">
        <v>1</v>
      </c>
      <c r="J634">
        <v>1</v>
      </c>
      <c r="K634">
        <f>IF(Convert_to_Games[[#This Row],[Total Score]]&gt;9, 1, 0)</f>
        <v>0</v>
      </c>
      <c r="L634">
        <f>IF(Convert_to_Games[[#This Row],[DD]]=0, 0, IF(L633 = "Cons DD", Convert_to_Games[[#This Row],[DD]], L633+L633))</f>
        <v>0</v>
      </c>
    </row>
    <row r="635" spans="1:12">
      <c r="A635" t="s">
        <v>25</v>
      </c>
      <c r="B635" t="s">
        <v>19</v>
      </c>
      <c r="C635" t="s">
        <v>16</v>
      </c>
      <c r="D635" s="9">
        <v>45859</v>
      </c>
      <c r="E635">
        <v>175</v>
      </c>
      <c r="F635" t="s">
        <v>115</v>
      </c>
      <c r="G635">
        <v>3</v>
      </c>
      <c r="H635" t="s">
        <v>78</v>
      </c>
      <c r="I635">
        <v>1</v>
      </c>
      <c r="J635">
        <v>0</v>
      </c>
      <c r="K635">
        <f>IF(Convert_to_Games[[#This Row],[Total Score]]&gt;9, 1, 0)</f>
        <v>0</v>
      </c>
      <c r="L635">
        <f>IF(Convert_to_Games[[#This Row],[DD]]=0, 0, IF(L634 = "Cons DD", Convert_to_Games[[#This Row],[DD]], L634+L634))</f>
        <v>0</v>
      </c>
    </row>
    <row r="636" spans="1:12">
      <c r="A636" t="s">
        <v>25</v>
      </c>
      <c r="B636">
        <v>256</v>
      </c>
      <c r="C636" t="s">
        <v>116</v>
      </c>
      <c r="D636" s="9">
        <v>45881</v>
      </c>
      <c r="E636">
        <v>203</v>
      </c>
      <c r="F636" t="s">
        <v>117</v>
      </c>
      <c r="G636">
        <v>3</v>
      </c>
      <c r="H636" t="s">
        <v>23</v>
      </c>
      <c r="I636">
        <v>1</v>
      </c>
      <c r="J636">
        <v>0</v>
      </c>
      <c r="K636">
        <f>IF(Convert_to_Games[[#This Row],[Total Score]]&gt;9, 1, 0)</f>
        <v>0</v>
      </c>
      <c r="L636">
        <f>IF(Convert_to_Games[[#This Row],[DD]]=0, 0, IF(L635 = "Cons DD", Convert_to_Games[[#This Row],[DD]], L635+L635))</f>
        <v>0</v>
      </c>
    </row>
    <row r="637" spans="1:12">
      <c r="A637" t="s">
        <v>25</v>
      </c>
      <c r="B637" t="s">
        <v>20</v>
      </c>
      <c r="C637" t="s">
        <v>18</v>
      </c>
      <c r="D637" s="9">
        <v>45707</v>
      </c>
      <c r="E637">
        <v>2</v>
      </c>
      <c r="F637" t="s">
        <v>9</v>
      </c>
      <c r="G637">
        <v>3</v>
      </c>
      <c r="H637" t="s">
        <v>5</v>
      </c>
      <c r="I637">
        <v>0</v>
      </c>
      <c r="J637">
        <v>0</v>
      </c>
      <c r="K637">
        <f>IF(Convert_to_Games[[#This Row],[Total Score]]&gt;9, 1, 0)</f>
        <v>0</v>
      </c>
      <c r="L637">
        <f>IF(Convert_to_Games[[#This Row],[DD]]=0, 0, IF(L636 = "Cons DD", Convert_to_Games[[#This Row],[DD]], L636+L636))</f>
        <v>0</v>
      </c>
    </row>
    <row r="638" spans="1:12">
      <c r="A638" t="s">
        <v>25</v>
      </c>
      <c r="B638" t="s">
        <v>20</v>
      </c>
      <c r="C638" t="s">
        <v>18</v>
      </c>
      <c r="D638" s="9">
        <v>45708</v>
      </c>
      <c r="E638">
        <v>4</v>
      </c>
      <c r="F638" t="s">
        <v>8</v>
      </c>
      <c r="G638">
        <v>3</v>
      </c>
      <c r="H638" t="s">
        <v>5</v>
      </c>
      <c r="I638">
        <v>0</v>
      </c>
      <c r="J638">
        <v>0</v>
      </c>
      <c r="K638">
        <f>IF(Convert_to_Games[[#This Row],[Total Score]]&gt;9, 1, 0)</f>
        <v>0</v>
      </c>
      <c r="L638">
        <f>IF(Convert_to_Games[[#This Row],[DD]]=0, 0, IF(L637 = "Cons DD", Convert_to_Games[[#This Row],[DD]], L637+L637))</f>
        <v>0</v>
      </c>
    </row>
    <row r="639" spans="1:12">
      <c r="A639" t="s">
        <v>25</v>
      </c>
      <c r="B639" t="s">
        <v>20</v>
      </c>
      <c r="C639" t="s">
        <v>16</v>
      </c>
      <c r="D639" s="9">
        <v>45715</v>
      </c>
      <c r="E639">
        <v>13</v>
      </c>
      <c r="F639" t="s">
        <v>12</v>
      </c>
      <c r="G639">
        <v>3</v>
      </c>
      <c r="H639" t="s">
        <v>7</v>
      </c>
      <c r="I639">
        <v>0</v>
      </c>
      <c r="J639">
        <v>0</v>
      </c>
      <c r="K639">
        <f>IF(Convert_to_Games[[#This Row],[Total Score]]&gt;9, 1, 0)</f>
        <v>0</v>
      </c>
      <c r="L639">
        <f>IF(Convert_to_Games[[#This Row],[DD]]=0, 0, IF(L638 = "Cons DD", Convert_to_Games[[#This Row],[DD]], L638+L638))</f>
        <v>0</v>
      </c>
    </row>
    <row r="640" spans="1:12">
      <c r="A640" t="s">
        <v>25</v>
      </c>
      <c r="B640" t="s">
        <v>20</v>
      </c>
      <c r="C640" t="s">
        <v>16</v>
      </c>
      <c r="D640" s="9">
        <v>45727</v>
      </c>
      <c r="E640">
        <v>22</v>
      </c>
      <c r="F640" t="s">
        <v>11</v>
      </c>
      <c r="G640">
        <v>3</v>
      </c>
      <c r="H640" t="s">
        <v>5</v>
      </c>
      <c r="I640">
        <v>0</v>
      </c>
      <c r="J640">
        <v>0</v>
      </c>
      <c r="K640">
        <f>IF(Convert_to_Games[[#This Row],[Total Score]]&gt;9, 1, 0)</f>
        <v>0</v>
      </c>
      <c r="L640">
        <f>IF(Convert_to_Games[[#This Row],[DD]]=0, 0, IF(L639 = "Cons DD", Convert_to_Games[[#This Row],[DD]], L639+L639))</f>
        <v>0</v>
      </c>
    </row>
    <row r="641" spans="1:12">
      <c r="A641" t="s">
        <v>25</v>
      </c>
      <c r="B641" t="s">
        <v>19</v>
      </c>
      <c r="C641" t="s">
        <v>16</v>
      </c>
      <c r="D641" s="9">
        <v>45754</v>
      </c>
      <c r="E641">
        <v>36</v>
      </c>
      <c r="F641" t="s">
        <v>15</v>
      </c>
      <c r="G641">
        <v>3</v>
      </c>
      <c r="H641" t="s">
        <v>6</v>
      </c>
      <c r="I641">
        <v>0</v>
      </c>
      <c r="J641">
        <v>0</v>
      </c>
      <c r="K641">
        <f>IF(Convert_to_Games[[#This Row],[Total Score]]&gt;9, 1, 0)</f>
        <v>0</v>
      </c>
      <c r="L641">
        <f>IF(Convert_to_Games[[#This Row],[DD]]=0, 0, IF(L640 = "Cons DD", Convert_to_Games[[#This Row],[DD]], L640+L640))</f>
        <v>0</v>
      </c>
    </row>
    <row r="642" spans="1:12">
      <c r="A642" t="s">
        <v>26</v>
      </c>
      <c r="B642" t="s">
        <v>20</v>
      </c>
      <c r="C642" t="s">
        <v>16</v>
      </c>
      <c r="D642" s="9">
        <v>45762</v>
      </c>
      <c r="E642">
        <v>45</v>
      </c>
      <c r="F642" t="s">
        <v>9</v>
      </c>
      <c r="G642">
        <v>3</v>
      </c>
      <c r="H642" t="s">
        <v>7</v>
      </c>
      <c r="I642">
        <v>0</v>
      </c>
      <c r="J642">
        <v>0</v>
      </c>
      <c r="K642">
        <f>IF(Convert_to_Games[[#This Row],[Total Score]]&gt;9, 1, 0)</f>
        <v>0</v>
      </c>
      <c r="L642">
        <f>IF(Convert_to_Games[[#This Row],[DD]]=0, 0, IF(L641 = "Cons DD", Convert_to_Games[[#This Row],[DD]], L641+L641))</f>
        <v>0</v>
      </c>
    </row>
    <row r="643" spans="1:12">
      <c r="A643" t="s">
        <v>25</v>
      </c>
      <c r="B643" t="s">
        <v>20</v>
      </c>
      <c r="C643" t="s">
        <v>16</v>
      </c>
      <c r="D643" s="9">
        <v>45764</v>
      </c>
      <c r="E643">
        <v>53</v>
      </c>
      <c r="F643" t="s">
        <v>11</v>
      </c>
      <c r="G643">
        <v>3</v>
      </c>
      <c r="H643" t="s">
        <v>5</v>
      </c>
      <c r="I643">
        <v>0</v>
      </c>
      <c r="J643">
        <v>0</v>
      </c>
      <c r="K643">
        <f>IF(Convert_to_Games[[#This Row],[Total Score]]&gt;9, 1, 0)</f>
        <v>0</v>
      </c>
      <c r="L643">
        <f>IF(Convert_to_Games[[#This Row],[DD]]=0, 0, IF(L642 = "Cons DD", Convert_to_Games[[#This Row],[DD]], L642+L642))</f>
        <v>0</v>
      </c>
    </row>
    <row r="644" spans="1:12">
      <c r="A644" t="s">
        <v>25</v>
      </c>
      <c r="B644" t="s">
        <v>21</v>
      </c>
      <c r="C644" t="s">
        <v>16</v>
      </c>
      <c r="D644" s="9">
        <v>45764</v>
      </c>
      <c r="E644">
        <v>54</v>
      </c>
      <c r="F644" t="s">
        <v>28</v>
      </c>
      <c r="G644">
        <v>3</v>
      </c>
      <c r="H644" t="s">
        <v>6</v>
      </c>
      <c r="I644">
        <v>0</v>
      </c>
      <c r="J644">
        <v>0</v>
      </c>
      <c r="K644">
        <f>IF(Convert_to_Games[[#This Row],[Total Score]]&gt;9, 1, 0)</f>
        <v>0</v>
      </c>
      <c r="L644">
        <f>IF(Convert_to_Games[[#This Row],[DD]]=0, 0, IF(L643 = "Cons DD", Convert_to_Games[[#This Row],[DD]], L643+L643))</f>
        <v>0</v>
      </c>
    </row>
    <row r="645" spans="1:12">
      <c r="A645" t="s">
        <v>25</v>
      </c>
      <c r="B645" t="s">
        <v>20</v>
      </c>
      <c r="C645" t="s">
        <v>16</v>
      </c>
      <c r="D645" s="9">
        <v>45768</v>
      </c>
      <c r="E645">
        <v>57</v>
      </c>
      <c r="F645" t="s">
        <v>30</v>
      </c>
      <c r="G645">
        <v>3</v>
      </c>
      <c r="H645" t="s">
        <v>31</v>
      </c>
      <c r="I645">
        <v>0</v>
      </c>
      <c r="J645">
        <v>0</v>
      </c>
      <c r="K645">
        <f>IF(Convert_to_Games[[#This Row],[Total Score]]&gt;9, 1, 0)</f>
        <v>0</v>
      </c>
      <c r="L645">
        <f>IF(Convert_to_Games[[#This Row],[DD]]=0, 0, IF(L644 = "Cons DD", Convert_to_Games[[#This Row],[DD]], L644+L644))</f>
        <v>0</v>
      </c>
    </row>
    <row r="646" spans="1:12">
      <c r="A646" t="s">
        <v>25</v>
      </c>
      <c r="B646" t="s">
        <v>20</v>
      </c>
      <c r="C646" t="s">
        <v>16</v>
      </c>
      <c r="D646" s="9">
        <v>45775</v>
      </c>
      <c r="E646">
        <v>72</v>
      </c>
      <c r="F646" t="s">
        <v>12</v>
      </c>
      <c r="G646">
        <v>3</v>
      </c>
      <c r="H646" t="s">
        <v>7</v>
      </c>
      <c r="I646">
        <v>0</v>
      </c>
      <c r="J646">
        <v>0</v>
      </c>
      <c r="K646">
        <f>IF(Convert_to_Games[[#This Row],[Total Score]]&gt;9, 1, 0)</f>
        <v>0</v>
      </c>
      <c r="L646">
        <f>IF(Convert_to_Games[[#This Row],[DD]]=0, 0, IF(L645 = "Cons DD", Convert_to_Games[[#This Row],[DD]], L645+L645))</f>
        <v>0</v>
      </c>
    </row>
    <row r="647" spans="1:12">
      <c r="A647" t="s">
        <v>25</v>
      </c>
      <c r="B647" t="s">
        <v>20</v>
      </c>
      <c r="C647" t="s">
        <v>16</v>
      </c>
      <c r="D647" s="9">
        <v>45776</v>
      </c>
      <c r="E647">
        <v>76</v>
      </c>
      <c r="F647" t="s">
        <v>9</v>
      </c>
      <c r="G647">
        <v>3</v>
      </c>
      <c r="H647" t="s">
        <v>5</v>
      </c>
      <c r="I647">
        <v>0</v>
      </c>
      <c r="J647">
        <v>0</v>
      </c>
      <c r="K647">
        <f>IF(Convert_to_Games[[#This Row],[Total Score]]&gt;9, 1, 0)</f>
        <v>0</v>
      </c>
      <c r="L647">
        <f>IF(Convert_to_Games[[#This Row],[DD]]=0, 0, IF(L646 = "Cons DD", Convert_to_Games[[#This Row],[DD]], L646+L646))</f>
        <v>0</v>
      </c>
    </row>
    <row r="648" spans="1:12">
      <c r="A648" t="s">
        <v>25</v>
      </c>
      <c r="B648" t="s">
        <v>19</v>
      </c>
      <c r="C648" t="s">
        <v>16</v>
      </c>
      <c r="D648" s="9">
        <v>45777</v>
      </c>
      <c r="E648">
        <v>81</v>
      </c>
      <c r="F648" t="s">
        <v>11</v>
      </c>
      <c r="G648">
        <v>3</v>
      </c>
      <c r="H648" t="s">
        <v>5</v>
      </c>
      <c r="I648">
        <v>0</v>
      </c>
      <c r="J648">
        <v>0</v>
      </c>
      <c r="K648">
        <f>IF(Convert_to_Games[[#This Row],[Total Score]]&gt;9, 1, 0)</f>
        <v>0</v>
      </c>
      <c r="L648">
        <f>IF(Convert_to_Games[[#This Row],[DD]]=0, 0, IF(L647 = "Cons DD", Convert_to_Games[[#This Row],[DD]], L647+L647))</f>
        <v>0</v>
      </c>
    </row>
    <row r="649" spans="1:12">
      <c r="A649" t="s">
        <v>25</v>
      </c>
      <c r="B649" t="s">
        <v>20</v>
      </c>
      <c r="C649" t="s">
        <v>16</v>
      </c>
      <c r="D649" s="9">
        <v>45825</v>
      </c>
      <c r="E649">
        <v>114</v>
      </c>
      <c r="F649" t="s">
        <v>8</v>
      </c>
      <c r="G649">
        <v>3</v>
      </c>
      <c r="H649" t="s">
        <v>4</v>
      </c>
      <c r="I649">
        <v>0</v>
      </c>
      <c r="J649">
        <v>0</v>
      </c>
      <c r="K649">
        <f>IF(Convert_to_Games[[#This Row],[Total Score]]&gt;9, 1, 0)</f>
        <v>0</v>
      </c>
      <c r="L649">
        <f>IF(Convert_to_Games[[#This Row],[DD]]=0, 0, IF(L648 = "Cons DD", Convert_to_Games[[#This Row],[DD]], L648+L648))</f>
        <v>0</v>
      </c>
    </row>
    <row r="650" spans="1:12">
      <c r="A650" t="s">
        <v>25</v>
      </c>
      <c r="B650" t="s">
        <v>20</v>
      </c>
      <c r="C650" t="s">
        <v>16</v>
      </c>
      <c r="D650" s="9">
        <v>45833</v>
      </c>
      <c r="E650">
        <v>129</v>
      </c>
      <c r="F650" t="s">
        <v>11</v>
      </c>
      <c r="G650">
        <v>3</v>
      </c>
      <c r="H650" t="s">
        <v>4</v>
      </c>
      <c r="I650">
        <v>0</v>
      </c>
      <c r="J650">
        <v>0</v>
      </c>
      <c r="K650">
        <f>IF(Convert_to_Games[[#This Row],[Total Score]]&gt;9, 1, 0)</f>
        <v>0</v>
      </c>
      <c r="L650">
        <f>IF(Convert_to_Games[[#This Row],[DD]]=0, 0, IF(L649 = "Cons DD", Convert_to_Games[[#This Row],[DD]], L649+L649))</f>
        <v>0</v>
      </c>
    </row>
    <row r="651" spans="1:12">
      <c r="A651" t="s">
        <v>25</v>
      </c>
      <c r="B651" t="s">
        <v>20</v>
      </c>
      <c r="C651" t="s">
        <v>16</v>
      </c>
      <c r="D651" s="9">
        <v>45833</v>
      </c>
      <c r="E651">
        <v>130</v>
      </c>
      <c r="F651" t="s">
        <v>94</v>
      </c>
      <c r="G651">
        <v>3</v>
      </c>
      <c r="H651" t="s">
        <v>5</v>
      </c>
      <c r="I651">
        <v>0</v>
      </c>
      <c r="J651">
        <v>0</v>
      </c>
      <c r="K651">
        <f>IF(Convert_to_Games[[#This Row],[Total Score]]&gt;9, 1, 0)</f>
        <v>0</v>
      </c>
      <c r="L651">
        <f>IF(Convert_to_Games[[#This Row],[DD]]=0, 0, IF(L650 = "Cons DD", Convert_to_Games[[#This Row],[DD]], L650+L650))</f>
        <v>0</v>
      </c>
    </row>
    <row r="652" spans="1:12">
      <c r="A652" t="s">
        <v>25</v>
      </c>
      <c r="B652" t="s">
        <v>20</v>
      </c>
      <c r="C652" t="s">
        <v>16</v>
      </c>
      <c r="D652" s="9">
        <v>45835</v>
      </c>
      <c r="E652">
        <v>135</v>
      </c>
      <c r="F652" t="s">
        <v>11</v>
      </c>
      <c r="G652">
        <v>3</v>
      </c>
      <c r="H652" t="s">
        <v>5</v>
      </c>
      <c r="I652">
        <v>0</v>
      </c>
      <c r="J652">
        <v>0</v>
      </c>
      <c r="K652">
        <f>IF(Convert_to_Games[[#This Row],[Total Score]]&gt;9, 1, 0)</f>
        <v>0</v>
      </c>
      <c r="L652">
        <f>IF(Convert_to_Games[[#This Row],[DD]]=0, 0, IF(L651 = "Cons DD", Convert_to_Games[[#This Row],[DD]], L651+L651))</f>
        <v>0</v>
      </c>
    </row>
    <row r="653" spans="1:12">
      <c r="A653" t="s">
        <v>25</v>
      </c>
      <c r="B653" t="s">
        <v>19</v>
      </c>
      <c r="C653" t="s">
        <v>16</v>
      </c>
      <c r="D653" s="9">
        <v>45848</v>
      </c>
      <c r="E653">
        <v>158</v>
      </c>
      <c r="F653" t="s">
        <v>103</v>
      </c>
      <c r="G653">
        <v>3</v>
      </c>
      <c r="H653" t="s">
        <v>78</v>
      </c>
      <c r="I653">
        <v>0</v>
      </c>
      <c r="J653">
        <v>0</v>
      </c>
      <c r="K653">
        <f>IF(Convert_to_Games[[#This Row],[Total Score]]&gt;9, 1, 0)</f>
        <v>0</v>
      </c>
      <c r="L653">
        <f>IF(Convert_to_Games[[#This Row],[DD]]=0, 0, IF(L652 = "Cons DD", Convert_to_Games[[#This Row],[DD]], L652+L652))</f>
        <v>0</v>
      </c>
    </row>
    <row r="654" spans="1:12">
      <c r="A654" t="s">
        <v>25</v>
      </c>
      <c r="B654" t="s">
        <v>20</v>
      </c>
      <c r="C654" t="s">
        <v>16</v>
      </c>
      <c r="D654" s="9">
        <v>45853</v>
      </c>
      <c r="E654">
        <v>165</v>
      </c>
      <c r="F654" t="s">
        <v>108</v>
      </c>
      <c r="G654">
        <v>3</v>
      </c>
      <c r="H654" t="s">
        <v>5</v>
      </c>
      <c r="I654">
        <v>0</v>
      </c>
      <c r="J654">
        <v>0</v>
      </c>
      <c r="K654">
        <f>IF(Convert_to_Games[[#This Row],[Total Score]]&gt;9, 1, 0)</f>
        <v>0</v>
      </c>
      <c r="L654">
        <f>IF(Convert_to_Games[[#This Row],[DD]]=0, 0, IF(L653 = "Cons DD", Convert_to_Games[[#This Row],[DD]], L653+L653))</f>
        <v>0</v>
      </c>
    </row>
    <row r="655" spans="1:12">
      <c r="A655" t="s">
        <v>25</v>
      </c>
      <c r="B655" t="s">
        <v>20</v>
      </c>
      <c r="C655" t="s">
        <v>16</v>
      </c>
      <c r="D655" s="9">
        <v>45854</v>
      </c>
      <c r="E655">
        <v>168</v>
      </c>
      <c r="F655" t="s">
        <v>104</v>
      </c>
      <c r="G655">
        <v>3</v>
      </c>
      <c r="H655" t="s">
        <v>78</v>
      </c>
      <c r="I655">
        <v>0</v>
      </c>
      <c r="J655">
        <v>0</v>
      </c>
      <c r="K655">
        <f>IF(Convert_to_Games[[#This Row],[Total Score]]&gt;9, 1, 0)</f>
        <v>0</v>
      </c>
      <c r="L655">
        <f>IF(Convert_to_Games[[#This Row],[DD]]=0, 0, IF(L654 = "Cons DD", Convert_to_Games[[#This Row],[DD]], L654+L654))</f>
        <v>0</v>
      </c>
    </row>
    <row r="656" spans="1:12">
      <c r="A656" t="s">
        <v>25</v>
      </c>
      <c r="B656" t="s">
        <v>20</v>
      </c>
      <c r="C656" t="s">
        <v>16</v>
      </c>
      <c r="D656" s="9">
        <v>45855</v>
      </c>
      <c r="E656">
        <v>172</v>
      </c>
      <c r="F656" t="s">
        <v>103</v>
      </c>
      <c r="G656">
        <v>3</v>
      </c>
      <c r="H656" t="s">
        <v>78</v>
      </c>
      <c r="I656">
        <v>0</v>
      </c>
      <c r="J656">
        <v>0</v>
      </c>
      <c r="K656">
        <f>IF(Convert_to_Games[[#This Row],[Total Score]]&gt;9, 1, 0)</f>
        <v>0</v>
      </c>
      <c r="L656">
        <f>IF(Convert_to_Games[[#This Row],[DD]]=0, 0, IF(L655 = "Cons DD", Convert_to_Games[[#This Row],[DD]], L655+L655))</f>
        <v>0</v>
      </c>
    </row>
    <row r="657" spans="1:12">
      <c r="A657" t="s">
        <v>25</v>
      </c>
      <c r="B657" t="s">
        <v>20</v>
      </c>
      <c r="C657" t="s">
        <v>16</v>
      </c>
      <c r="D657" s="9">
        <v>45859</v>
      </c>
      <c r="E657">
        <v>173</v>
      </c>
      <c r="F657" t="s">
        <v>77</v>
      </c>
      <c r="G657">
        <v>4</v>
      </c>
      <c r="H657" t="s">
        <v>78</v>
      </c>
      <c r="I657">
        <v>0</v>
      </c>
      <c r="J657">
        <v>0</v>
      </c>
      <c r="K657">
        <f>IF(Convert_to_Games[[#This Row],[Total Score]]&gt;9, 1, 0)</f>
        <v>0</v>
      </c>
      <c r="L657">
        <f>IF(Convert_to_Games[[#This Row],[DD]]=0, 0, IF(L656 = "Cons DD", Convert_to_Games[[#This Row],[DD]], L656+L656))</f>
        <v>0</v>
      </c>
    </row>
    <row r="658" spans="1:12">
      <c r="A658" t="s">
        <v>25</v>
      </c>
      <c r="B658" t="s">
        <v>20</v>
      </c>
      <c r="C658" t="s">
        <v>16</v>
      </c>
      <c r="D658" s="9">
        <v>45863</v>
      </c>
      <c r="E658">
        <v>181</v>
      </c>
      <c r="F658" t="s">
        <v>71</v>
      </c>
      <c r="G658">
        <v>3</v>
      </c>
      <c r="H658" t="s">
        <v>6</v>
      </c>
      <c r="I658">
        <v>0</v>
      </c>
      <c r="J658">
        <v>0</v>
      </c>
      <c r="K658">
        <f>IF(Convert_to_Games[[#This Row],[Total Score]]&gt;9, 1, 0)</f>
        <v>0</v>
      </c>
      <c r="L658">
        <f>IF(Convert_to_Games[[#This Row],[DD]]=0, 0, IF(L657 = "Cons DD", Convert_to_Games[[#This Row],[DD]], L657+L657))</f>
        <v>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9C91-3AB5-7E44-8329-6D696241113C}">
  <dimension ref="A1:V915"/>
  <sheetViews>
    <sheetView workbookViewId="0">
      <selection activeCell="T9" sqref="T9"/>
    </sheetView>
  </sheetViews>
  <sheetFormatPr baseColWidth="10" defaultRowHeight="16"/>
  <cols>
    <col min="1" max="1" width="8.6640625" bestFit="1" customWidth="1"/>
    <col min="2" max="2" width="9.33203125" bestFit="1" customWidth="1"/>
    <col min="3" max="3" width="10.6640625" bestFit="1" customWidth="1"/>
    <col min="4" max="4" width="8.1640625" bestFit="1" customWidth="1"/>
    <col min="5" max="5" width="8.6640625" bestFit="1" customWidth="1"/>
    <col min="6" max="6" width="9" bestFit="1" customWidth="1"/>
    <col min="7" max="7" width="8.83203125" bestFit="1" customWidth="1"/>
    <col min="8" max="8" width="13.33203125" bestFit="1" customWidth="1"/>
    <col min="9" max="9" width="12.33203125" bestFit="1" customWidth="1"/>
    <col min="10" max="10" width="9.1640625" customWidth="1"/>
    <col min="11" max="11" width="7.33203125" hidden="1" customWidth="1"/>
    <col min="12" max="12" width="7.6640625" hidden="1" customWidth="1"/>
    <col min="13" max="13" width="6.33203125" hidden="1" customWidth="1"/>
    <col min="14" max="14" width="14.5" hidden="1" customWidth="1"/>
    <col min="15" max="15" width="10.33203125" bestFit="1" customWidth="1"/>
    <col min="16" max="16" width="11.83203125" bestFit="1" customWidth="1"/>
    <col min="17" max="17" width="10" bestFit="1" customWidth="1"/>
    <col min="18" max="18" width="5.6640625" bestFit="1" customWidth="1"/>
    <col min="19" max="19" width="4.6640625" bestFit="1" customWidth="1"/>
    <col min="20" max="20" width="6.83203125" bestFit="1" customWidth="1"/>
    <col min="21" max="21" width="9.33203125" bestFit="1" customWidth="1"/>
    <col min="22" max="22" width="13.33203125" bestFit="1" customWidth="1"/>
    <col min="23" max="23" width="8" bestFit="1" customWidth="1"/>
    <col min="24" max="24" width="8.83203125" bestFit="1" customWidth="1"/>
    <col min="25" max="25" width="11.83203125" bestFit="1" customWidth="1"/>
    <col min="26" max="26" width="9.33203125" bestFit="1" customWidth="1"/>
    <col min="27" max="27" width="7" bestFit="1" customWidth="1"/>
    <col min="28" max="28" width="9.33203125" bestFit="1" customWidth="1"/>
    <col min="29" max="29" width="7.33203125" bestFit="1" customWidth="1"/>
    <col min="30" max="30" width="12.1640625" bestFit="1" customWidth="1"/>
    <col min="31" max="31" width="8.83203125" bestFit="1" customWidth="1"/>
    <col min="32" max="32" width="9.33203125" bestFit="1" customWidth="1"/>
    <col min="33" max="33" width="12" bestFit="1" customWidth="1"/>
    <col min="34" max="34" width="14.33203125" bestFit="1" customWidth="1"/>
    <col min="35" max="35" width="7.33203125" bestFit="1" customWidth="1"/>
    <col min="36" max="36" width="5.6640625" bestFit="1" customWidth="1"/>
    <col min="37" max="37" width="12.1640625" bestFit="1" customWidth="1"/>
    <col min="38" max="38" width="8.83203125" bestFit="1" customWidth="1"/>
    <col min="39" max="39" width="5.6640625" bestFit="1" customWidth="1"/>
    <col min="40" max="40" width="9.33203125" bestFit="1" customWidth="1"/>
    <col min="41" max="41" width="12" bestFit="1" customWidth="1"/>
    <col min="42" max="42" width="10.6640625" bestFit="1" customWidth="1"/>
    <col min="43" max="43" width="14.33203125" bestFit="1" customWidth="1"/>
    <col min="44" max="44" width="21.5" bestFit="1" customWidth="1"/>
    <col min="45" max="45" width="8.83203125" bestFit="1" customWidth="1"/>
    <col min="46" max="46" width="4.6640625" bestFit="1" customWidth="1"/>
    <col min="47" max="47" width="6.83203125" bestFit="1" customWidth="1"/>
    <col min="48" max="48" width="21.5" bestFit="1" customWidth="1"/>
    <col min="49" max="49" width="10.6640625" bestFit="1" customWidth="1"/>
    <col min="50" max="50" width="9.6640625" bestFit="1" customWidth="1"/>
    <col min="51" max="51" width="11.83203125" bestFit="1" customWidth="1"/>
    <col min="52" max="52" width="26.6640625" bestFit="1" customWidth="1"/>
  </cols>
  <sheetData>
    <row r="1" spans="1:22">
      <c r="A1" t="s">
        <v>90</v>
      </c>
      <c r="B1" t="s">
        <v>63</v>
      </c>
      <c r="C1" t="s">
        <v>91</v>
      </c>
      <c r="D1" t="s">
        <v>0</v>
      </c>
      <c r="E1" t="s">
        <v>1</v>
      </c>
      <c r="F1" t="s">
        <v>35</v>
      </c>
      <c r="G1" t="s">
        <v>3</v>
      </c>
      <c r="H1" t="s">
        <v>72</v>
      </c>
      <c r="I1" t="s">
        <v>85</v>
      </c>
      <c r="J1" t="s">
        <v>86</v>
      </c>
      <c r="K1" t="s">
        <v>89</v>
      </c>
      <c r="L1" t="s">
        <v>88</v>
      </c>
      <c r="M1" t="s">
        <v>87</v>
      </c>
      <c r="N1" t="s">
        <v>92</v>
      </c>
      <c r="P1" s="12" t="s">
        <v>90</v>
      </c>
      <c r="Q1" s="11" t="s">
        <v>75</v>
      </c>
    </row>
    <row r="2" spans="1:22">
      <c r="A2" t="s">
        <v>25</v>
      </c>
      <c r="B2" t="s">
        <v>20</v>
      </c>
      <c r="C2" t="s">
        <v>18</v>
      </c>
      <c r="D2" s="9">
        <v>45707</v>
      </c>
      <c r="E2">
        <v>1</v>
      </c>
      <c r="F2" t="s">
        <v>4</v>
      </c>
      <c r="G2" t="s">
        <v>65</v>
      </c>
      <c r="H2">
        <v>11</v>
      </c>
      <c r="I2" t="s">
        <v>5</v>
      </c>
      <c r="J2" t="s">
        <v>89</v>
      </c>
      <c r="K2">
        <v>1</v>
      </c>
      <c r="L2">
        <v>0</v>
      </c>
      <c r="M2">
        <v>0</v>
      </c>
      <c r="N2">
        <v>1</v>
      </c>
      <c r="P2" s="12" t="s">
        <v>63</v>
      </c>
      <c r="Q2" s="11" t="s">
        <v>75</v>
      </c>
    </row>
    <row r="3" spans="1:22">
      <c r="A3" t="s">
        <v>25</v>
      </c>
      <c r="B3" t="s">
        <v>20</v>
      </c>
      <c r="C3" t="s">
        <v>18</v>
      </c>
      <c r="D3" s="9">
        <v>45707</v>
      </c>
      <c r="E3">
        <v>1</v>
      </c>
      <c r="F3" t="s">
        <v>4</v>
      </c>
      <c r="G3" t="s">
        <v>65</v>
      </c>
      <c r="H3">
        <v>11</v>
      </c>
      <c r="I3" t="s">
        <v>6</v>
      </c>
      <c r="J3" t="s">
        <v>89</v>
      </c>
      <c r="K3">
        <v>1</v>
      </c>
      <c r="L3">
        <v>0</v>
      </c>
      <c r="M3">
        <v>0</v>
      </c>
      <c r="N3">
        <v>1</v>
      </c>
      <c r="P3" s="12" t="s">
        <v>91</v>
      </c>
      <c r="Q3" s="11" t="s">
        <v>75</v>
      </c>
    </row>
    <row r="4" spans="1:22">
      <c r="A4" t="s">
        <v>25</v>
      </c>
      <c r="B4" t="s">
        <v>20</v>
      </c>
      <c r="C4" t="s">
        <v>18</v>
      </c>
      <c r="D4" s="9">
        <v>45707</v>
      </c>
      <c r="E4">
        <v>1</v>
      </c>
      <c r="F4" t="s">
        <v>5</v>
      </c>
      <c r="G4" t="s">
        <v>102</v>
      </c>
      <c r="H4">
        <v>1</v>
      </c>
      <c r="I4" t="s">
        <v>4</v>
      </c>
      <c r="J4" t="s">
        <v>88</v>
      </c>
      <c r="K4">
        <v>0</v>
      </c>
      <c r="L4">
        <v>1</v>
      </c>
      <c r="M4">
        <v>0</v>
      </c>
      <c r="N4">
        <v>1</v>
      </c>
      <c r="P4" s="12" t="s">
        <v>3</v>
      </c>
      <c r="Q4" s="11" t="s">
        <v>75</v>
      </c>
    </row>
    <row r="5" spans="1:22">
      <c r="A5" t="s">
        <v>25</v>
      </c>
      <c r="B5" t="s">
        <v>20</v>
      </c>
      <c r="C5" t="s">
        <v>18</v>
      </c>
      <c r="D5" s="9">
        <v>45707</v>
      </c>
      <c r="E5">
        <v>1</v>
      </c>
      <c r="F5" t="s">
        <v>5</v>
      </c>
      <c r="G5" t="s">
        <v>65</v>
      </c>
      <c r="H5">
        <v>1</v>
      </c>
      <c r="I5" t="s">
        <v>6</v>
      </c>
      <c r="J5" t="s">
        <v>87</v>
      </c>
      <c r="K5">
        <v>0</v>
      </c>
      <c r="L5">
        <v>0</v>
      </c>
      <c r="M5">
        <v>1</v>
      </c>
      <c r="N5">
        <v>1</v>
      </c>
    </row>
    <row r="6" spans="1:22">
      <c r="A6" t="s">
        <v>25</v>
      </c>
      <c r="B6" t="s">
        <v>20</v>
      </c>
      <c r="C6" t="s">
        <v>18</v>
      </c>
      <c r="D6" s="9">
        <v>45707</v>
      </c>
      <c r="E6">
        <v>1</v>
      </c>
      <c r="F6" t="s">
        <v>6</v>
      </c>
      <c r="G6" t="s">
        <v>102</v>
      </c>
      <c r="H6">
        <v>1</v>
      </c>
      <c r="I6" t="s">
        <v>4</v>
      </c>
      <c r="J6" t="s">
        <v>88</v>
      </c>
      <c r="K6">
        <v>0</v>
      </c>
      <c r="L6">
        <v>1</v>
      </c>
      <c r="M6">
        <v>0</v>
      </c>
      <c r="N6">
        <v>1</v>
      </c>
      <c r="P6" s="12" t="s">
        <v>35</v>
      </c>
      <c r="Q6" s="11" t="s">
        <v>98</v>
      </c>
      <c r="R6" s="11" t="s">
        <v>97</v>
      </c>
      <c r="S6" s="11" t="s">
        <v>95</v>
      </c>
      <c r="T6" s="11" t="s">
        <v>96</v>
      </c>
      <c r="U6" s="11" t="s">
        <v>93</v>
      </c>
      <c r="V6" s="11" t="s">
        <v>99</v>
      </c>
    </row>
    <row r="7" spans="1:22">
      <c r="A7" t="s">
        <v>25</v>
      </c>
      <c r="B7" t="s">
        <v>20</v>
      </c>
      <c r="C7" t="s">
        <v>18</v>
      </c>
      <c r="D7" s="9">
        <v>45707</v>
      </c>
      <c r="E7">
        <v>1</v>
      </c>
      <c r="F7" t="s">
        <v>6</v>
      </c>
      <c r="G7" t="s">
        <v>102</v>
      </c>
      <c r="H7">
        <v>1</v>
      </c>
      <c r="I7" t="s">
        <v>5</v>
      </c>
      <c r="J7" t="s">
        <v>87</v>
      </c>
      <c r="K7">
        <v>0</v>
      </c>
      <c r="L7">
        <v>0</v>
      </c>
      <c r="M7">
        <v>1</v>
      </c>
      <c r="N7">
        <v>1</v>
      </c>
      <c r="P7" s="11" t="s">
        <v>4</v>
      </c>
      <c r="Q7" s="11">
        <v>21</v>
      </c>
      <c r="R7" s="11">
        <v>20</v>
      </c>
      <c r="S7" s="11">
        <v>0</v>
      </c>
      <c r="T7" s="11">
        <v>1</v>
      </c>
      <c r="U7" s="13">
        <v>0.95238095238095233</v>
      </c>
      <c r="V7" s="14">
        <v>15.714285714285714</v>
      </c>
    </row>
    <row r="8" spans="1:22">
      <c r="A8" t="s">
        <v>25</v>
      </c>
      <c r="B8" t="s">
        <v>20</v>
      </c>
      <c r="C8" t="s">
        <v>18</v>
      </c>
      <c r="D8" s="9">
        <v>45707</v>
      </c>
      <c r="E8">
        <v>2</v>
      </c>
      <c r="F8" t="s">
        <v>4</v>
      </c>
      <c r="G8" t="s">
        <v>102</v>
      </c>
      <c r="H8">
        <v>16</v>
      </c>
      <c r="I8" t="s">
        <v>5</v>
      </c>
      <c r="J8" t="s">
        <v>89</v>
      </c>
      <c r="K8">
        <v>1</v>
      </c>
      <c r="L8">
        <v>0</v>
      </c>
      <c r="M8">
        <v>0</v>
      </c>
      <c r="N8">
        <v>1</v>
      </c>
      <c r="P8" s="11" t="s">
        <v>7</v>
      </c>
      <c r="Q8" s="11">
        <v>1</v>
      </c>
      <c r="R8" s="11">
        <v>0</v>
      </c>
      <c r="S8" s="11">
        <v>1</v>
      </c>
      <c r="T8" s="11">
        <v>0</v>
      </c>
      <c r="U8" s="13">
        <v>0.5</v>
      </c>
      <c r="V8" s="14">
        <v>9</v>
      </c>
    </row>
    <row r="9" spans="1:22">
      <c r="A9" t="s">
        <v>25</v>
      </c>
      <c r="B9" t="s">
        <v>20</v>
      </c>
      <c r="C9" t="s">
        <v>18</v>
      </c>
      <c r="D9" s="9">
        <v>45707</v>
      </c>
      <c r="E9">
        <v>2</v>
      </c>
      <c r="F9" t="s">
        <v>5</v>
      </c>
      <c r="G9" t="s">
        <v>65</v>
      </c>
      <c r="H9">
        <v>0</v>
      </c>
      <c r="I9" t="s">
        <v>4</v>
      </c>
      <c r="J9" t="s">
        <v>88</v>
      </c>
      <c r="K9">
        <v>0</v>
      </c>
      <c r="L9">
        <v>1</v>
      </c>
      <c r="M9">
        <v>0</v>
      </c>
      <c r="N9">
        <v>1</v>
      </c>
      <c r="P9" s="11" t="s">
        <v>6</v>
      </c>
      <c r="Q9" s="11">
        <v>2</v>
      </c>
      <c r="R9" s="11">
        <v>0</v>
      </c>
      <c r="S9" s="11">
        <v>1</v>
      </c>
      <c r="T9" s="11">
        <v>1</v>
      </c>
      <c r="U9" s="13">
        <v>0.25</v>
      </c>
      <c r="V9" s="14">
        <v>4.5</v>
      </c>
    </row>
    <row r="10" spans="1:22">
      <c r="A10" t="s">
        <v>25</v>
      </c>
      <c r="B10" t="s">
        <v>20</v>
      </c>
      <c r="C10" t="s">
        <v>18</v>
      </c>
      <c r="D10" s="9">
        <v>45708</v>
      </c>
      <c r="E10">
        <v>3</v>
      </c>
      <c r="F10" t="s">
        <v>4</v>
      </c>
      <c r="G10" t="s">
        <v>102</v>
      </c>
      <c r="H10">
        <v>10</v>
      </c>
      <c r="I10" t="s">
        <v>5</v>
      </c>
      <c r="J10" t="s">
        <v>89</v>
      </c>
      <c r="K10">
        <v>1</v>
      </c>
      <c r="L10">
        <v>0</v>
      </c>
      <c r="M10">
        <v>0</v>
      </c>
      <c r="N10">
        <v>1</v>
      </c>
      <c r="P10" s="11" t="s">
        <v>23</v>
      </c>
      <c r="Q10" s="11">
        <v>1</v>
      </c>
      <c r="R10" s="11">
        <v>0</v>
      </c>
      <c r="S10" s="11">
        <v>0</v>
      </c>
      <c r="T10" s="11">
        <v>1</v>
      </c>
      <c r="U10" s="13">
        <v>0</v>
      </c>
      <c r="V10" s="14">
        <v>6</v>
      </c>
    </row>
    <row r="11" spans="1:22">
      <c r="A11" t="s">
        <v>25</v>
      </c>
      <c r="B11" t="s">
        <v>20</v>
      </c>
      <c r="C11" t="s">
        <v>18</v>
      </c>
      <c r="D11" s="9">
        <v>45708</v>
      </c>
      <c r="E11">
        <v>3</v>
      </c>
      <c r="F11" t="s">
        <v>5</v>
      </c>
      <c r="G11" t="s">
        <v>65</v>
      </c>
      <c r="H11">
        <v>4</v>
      </c>
      <c r="I11" t="s">
        <v>4</v>
      </c>
      <c r="J11" t="s">
        <v>88</v>
      </c>
      <c r="K11">
        <v>0</v>
      </c>
      <c r="L11">
        <v>1</v>
      </c>
      <c r="M11">
        <v>0</v>
      </c>
      <c r="N11">
        <v>1</v>
      </c>
      <c r="P11" s="11" t="s">
        <v>38</v>
      </c>
      <c r="Q11" s="11">
        <v>25</v>
      </c>
      <c r="R11" s="11">
        <v>20</v>
      </c>
      <c r="S11" s="11">
        <v>2</v>
      </c>
      <c r="T11" s="11">
        <v>3</v>
      </c>
      <c r="U11" s="13">
        <v>0.84</v>
      </c>
      <c r="V11" s="14">
        <v>14.16</v>
      </c>
    </row>
    <row r="12" spans="1:22">
      <c r="A12" t="s">
        <v>25</v>
      </c>
      <c r="B12" t="s">
        <v>20</v>
      </c>
      <c r="C12" t="s">
        <v>18</v>
      </c>
      <c r="D12" s="9">
        <v>45708</v>
      </c>
      <c r="E12">
        <v>4</v>
      </c>
      <c r="F12" t="s">
        <v>4</v>
      </c>
      <c r="G12" t="s">
        <v>65</v>
      </c>
      <c r="H12">
        <v>4</v>
      </c>
      <c r="I12" t="s">
        <v>5</v>
      </c>
      <c r="J12" t="s">
        <v>89</v>
      </c>
      <c r="K12">
        <v>1</v>
      </c>
      <c r="L12">
        <v>0</v>
      </c>
      <c r="M12">
        <v>0</v>
      </c>
      <c r="N12">
        <v>1</v>
      </c>
    </row>
    <row r="13" spans="1:22">
      <c r="A13" t="s">
        <v>25</v>
      </c>
      <c r="B13" t="s">
        <v>20</v>
      </c>
      <c r="C13" t="s">
        <v>18</v>
      </c>
      <c r="D13" s="9">
        <v>45708</v>
      </c>
      <c r="E13">
        <v>4</v>
      </c>
      <c r="F13" t="s">
        <v>5</v>
      </c>
      <c r="G13" t="s">
        <v>102</v>
      </c>
      <c r="H13">
        <v>0</v>
      </c>
      <c r="I13" t="s">
        <v>4</v>
      </c>
      <c r="J13" t="s">
        <v>88</v>
      </c>
      <c r="K13">
        <v>0</v>
      </c>
      <c r="L13">
        <v>1</v>
      </c>
      <c r="M13">
        <v>0</v>
      </c>
      <c r="N13">
        <v>1</v>
      </c>
    </row>
    <row r="14" spans="1:22">
      <c r="A14" t="s">
        <v>25</v>
      </c>
      <c r="B14" t="s">
        <v>20</v>
      </c>
      <c r="C14" t="s">
        <v>18</v>
      </c>
      <c r="D14" s="9">
        <v>45708</v>
      </c>
      <c r="E14">
        <v>4</v>
      </c>
      <c r="F14" t="s">
        <v>5</v>
      </c>
      <c r="G14" t="s">
        <v>65</v>
      </c>
      <c r="H14">
        <v>0</v>
      </c>
      <c r="I14" t="s">
        <v>6</v>
      </c>
      <c r="J14" t="s">
        <v>88</v>
      </c>
      <c r="K14">
        <v>0</v>
      </c>
      <c r="L14">
        <v>1</v>
      </c>
      <c r="M14">
        <v>0</v>
      </c>
      <c r="N14">
        <v>1</v>
      </c>
    </row>
    <row r="15" spans="1:22">
      <c r="A15" t="s">
        <v>25</v>
      </c>
      <c r="B15" t="s">
        <v>20</v>
      </c>
      <c r="C15" t="s">
        <v>18</v>
      </c>
      <c r="D15" s="9">
        <v>45708</v>
      </c>
      <c r="E15">
        <v>4</v>
      </c>
      <c r="F15" t="s">
        <v>6</v>
      </c>
      <c r="G15" t="s">
        <v>102</v>
      </c>
      <c r="H15">
        <v>7</v>
      </c>
      <c r="I15" t="s">
        <v>4</v>
      </c>
      <c r="J15" t="s">
        <v>89</v>
      </c>
      <c r="K15">
        <v>1</v>
      </c>
      <c r="L15">
        <v>0</v>
      </c>
      <c r="M15">
        <v>0</v>
      </c>
      <c r="N15">
        <v>1</v>
      </c>
    </row>
    <row r="16" spans="1:22">
      <c r="A16" t="s">
        <v>25</v>
      </c>
      <c r="B16" t="s">
        <v>20</v>
      </c>
      <c r="C16" t="s">
        <v>18</v>
      </c>
      <c r="D16" s="9">
        <v>45708</v>
      </c>
      <c r="E16">
        <v>4</v>
      </c>
      <c r="F16" t="s">
        <v>6</v>
      </c>
      <c r="G16" t="s">
        <v>102</v>
      </c>
      <c r="H16">
        <v>7</v>
      </c>
      <c r="I16" t="s">
        <v>5</v>
      </c>
      <c r="J16" t="s">
        <v>89</v>
      </c>
      <c r="K16">
        <v>1</v>
      </c>
      <c r="L16">
        <v>0</v>
      </c>
      <c r="M16">
        <v>0</v>
      </c>
      <c r="N16">
        <v>1</v>
      </c>
    </row>
    <row r="17" spans="1:14">
      <c r="A17" t="s">
        <v>25</v>
      </c>
      <c r="B17" t="s">
        <v>20</v>
      </c>
      <c r="C17" t="s">
        <v>18</v>
      </c>
      <c r="D17" s="9">
        <v>45708</v>
      </c>
      <c r="E17">
        <v>4</v>
      </c>
      <c r="F17" t="s">
        <v>4</v>
      </c>
      <c r="G17" t="s">
        <v>65</v>
      </c>
      <c r="H17">
        <v>4</v>
      </c>
      <c r="I17" t="s">
        <v>6</v>
      </c>
      <c r="J17" t="s">
        <v>88</v>
      </c>
      <c r="K17">
        <v>0</v>
      </c>
      <c r="L17">
        <v>1</v>
      </c>
      <c r="M17">
        <v>0</v>
      </c>
      <c r="N17">
        <v>1</v>
      </c>
    </row>
    <row r="18" spans="1:14">
      <c r="A18" t="s">
        <v>25</v>
      </c>
      <c r="B18" t="s">
        <v>20</v>
      </c>
      <c r="C18" t="s">
        <v>18</v>
      </c>
      <c r="D18" s="9">
        <v>45708</v>
      </c>
      <c r="E18">
        <v>5</v>
      </c>
      <c r="F18" t="s">
        <v>6</v>
      </c>
      <c r="G18" t="s">
        <v>65</v>
      </c>
      <c r="H18">
        <v>3</v>
      </c>
      <c r="I18" t="s">
        <v>5</v>
      </c>
      <c r="J18" t="s">
        <v>89</v>
      </c>
      <c r="K18">
        <v>1</v>
      </c>
      <c r="L18">
        <v>0</v>
      </c>
      <c r="M18">
        <v>0</v>
      </c>
      <c r="N18">
        <v>1</v>
      </c>
    </row>
    <row r="19" spans="1:14">
      <c r="A19" t="s">
        <v>25</v>
      </c>
      <c r="B19" t="s">
        <v>20</v>
      </c>
      <c r="C19" t="s">
        <v>18</v>
      </c>
      <c r="D19" s="9">
        <v>45708</v>
      </c>
      <c r="E19">
        <v>5</v>
      </c>
      <c r="F19" t="s">
        <v>6</v>
      </c>
      <c r="G19" t="s">
        <v>65</v>
      </c>
      <c r="H19">
        <v>3</v>
      </c>
      <c r="I19" t="s">
        <v>4</v>
      </c>
      <c r="J19" t="s">
        <v>88</v>
      </c>
      <c r="K19">
        <v>0</v>
      </c>
      <c r="L19">
        <v>1</v>
      </c>
      <c r="M19">
        <v>0</v>
      </c>
      <c r="N19">
        <v>1</v>
      </c>
    </row>
    <row r="20" spans="1:14">
      <c r="A20" t="s">
        <v>25</v>
      </c>
      <c r="B20" t="s">
        <v>20</v>
      </c>
      <c r="C20" t="s">
        <v>18</v>
      </c>
      <c r="D20" s="9">
        <v>45708</v>
      </c>
      <c r="E20">
        <v>5</v>
      </c>
      <c r="F20" t="s">
        <v>5</v>
      </c>
      <c r="G20" t="s">
        <v>102</v>
      </c>
      <c r="H20">
        <v>1</v>
      </c>
      <c r="I20" t="s">
        <v>6</v>
      </c>
      <c r="J20" t="s">
        <v>88</v>
      </c>
      <c r="K20">
        <v>0</v>
      </c>
      <c r="L20">
        <v>1</v>
      </c>
      <c r="M20">
        <v>0</v>
      </c>
      <c r="N20">
        <v>1</v>
      </c>
    </row>
    <row r="21" spans="1:14">
      <c r="A21" t="s">
        <v>25</v>
      </c>
      <c r="B21" t="s">
        <v>20</v>
      </c>
      <c r="C21" t="s">
        <v>18</v>
      </c>
      <c r="D21" s="9">
        <v>45708</v>
      </c>
      <c r="E21">
        <v>5</v>
      </c>
      <c r="F21" t="s">
        <v>5</v>
      </c>
      <c r="G21" t="s">
        <v>65</v>
      </c>
      <c r="H21">
        <v>1</v>
      </c>
      <c r="I21" t="s">
        <v>4</v>
      </c>
      <c r="J21" t="s">
        <v>88</v>
      </c>
      <c r="K21">
        <v>0</v>
      </c>
      <c r="L21">
        <v>1</v>
      </c>
      <c r="M21">
        <v>0</v>
      </c>
      <c r="N21">
        <v>1</v>
      </c>
    </row>
    <row r="22" spans="1:14">
      <c r="A22" t="s">
        <v>25</v>
      </c>
      <c r="B22" t="s">
        <v>20</v>
      </c>
      <c r="C22" t="s">
        <v>18</v>
      </c>
      <c r="D22" s="9">
        <v>45708</v>
      </c>
      <c r="E22">
        <v>5</v>
      </c>
      <c r="F22" t="s">
        <v>4</v>
      </c>
      <c r="G22" t="s">
        <v>102</v>
      </c>
      <c r="H22">
        <v>11</v>
      </c>
      <c r="I22" t="s">
        <v>6</v>
      </c>
      <c r="J22" t="s">
        <v>89</v>
      </c>
      <c r="K22">
        <v>1</v>
      </c>
      <c r="L22">
        <v>0</v>
      </c>
      <c r="M22">
        <v>0</v>
      </c>
      <c r="N22">
        <v>1</v>
      </c>
    </row>
    <row r="23" spans="1:14">
      <c r="A23" t="s">
        <v>25</v>
      </c>
      <c r="B23" t="s">
        <v>20</v>
      </c>
      <c r="C23" t="s">
        <v>18</v>
      </c>
      <c r="D23" s="9">
        <v>45708</v>
      </c>
      <c r="E23">
        <v>5</v>
      </c>
      <c r="F23" t="s">
        <v>4</v>
      </c>
      <c r="G23" t="s">
        <v>102</v>
      </c>
      <c r="H23">
        <v>11</v>
      </c>
      <c r="I23" t="s">
        <v>5</v>
      </c>
      <c r="J23" t="s">
        <v>89</v>
      </c>
      <c r="K23">
        <v>1</v>
      </c>
      <c r="L23">
        <v>0</v>
      </c>
      <c r="M23">
        <v>0</v>
      </c>
      <c r="N23">
        <v>1</v>
      </c>
    </row>
    <row r="24" spans="1:14">
      <c r="A24" t="s">
        <v>25</v>
      </c>
      <c r="B24" t="s">
        <v>20</v>
      </c>
      <c r="C24" t="s">
        <v>18</v>
      </c>
      <c r="D24" s="9">
        <v>45709</v>
      </c>
      <c r="E24">
        <v>6</v>
      </c>
      <c r="F24" t="s">
        <v>5</v>
      </c>
      <c r="G24" t="s">
        <v>65</v>
      </c>
      <c r="H24">
        <v>4</v>
      </c>
      <c r="I24" t="s">
        <v>4</v>
      </c>
      <c r="J24" t="s">
        <v>88</v>
      </c>
      <c r="K24">
        <v>0</v>
      </c>
      <c r="L24">
        <v>1</v>
      </c>
      <c r="M24">
        <v>0</v>
      </c>
      <c r="N24">
        <v>1</v>
      </c>
    </row>
    <row r="25" spans="1:14">
      <c r="A25" t="s">
        <v>25</v>
      </c>
      <c r="B25" t="s">
        <v>20</v>
      </c>
      <c r="C25" t="s">
        <v>18</v>
      </c>
      <c r="D25" s="9">
        <v>45709</v>
      </c>
      <c r="E25">
        <v>6</v>
      </c>
      <c r="F25" t="s">
        <v>4</v>
      </c>
      <c r="G25" t="s">
        <v>102</v>
      </c>
      <c r="H25">
        <v>10</v>
      </c>
      <c r="I25" t="s">
        <v>5</v>
      </c>
      <c r="J25" t="s">
        <v>89</v>
      </c>
      <c r="K25">
        <v>1</v>
      </c>
      <c r="L25">
        <v>0</v>
      </c>
      <c r="M25">
        <v>0</v>
      </c>
      <c r="N25">
        <v>1</v>
      </c>
    </row>
    <row r="26" spans="1:14">
      <c r="A26" t="s">
        <v>25</v>
      </c>
      <c r="B26" t="s">
        <v>20</v>
      </c>
      <c r="C26" t="s">
        <v>18</v>
      </c>
      <c r="D26" s="9">
        <v>45712</v>
      </c>
      <c r="E26">
        <v>7</v>
      </c>
      <c r="F26" t="s">
        <v>5</v>
      </c>
      <c r="G26" t="s">
        <v>102</v>
      </c>
      <c r="H26">
        <v>9</v>
      </c>
      <c r="I26" t="s">
        <v>4</v>
      </c>
      <c r="J26" t="s">
        <v>89</v>
      </c>
      <c r="K26">
        <v>1</v>
      </c>
      <c r="L26">
        <v>0</v>
      </c>
      <c r="M26">
        <v>0</v>
      </c>
      <c r="N26">
        <v>1</v>
      </c>
    </row>
    <row r="27" spans="1:14">
      <c r="A27" t="s">
        <v>25</v>
      </c>
      <c r="B27" t="s">
        <v>20</v>
      </c>
      <c r="C27" t="s">
        <v>18</v>
      </c>
      <c r="D27" s="9">
        <v>45712</v>
      </c>
      <c r="E27">
        <v>7</v>
      </c>
      <c r="F27" t="s">
        <v>4</v>
      </c>
      <c r="G27" t="s">
        <v>65</v>
      </c>
      <c r="H27">
        <v>5</v>
      </c>
      <c r="I27" t="s">
        <v>5</v>
      </c>
      <c r="J27" t="s">
        <v>88</v>
      </c>
      <c r="K27">
        <v>0</v>
      </c>
      <c r="L27">
        <v>1</v>
      </c>
      <c r="M27">
        <v>0</v>
      </c>
      <c r="N27">
        <v>1</v>
      </c>
    </row>
    <row r="28" spans="1:14">
      <c r="A28" t="s">
        <v>25</v>
      </c>
      <c r="B28" t="s">
        <v>20</v>
      </c>
      <c r="C28" t="s">
        <v>18</v>
      </c>
      <c r="D28" s="9">
        <v>45712</v>
      </c>
      <c r="E28">
        <v>8</v>
      </c>
      <c r="F28" t="s">
        <v>4</v>
      </c>
      <c r="G28" t="s">
        <v>65</v>
      </c>
      <c r="H28">
        <v>6</v>
      </c>
      <c r="I28" t="s">
        <v>5</v>
      </c>
      <c r="J28" t="s">
        <v>89</v>
      </c>
      <c r="K28">
        <v>1</v>
      </c>
      <c r="L28">
        <v>0</v>
      </c>
      <c r="M28">
        <v>0</v>
      </c>
      <c r="N28">
        <v>1</v>
      </c>
    </row>
    <row r="29" spans="1:14">
      <c r="A29" t="s">
        <v>25</v>
      </c>
      <c r="B29" t="s">
        <v>20</v>
      </c>
      <c r="C29" t="s">
        <v>18</v>
      </c>
      <c r="D29" s="9">
        <v>45712</v>
      </c>
      <c r="E29">
        <v>8</v>
      </c>
      <c r="F29" t="s">
        <v>5</v>
      </c>
      <c r="G29" t="s">
        <v>102</v>
      </c>
      <c r="H29">
        <v>2</v>
      </c>
      <c r="I29" t="s">
        <v>4</v>
      </c>
      <c r="J29" t="s">
        <v>88</v>
      </c>
      <c r="K29">
        <v>0</v>
      </c>
      <c r="L29">
        <v>1</v>
      </c>
      <c r="M29">
        <v>0</v>
      </c>
      <c r="N29">
        <v>1</v>
      </c>
    </row>
    <row r="30" spans="1:14">
      <c r="A30" t="s">
        <v>25</v>
      </c>
      <c r="B30" t="s">
        <v>20</v>
      </c>
      <c r="C30" t="s">
        <v>18</v>
      </c>
      <c r="D30" s="9">
        <v>45713</v>
      </c>
      <c r="E30">
        <v>9</v>
      </c>
      <c r="F30" t="s">
        <v>6</v>
      </c>
      <c r="G30" t="s">
        <v>102</v>
      </c>
      <c r="H30">
        <v>4</v>
      </c>
      <c r="I30" t="s">
        <v>4</v>
      </c>
      <c r="J30" t="s">
        <v>88</v>
      </c>
      <c r="K30">
        <v>0</v>
      </c>
      <c r="L30">
        <v>1</v>
      </c>
      <c r="M30">
        <v>0</v>
      </c>
      <c r="N30">
        <v>1</v>
      </c>
    </row>
    <row r="31" spans="1:14">
      <c r="A31" t="s">
        <v>25</v>
      </c>
      <c r="B31" t="s">
        <v>20</v>
      </c>
      <c r="C31" t="s">
        <v>18</v>
      </c>
      <c r="D31" s="9">
        <v>45713</v>
      </c>
      <c r="E31">
        <v>9</v>
      </c>
      <c r="F31" t="s">
        <v>5</v>
      </c>
      <c r="G31" t="s">
        <v>65</v>
      </c>
      <c r="H31">
        <v>11</v>
      </c>
      <c r="I31" t="s">
        <v>6</v>
      </c>
      <c r="J31" t="s">
        <v>89</v>
      </c>
      <c r="K31">
        <v>1</v>
      </c>
      <c r="L31">
        <v>0</v>
      </c>
      <c r="M31">
        <v>0</v>
      </c>
      <c r="N31">
        <v>1</v>
      </c>
    </row>
    <row r="32" spans="1:14">
      <c r="A32" t="s">
        <v>25</v>
      </c>
      <c r="B32" t="s">
        <v>20</v>
      </c>
      <c r="C32" t="s">
        <v>18</v>
      </c>
      <c r="D32" s="9">
        <v>45713</v>
      </c>
      <c r="E32">
        <v>9</v>
      </c>
      <c r="F32" t="s">
        <v>6</v>
      </c>
      <c r="G32" t="s">
        <v>102</v>
      </c>
      <c r="H32">
        <v>4</v>
      </c>
      <c r="I32" t="s">
        <v>5</v>
      </c>
      <c r="J32" t="s">
        <v>88</v>
      </c>
      <c r="K32">
        <v>0</v>
      </c>
      <c r="L32">
        <v>1</v>
      </c>
      <c r="M32">
        <v>0</v>
      </c>
      <c r="N32">
        <v>1</v>
      </c>
    </row>
    <row r="33" spans="1:14">
      <c r="A33" t="s">
        <v>25</v>
      </c>
      <c r="B33" t="s">
        <v>20</v>
      </c>
      <c r="C33" t="s">
        <v>18</v>
      </c>
      <c r="D33" s="9">
        <v>45713</v>
      </c>
      <c r="E33">
        <v>9</v>
      </c>
      <c r="F33" t="s">
        <v>4</v>
      </c>
      <c r="G33" t="s">
        <v>65</v>
      </c>
      <c r="H33">
        <v>9</v>
      </c>
      <c r="I33" t="s">
        <v>6</v>
      </c>
      <c r="J33" t="s">
        <v>89</v>
      </c>
      <c r="K33">
        <v>1</v>
      </c>
      <c r="L33">
        <v>0</v>
      </c>
      <c r="M33">
        <v>0</v>
      </c>
      <c r="N33">
        <v>1</v>
      </c>
    </row>
    <row r="34" spans="1:14">
      <c r="A34" t="s">
        <v>25</v>
      </c>
      <c r="B34" t="s">
        <v>20</v>
      </c>
      <c r="C34" t="s">
        <v>18</v>
      </c>
      <c r="D34" s="9">
        <v>45713</v>
      </c>
      <c r="E34">
        <v>9</v>
      </c>
      <c r="F34" t="s">
        <v>4</v>
      </c>
      <c r="G34" t="s">
        <v>65</v>
      </c>
      <c r="H34">
        <v>9</v>
      </c>
      <c r="I34" t="s">
        <v>5</v>
      </c>
      <c r="J34" t="s">
        <v>88</v>
      </c>
      <c r="K34">
        <v>0</v>
      </c>
      <c r="L34">
        <v>1</v>
      </c>
      <c r="M34">
        <v>0</v>
      </c>
      <c r="N34">
        <v>1</v>
      </c>
    </row>
    <row r="35" spans="1:14">
      <c r="A35" t="s">
        <v>25</v>
      </c>
      <c r="B35" t="s">
        <v>20</v>
      </c>
      <c r="C35" t="s">
        <v>18</v>
      </c>
      <c r="D35" s="9">
        <v>45713</v>
      </c>
      <c r="E35">
        <v>9</v>
      </c>
      <c r="F35" t="s">
        <v>5</v>
      </c>
      <c r="G35" t="s">
        <v>102</v>
      </c>
      <c r="H35">
        <v>11</v>
      </c>
      <c r="I35" t="s">
        <v>4</v>
      </c>
      <c r="J35" t="s">
        <v>89</v>
      </c>
      <c r="K35">
        <v>1</v>
      </c>
      <c r="L35">
        <v>0</v>
      </c>
      <c r="M35">
        <v>0</v>
      </c>
      <c r="N35">
        <v>1</v>
      </c>
    </row>
    <row r="36" spans="1:14">
      <c r="A36" t="s">
        <v>25</v>
      </c>
      <c r="B36" t="s">
        <v>20</v>
      </c>
      <c r="C36" t="s">
        <v>18</v>
      </c>
      <c r="D36" s="9">
        <v>45713</v>
      </c>
      <c r="E36">
        <v>10</v>
      </c>
      <c r="F36" t="s">
        <v>4</v>
      </c>
      <c r="G36" t="s">
        <v>65</v>
      </c>
      <c r="H36">
        <v>6</v>
      </c>
      <c r="I36" t="s">
        <v>5</v>
      </c>
      <c r="J36" t="s">
        <v>89</v>
      </c>
      <c r="K36">
        <v>1</v>
      </c>
      <c r="L36">
        <v>0</v>
      </c>
      <c r="M36">
        <v>0</v>
      </c>
      <c r="N36">
        <v>1</v>
      </c>
    </row>
    <row r="37" spans="1:14">
      <c r="A37" t="s">
        <v>25</v>
      </c>
      <c r="B37" t="s">
        <v>20</v>
      </c>
      <c r="C37" t="s">
        <v>18</v>
      </c>
      <c r="D37" s="9">
        <v>45713</v>
      </c>
      <c r="E37">
        <v>10</v>
      </c>
      <c r="F37" t="s">
        <v>5</v>
      </c>
      <c r="G37" t="s">
        <v>102</v>
      </c>
      <c r="H37">
        <v>1</v>
      </c>
      <c r="I37" t="s">
        <v>4</v>
      </c>
      <c r="J37" t="s">
        <v>88</v>
      </c>
      <c r="K37">
        <v>0</v>
      </c>
      <c r="L37">
        <v>1</v>
      </c>
      <c r="M37">
        <v>0</v>
      </c>
      <c r="N37">
        <v>1</v>
      </c>
    </row>
    <row r="38" spans="1:14">
      <c r="A38" t="s">
        <v>25</v>
      </c>
      <c r="B38" t="s">
        <v>20</v>
      </c>
      <c r="C38" t="s">
        <v>16</v>
      </c>
      <c r="D38" s="9">
        <v>45714</v>
      </c>
      <c r="E38">
        <v>11</v>
      </c>
      <c r="F38" t="s">
        <v>5</v>
      </c>
      <c r="G38" t="s">
        <v>102</v>
      </c>
      <c r="H38">
        <v>5</v>
      </c>
      <c r="I38" t="s">
        <v>7</v>
      </c>
      <c r="J38" t="s">
        <v>88</v>
      </c>
      <c r="K38">
        <v>0</v>
      </c>
      <c r="L38">
        <v>1</v>
      </c>
      <c r="M38">
        <v>0</v>
      </c>
      <c r="N38">
        <v>1</v>
      </c>
    </row>
    <row r="39" spans="1:14">
      <c r="A39" t="s">
        <v>25</v>
      </c>
      <c r="B39" t="s">
        <v>20</v>
      </c>
      <c r="C39" t="s">
        <v>16</v>
      </c>
      <c r="D39" s="9">
        <v>45714</v>
      </c>
      <c r="E39">
        <v>11</v>
      </c>
      <c r="F39" t="s">
        <v>5</v>
      </c>
      <c r="G39" t="s">
        <v>102</v>
      </c>
      <c r="H39">
        <v>5</v>
      </c>
      <c r="I39" t="s">
        <v>4</v>
      </c>
      <c r="J39" t="s">
        <v>88</v>
      </c>
      <c r="K39">
        <v>0</v>
      </c>
      <c r="L39">
        <v>1</v>
      </c>
      <c r="M39">
        <v>0</v>
      </c>
      <c r="N39">
        <v>1</v>
      </c>
    </row>
    <row r="40" spans="1:14">
      <c r="A40" t="s">
        <v>25</v>
      </c>
      <c r="B40" t="s">
        <v>20</v>
      </c>
      <c r="C40" t="s">
        <v>16</v>
      </c>
      <c r="D40" s="9">
        <v>45714</v>
      </c>
      <c r="E40">
        <v>11</v>
      </c>
      <c r="F40" t="s">
        <v>7</v>
      </c>
      <c r="G40" t="s">
        <v>65</v>
      </c>
      <c r="H40">
        <v>6</v>
      </c>
      <c r="I40" t="s">
        <v>5</v>
      </c>
      <c r="J40" t="s">
        <v>89</v>
      </c>
      <c r="K40">
        <v>1</v>
      </c>
      <c r="L40">
        <v>0</v>
      </c>
      <c r="M40">
        <v>0</v>
      </c>
      <c r="N40">
        <v>1</v>
      </c>
    </row>
    <row r="41" spans="1:14">
      <c r="A41" t="s">
        <v>25</v>
      </c>
      <c r="B41" t="s">
        <v>20</v>
      </c>
      <c r="C41" t="s">
        <v>16</v>
      </c>
      <c r="D41" s="9">
        <v>45714</v>
      </c>
      <c r="E41">
        <v>11</v>
      </c>
      <c r="F41" t="s">
        <v>7</v>
      </c>
      <c r="G41" t="s">
        <v>65</v>
      </c>
      <c r="H41">
        <v>6</v>
      </c>
      <c r="I41" t="s">
        <v>4</v>
      </c>
      <c r="J41" t="s">
        <v>88</v>
      </c>
      <c r="K41">
        <v>0</v>
      </c>
      <c r="L41">
        <v>1</v>
      </c>
      <c r="M41">
        <v>0</v>
      </c>
      <c r="N41">
        <v>1</v>
      </c>
    </row>
    <row r="42" spans="1:14">
      <c r="A42" t="s">
        <v>25</v>
      </c>
      <c r="B42" t="s">
        <v>20</v>
      </c>
      <c r="C42" t="s">
        <v>16</v>
      </c>
      <c r="D42" s="9">
        <v>45714</v>
      </c>
      <c r="E42">
        <v>11</v>
      </c>
      <c r="F42" t="s">
        <v>4</v>
      </c>
      <c r="G42" t="s">
        <v>102</v>
      </c>
      <c r="H42">
        <v>14</v>
      </c>
      <c r="I42" t="s">
        <v>7</v>
      </c>
      <c r="J42" t="s">
        <v>89</v>
      </c>
      <c r="K42">
        <v>1</v>
      </c>
      <c r="L42">
        <v>0</v>
      </c>
      <c r="M42">
        <v>0</v>
      </c>
      <c r="N42">
        <v>1</v>
      </c>
    </row>
    <row r="43" spans="1:14">
      <c r="A43" t="s">
        <v>25</v>
      </c>
      <c r="B43" t="s">
        <v>20</v>
      </c>
      <c r="C43" t="s">
        <v>16</v>
      </c>
      <c r="D43" s="9">
        <v>45714</v>
      </c>
      <c r="E43">
        <v>11</v>
      </c>
      <c r="F43" t="s">
        <v>4</v>
      </c>
      <c r="G43" t="s">
        <v>65</v>
      </c>
      <c r="H43">
        <v>14</v>
      </c>
      <c r="I43" t="s">
        <v>5</v>
      </c>
      <c r="J43" t="s">
        <v>89</v>
      </c>
      <c r="K43">
        <v>1</v>
      </c>
      <c r="L43">
        <v>0</v>
      </c>
      <c r="M43">
        <v>0</v>
      </c>
      <c r="N43">
        <v>1</v>
      </c>
    </row>
    <row r="44" spans="1:14">
      <c r="A44" t="s">
        <v>25</v>
      </c>
      <c r="B44" t="s">
        <v>20</v>
      </c>
      <c r="C44" t="s">
        <v>16</v>
      </c>
      <c r="D44" s="9">
        <v>45715</v>
      </c>
      <c r="E44">
        <v>12</v>
      </c>
      <c r="F44" t="s">
        <v>5</v>
      </c>
      <c r="G44" t="s">
        <v>102</v>
      </c>
      <c r="H44">
        <v>3</v>
      </c>
      <c r="I44" t="s">
        <v>4</v>
      </c>
      <c r="J44" t="s">
        <v>88</v>
      </c>
      <c r="K44">
        <v>0</v>
      </c>
      <c r="L44">
        <v>1</v>
      </c>
      <c r="M44">
        <v>0</v>
      </c>
      <c r="N44">
        <v>1</v>
      </c>
    </row>
    <row r="45" spans="1:14">
      <c r="A45" t="s">
        <v>25</v>
      </c>
      <c r="B45" t="s">
        <v>20</v>
      </c>
      <c r="C45" t="s">
        <v>16</v>
      </c>
      <c r="D45" s="9">
        <v>45715</v>
      </c>
      <c r="E45">
        <v>12</v>
      </c>
      <c r="F45" t="s">
        <v>4</v>
      </c>
      <c r="G45" t="s">
        <v>65</v>
      </c>
      <c r="H45">
        <v>10</v>
      </c>
      <c r="I45" t="s">
        <v>7</v>
      </c>
      <c r="J45" t="s">
        <v>89</v>
      </c>
      <c r="K45">
        <v>1</v>
      </c>
      <c r="L45">
        <v>0</v>
      </c>
      <c r="M45">
        <v>0</v>
      </c>
      <c r="N45">
        <v>1</v>
      </c>
    </row>
    <row r="46" spans="1:14">
      <c r="A46" t="s">
        <v>25</v>
      </c>
      <c r="B46" t="s">
        <v>20</v>
      </c>
      <c r="C46" t="s">
        <v>16</v>
      </c>
      <c r="D46" s="9">
        <v>45715</v>
      </c>
      <c r="E46">
        <v>12</v>
      </c>
      <c r="F46" t="s">
        <v>4</v>
      </c>
      <c r="G46" t="s">
        <v>65</v>
      </c>
      <c r="H46">
        <v>10</v>
      </c>
      <c r="I46" t="s">
        <v>5</v>
      </c>
      <c r="J46" t="s">
        <v>89</v>
      </c>
      <c r="K46">
        <v>1</v>
      </c>
      <c r="L46">
        <v>0</v>
      </c>
      <c r="M46">
        <v>0</v>
      </c>
      <c r="N46">
        <v>1</v>
      </c>
    </row>
    <row r="47" spans="1:14">
      <c r="A47" t="s">
        <v>25</v>
      </c>
      <c r="B47" t="s">
        <v>20</v>
      </c>
      <c r="C47" t="s">
        <v>16</v>
      </c>
      <c r="D47" s="9">
        <v>45715</v>
      </c>
      <c r="E47">
        <v>12</v>
      </c>
      <c r="F47" t="s">
        <v>7</v>
      </c>
      <c r="G47" t="s">
        <v>102</v>
      </c>
      <c r="H47">
        <v>3</v>
      </c>
      <c r="I47" t="s">
        <v>5</v>
      </c>
      <c r="J47" t="s">
        <v>87</v>
      </c>
      <c r="K47">
        <v>0</v>
      </c>
      <c r="L47">
        <v>0</v>
      </c>
      <c r="M47">
        <v>1</v>
      </c>
      <c r="N47">
        <v>1</v>
      </c>
    </row>
    <row r="48" spans="1:14">
      <c r="A48" t="s">
        <v>25</v>
      </c>
      <c r="B48" t="s">
        <v>20</v>
      </c>
      <c r="C48" t="s">
        <v>16</v>
      </c>
      <c r="D48" s="9">
        <v>45715</v>
      </c>
      <c r="E48">
        <v>12</v>
      </c>
      <c r="F48" t="s">
        <v>5</v>
      </c>
      <c r="G48" t="s">
        <v>65</v>
      </c>
      <c r="H48">
        <v>3</v>
      </c>
      <c r="I48" t="s">
        <v>7</v>
      </c>
      <c r="J48" t="s">
        <v>87</v>
      </c>
      <c r="K48">
        <v>0</v>
      </c>
      <c r="L48">
        <v>0</v>
      </c>
      <c r="M48">
        <v>1</v>
      </c>
      <c r="N48">
        <v>1</v>
      </c>
    </row>
    <row r="49" spans="1:14">
      <c r="A49" t="s">
        <v>25</v>
      </c>
      <c r="B49" t="s">
        <v>20</v>
      </c>
      <c r="C49" t="s">
        <v>16</v>
      </c>
      <c r="D49" s="9">
        <v>45715</v>
      </c>
      <c r="E49">
        <v>12</v>
      </c>
      <c r="F49" t="s">
        <v>7</v>
      </c>
      <c r="G49" t="s">
        <v>102</v>
      </c>
      <c r="H49">
        <v>3</v>
      </c>
      <c r="I49" t="s">
        <v>4</v>
      </c>
      <c r="J49" t="s">
        <v>88</v>
      </c>
      <c r="K49">
        <v>0</v>
      </c>
      <c r="L49">
        <v>1</v>
      </c>
      <c r="M49">
        <v>0</v>
      </c>
      <c r="N49">
        <v>1</v>
      </c>
    </row>
    <row r="50" spans="1:14">
      <c r="A50" t="s">
        <v>25</v>
      </c>
      <c r="B50" t="s">
        <v>20</v>
      </c>
      <c r="C50" t="s">
        <v>16</v>
      </c>
      <c r="D50" s="9">
        <v>45715</v>
      </c>
      <c r="E50">
        <v>13</v>
      </c>
      <c r="F50" t="s">
        <v>4</v>
      </c>
      <c r="G50" t="s">
        <v>65</v>
      </c>
      <c r="H50">
        <v>11</v>
      </c>
      <c r="I50" t="s">
        <v>5</v>
      </c>
      <c r="J50" t="s">
        <v>89</v>
      </c>
      <c r="K50">
        <v>1</v>
      </c>
      <c r="L50">
        <v>0</v>
      </c>
      <c r="M50">
        <v>0</v>
      </c>
      <c r="N50">
        <v>1</v>
      </c>
    </row>
    <row r="51" spans="1:14">
      <c r="A51" t="s">
        <v>25</v>
      </c>
      <c r="B51" t="s">
        <v>20</v>
      </c>
      <c r="C51" t="s">
        <v>16</v>
      </c>
      <c r="D51" s="9">
        <v>45715</v>
      </c>
      <c r="E51">
        <v>13</v>
      </c>
      <c r="F51" t="s">
        <v>4</v>
      </c>
      <c r="G51" t="s">
        <v>102</v>
      </c>
      <c r="H51">
        <v>11</v>
      </c>
      <c r="I51" t="s">
        <v>7</v>
      </c>
      <c r="J51" t="s">
        <v>89</v>
      </c>
      <c r="K51">
        <v>1</v>
      </c>
      <c r="L51">
        <v>0</v>
      </c>
      <c r="M51">
        <v>0</v>
      </c>
      <c r="N51">
        <v>1</v>
      </c>
    </row>
    <row r="52" spans="1:14">
      <c r="A52" t="s">
        <v>25</v>
      </c>
      <c r="B52" t="s">
        <v>20</v>
      </c>
      <c r="C52" t="s">
        <v>16</v>
      </c>
      <c r="D52" s="9">
        <v>45715</v>
      </c>
      <c r="E52">
        <v>13</v>
      </c>
      <c r="F52" t="s">
        <v>7</v>
      </c>
      <c r="G52" t="s">
        <v>65</v>
      </c>
      <c r="H52">
        <v>0</v>
      </c>
      <c r="I52" t="s">
        <v>4</v>
      </c>
      <c r="J52" t="s">
        <v>88</v>
      </c>
      <c r="K52">
        <v>0</v>
      </c>
      <c r="L52">
        <v>1</v>
      </c>
      <c r="M52">
        <v>0</v>
      </c>
      <c r="N52">
        <v>1</v>
      </c>
    </row>
    <row r="53" spans="1:14">
      <c r="A53" t="s">
        <v>25</v>
      </c>
      <c r="B53" t="s">
        <v>20</v>
      </c>
      <c r="C53" t="s">
        <v>16</v>
      </c>
      <c r="D53" s="9">
        <v>45715</v>
      </c>
      <c r="E53">
        <v>13</v>
      </c>
      <c r="F53" t="s">
        <v>7</v>
      </c>
      <c r="G53" t="s">
        <v>65</v>
      </c>
      <c r="H53">
        <v>0</v>
      </c>
      <c r="I53" t="s">
        <v>5</v>
      </c>
      <c r="J53" t="s">
        <v>88</v>
      </c>
      <c r="K53">
        <v>0</v>
      </c>
      <c r="L53">
        <v>1</v>
      </c>
      <c r="M53">
        <v>0</v>
      </c>
      <c r="N53">
        <v>1</v>
      </c>
    </row>
    <row r="54" spans="1:14">
      <c r="A54" t="s">
        <v>25</v>
      </c>
      <c r="B54" t="s">
        <v>20</v>
      </c>
      <c r="C54" t="s">
        <v>16</v>
      </c>
      <c r="D54" s="9">
        <v>45715</v>
      </c>
      <c r="E54">
        <v>13</v>
      </c>
      <c r="F54" t="s">
        <v>5</v>
      </c>
      <c r="G54" t="s">
        <v>102</v>
      </c>
      <c r="H54">
        <v>1</v>
      </c>
      <c r="I54" t="s">
        <v>7</v>
      </c>
      <c r="J54" t="s">
        <v>89</v>
      </c>
      <c r="K54">
        <v>1</v>
      </c>
      <c r="L54">
        <v>0</v>
      </c>
      <c r="M54">
        <v>0</v>
      </c>
      <c r="N54">
        <v>1</v>
      </c>
    </row>
    <row r="55" spans="1:14">
      <c r="A55" t="s">
        <v>25</v>
      </c>
      <c r="B55" t="s">
        <v>20</v>
      </c>
      <c r="C55" t="s">
        <v>16</v>
      </c>
      <c r="D55" s="9">
        <v>45715</v>
      </c>
      <c r="E55">
        <v>13</v>
      </c>
      <c r="F55" t="s">
        <v>5</v>
      </c>
      <c r="G55" t="s">
        <v>102</v>
      </c>
      <c r="H55">
        <v>1</v>
      </c>
      <c r="I55" t="s">
        <v>4</v>
      </c>
      <c r="J55" t="s">
        <v>88</v>
      </c>
      <c r="K55">
        <v>0</v>
      </c>
      <c r="L55">
        <v>1</v>
      </c>
      <c r="M55">
        <v>0</v>
      </c>
      <c r="N55">
        <v>1</v>
      </c>
    </row>
    <row r="56" spans="1:14">
      <c r="A56" t="s">
        <v>25</v>
      </c>
      <c r="B56" t="s">
        <v>20</v>
      </c>
      <c r="C56" t="s">
        <v>16</v>
      </c>
      <c r="D56" s="9">
        <v>45716</v>
      </c>
      <c r="E56">
        <v>14</v>
      </c>
      <c r="F56" t="s">
        <v>5</v>
      </c>
      <c r="G56" t="s">
        <v>65</v>
      </c>
      <c r="H56">
        <v>3</v>
      </c>
      <c r="I56" t="s">
        <v>4</v>
      </c>
      <c r="J56" t="s">
        <v>88</v>
      </c>
      <c r="K56">
        <v>0</v>
      </c>
      <c r="L56">
        <v>1</v>
      </c>
      <c r="M56">
        <v>0</v>
      </c>
      <c r="N56">
        <v>1</v>
      </c>
    </row>
    <row r="57" spans="1:14">
      <c r="A57" t="s">
        <v>25</v>
      </c>
      <c r="B57" t="s">
        <v>20</v>
      </c>
      <c r="C57" t="s">
        <v>16</v>
      </c>
      <c r="D57" s="9">
        <v>45716</v>
      </c>
      <c r="E57">
        <v>14</v>
      </c>
      <c r="F57" t="s">
        <v>4</v>
      </c>
      <c r="G57" t="s">
        <v>102</v>
      </c>
      <c r="H57">
        <v>11</v>
      </c>
      <c r="I57" t="s">
        <v>5</v>
      </c>
      <c r="J57" t="s">
        <v>89</v>
      </c>
      <c r="K57">
        <v>1</v>
      </c>
      <c r="L57">
        <v>0</v>
      </c>
      <c r="M57">
        <v>0</v>
      </c>
      <c r="N57">
        <v>1</v>
      </c>
    </row>
    <row r="58" spans="1:14">
      <c r="A58" t="s">
        <v>25</v>
      </c>
      <c r="B58" t="s">
        <v>20</v>
      </c>
      <c r="C58" t="s">
        <v>16</v>
      </c>
      <c r="D58" s="9">
        <v>45716</v>
      </c>
      <c r="E58">
        <v>15</v>
      </c>
      <c r="F58" t="s">
        <v>4</v>
      </c>
      <c r="G58" t="s">
        <v>65</v>
      </c>
      <c r="H58">
        <v>5</v>
      </c>
      <c r="I58" t="s">
        <v>5</v>
      </c>
      <c r="J58" t="s">
        <v>89</v>
      </c>
      <c r="K58">
        <v>1</v>
      </c>
      <c r="L58">
        <v>0</v>
      </c>
      <c r="M58">
        <v>0</v>
      </c>
      <c r="N58">
        <v>1</v>
      </c>
    </row>
    <row r="59" spans="1:14">
      <c r="A59" t="s">
        <v>25</v>
      </c>
      <c r="B59" t="s">
        <v>20</v>
      </c>
      <c r="C59" t="s">
        <v>16</v>
      </c>
      <c r="D59" s="9">
        <v>45716</v>
      </c>
      <c r="E59">
        <v>15</v>
      </c>
      <c r="F59" t="s">
        <v>5</v>
      </c>
      <c r="G59" t="s">
        <v>102</v>
      </c>
      <c r="H59">
        <v>3</v>
      </c>
      <c r="I59" t="s">
        <v>4</v>
      </c>
      <c r="J59" t="s">
        <v>88</v>
      </c>
      <c r="K59">
        <v>0</v>
      </c>
      <c r="L59">
        <v>1</v>
      </c>
      <c r="M59">
        <v>0</v>
      </c>
      <c r="N59">
        <v>1</v>
      </c>
    </row>
    <row r="60" spans="1:14">
      <c r="A60" t="s">
        <v>25</v>
      </c>
      <c r="B60" t="s">
        <v>20</v>
      </c>
      <c r="C60" t="s">
        <v>16</v>
      </c>
      <c r="D60" s="9">
        <v>45720</v>
      </c>
      <c r="E60">
        <v>16</v>
      </c>
      <c r="F60" t="s">
        <v>5</v>
      </c>
      <c r="G60" t="s">
        <v>102</v>
      </c>
      <c r="H60">
        <v>1</v>
      </c>
      <c r="I60" t="s">
        <v>7</v>
      </c>
      <c r="J60" t="s">
        <v>88</v>
      </c>
      <c r="K60">
        <v>0</v>
      </c>
      <c r="L60">
        <v>1</v>
      </c>
      <c r="M60">
        <v>0</v>
      </c>
      <c r="N60">
        <v>1</v>
      </c>
    </row>
    <row r="61" spans="1:14">
      <c r="A61" t="s">
        <v>25</v>
      </c>
      <c r="B61" t="s">
        <v>20</v>
      </c>
      <c r="C61" t="s">
        <v>16</v>
      </c>
      <c r="D61" s="9">
        <v>45720</v>
      </c>
      <c r="E61">
        <v>16</v>
      </c>
      <c r="F61" t="s">
        <v>5</v>
      </c>
      <c r="G61" t="s">
        <v>65</v>
      </c>
      <c r="H61">
        <v>1</v>
      </c>
      <c r="I61" t="s">
        <v>4</v>
      </c>
      <c r="J61" t="s">
        <v>88</v>
      </c>
      <c r="K61">
        <v>0</v>
      </c>
      <c r="L61">
        <v>1</v>
      </c>
      <c r="M61">
        <v>0</v>
      </c>
      <c r="N61">
        <v>1</v>
      </c>
    </row>
    <row r="62" spans="1:14">
      <c r="A62" t="s">
        <v>25</v>
      </c>
      <c r="B62" t="s">
        <v>20</v>
      </c>
      <c r="C62" t="s">
        <v>16</v>
      </c>
      <c r="D62" s="9">
        <v>45720</v>
      </c>
      <c r="E62">
        <v>16</v>
      </c>
      <c r="F62" t="s">
        <v>4</v>
      </c>
      <c r="G62" t="s">
        <v>102</v>
      </c>
      <c r="H62">
        <v>9</v>
      </c>
      <c r="I62" t="s">
        <v>7</v>
      </c>
      <c r="J62" t="s">
        <v>89</v>
      </c>
      <c r="K62">
        <v>1</v>
      </c>
      <c r="L62">
        <v>0</v>
      </c>
      <c r="M62">
        <v>0</v>
      </c>
      <c r="N62">
        <v>1</v>
      </c>
    </row>
    <row r="63" spans="1:14">
      <c r="A63" t="s">
        <v>25</v>
      </c>
      <c r="B63" t="s">
        <v>20</v>
      </c>
      <c r="C63" t="s">
        <v>16</v>
      </c>
      <c r="D63" s="9">
        <v>45720</v>
      </c>
      <c r="E63">
        <v>16</v>
      </c>
      <c r="F63" t="s">
        <v>4</v>
      </c>
      <c r="G63" t="s">
        <v>102</v>
      </c>
      <c r="H63">
        <v>9</v>
      </c>
      <c r="I63" t="s">
        <v>5</v>
      </c>
      <c r="J63" t="s">
        <v>89</v>
      </c>
      <c r="K63">
        <v>1</v>
      </c>
      <c r="L63">
        <v>0</v>
      </c>
      <c r="M63">
        <v>0</v>
      </c>
      <c r="N63">
        <v>1</v>
      </c>
    </row>
    <row r="64" spans="1:14">
      <c r="A64" t="s">
        <v>25</v>
      </c>
      <c r="B64" t="s">
        <v>20</v>
      </c>
      <c r="C64" t="s">
        <v>16</v>
      </c>
      <c r="D64" s="9">
        <v>45720</v>
      </c>
      <c r="E64">
        <v>16</v>
      </c>
      <c r="F64" t="s">
        <v>7</v>
      </c>
      <c r="G64" t="s">
        <v>65</v>
      </c>
      <c r="H64">
        <v>5</v>
      </c>
      <c r="I64" t="s">
        <v>5</v>
      </c>
      <c r="J64" t="s">
        <v>89</v>
      </c>
      <c r="K64">
        <v>1</v>
      </c>
      <c r="L64">
        <v>0</v>
      </c>
      <c r="M64">
        <v>0</v>
      </c>
      <c r="N64">
        <v>1</v>
      </c>
    </row>
    <row r="65" spans="1:14">
      <c r="A65" t="s">
        <v>25</v>
      </c>
      <c r="B65" t="s">
        <v>20</v>
      </c>
      <c r="C65" t="s">
        <v>16</v>
      </c>
      <c r="D65" s="9">
        <v>45720</v>
      </c>
      <c r="E65">
        <v>16</v>
      </c>
      <c r="F65" t="s">
        <v>7</v>
      </c>
      <c r="G65" t="s">
        <v>65</v>
      </c>
      <c r="H65">
        <v>5</v>
      </c>
      <c r="I65" t="s">
        <v>4</v>
      </c>
      <c r="J65" t="s">
        <v>88</v>
      </c>
      <c r="K65">
        <v>0</v>
      </c>
      <c r="L65">
        <v>1</v>
      </c>
      <c r="M65">
        <v>0</v>
      </c>
      <c r="N65">
        <v>1</v>
      </c>
    </row>
    <row r="66" spans="1:14">
      <c r="A66" t="s">
        <v>25</v>
      </c>
      <c r="B66" t="s">
        <v>20</v>
      </c>
      <c r="C66" t="s">
        <v>16</v>
      </c>
      <c r="D66" s="9">
        <v>45721</v>
      </c>
      <c r="E66">
        <v>17</v>
      </c>
      <c r="F66" t="s">
        <v>5</v>
      </c>
      <c r="G66" t="s">
        <v>65</v>
      </c>
      <c r="H66">
        <v>1</v>
      </c>
      <c r="I66" t="s">
        <v>4</v>
      </c>
      <c r="J66" t="s">
        <v>88</v>
      </c>
      <c r="K66">
        <v>0</v>
      </c>
      <c r="L66">
        <v>1</v>
      </c>
      <c r="M66">
        <v>0</v>
      </c>
      <c r="N66">
        <v>1</v>
      </c>
    </row>
    <row r="67" spans="1:14">
      <c r="A67" t="s">
        <v>25</v>
      </c>
      <c r="B67" t="s">
        <v>20</v>
      </c>
      <c r="C67" t="s">
        <v>16</v>
      </c>
      <c r="D67" s="9">
        <v>45721</v>
      </c>
      <c r="E67">
        <v>17</v>
      </c>
      <c r="F67" t="s">
        <v>4</v>
      </c>
      <c r="G67" t="s">
        <v>102</v>
      </c>
      <c r="H67">
        <v>8</v>
      </c>
      <c r="I67" t="s">
        <v>5</v>
      </c>
      <c r="J67" t="s">
        <v>89</v>
      </c>
      <c r="K67">
        <v>1</v>
      </c>
      <c r="L67">
        <v>0</v>
      </c>
      <c r="M67">
        <v>0</v>
      </c>
      <c r="N67">
        <v>1</v>
      </c>
    </row>
    <row r="68" spans="1:14">
      <c r="A68" t="s">
        <v>25</v>
      </c>
      <c r="B68" t="s">
        <v>20</v>
      </c>
      <c r="C68" t="s">
        <v>16</v>
      </c>
      <c r="D68" s="9">
        <v>45722</v>
      </c>
      <c r="E68">
        <v>18</v>
      </c>
      <c r="F68" t="s">
        <v>4</v>
      </c>
      <c r="G68" t="s">
        <v>65</v>
      </c>
      <c r="H68">
        <v>9</v>
      </c>
      <c r="I68" t="s">
        <v>5</v>
      </c>
      <c r="J68" t="s">
        <v>89</v>
      </c>
      <c r="K68">
        <v>1</v>
      </c>
      <c r="L68">
        <v>0</v>
      </c>
      <c r="M68">
        <v>0</v>
      </c>
      <c r="N68">
        <v>1</v>
      </c>
    </row>
    <row r="69" spans="1:14">
      <c r="A69" t="s">
        <v>25</v>
      </c>
      <c r="B69" t="s">
        <v>20</v>
      </c>
      <c r="C69" t="s">
        <v>16</v>
      </c>
      <c r="D69" s="9">
        <v>45722</v>
      </c>
      <c r="E69">
        <v>18</v>
      </c>
      <c r="F69" t="s">
        <v>5</v>
      </c>
      <c r="G69" t="s">
        <v>102</v>
      </c>
      <c r="H69">
        <v>4</v>
      </c>
      <c r="I69" t="s">
        <v>4</v>
      </c>
      <c r="J69" t="s">
        <v>88</v>
      </c>
      <c r="K69">
        <v>0</v>
      </c>
      <c r="L69">
        <v>1</v>
      </c>
      <c r="M69">
        <v>0</v>
      </c>
      <c r="N69">
        <v>1</v>
      </c>
    </row>
    <row r="70" spans="1:14">
      <c r="A70" t="s">
        <v>25</v>
      </c>
      <c r="B70" t="s">
        <v>20</v>
      </c>
      <c r="C70" t="s">
        <v>17</v>
      </c>
      <c r="D70" s="9">
        <v>45722</v>
      </c>
      <c r="E70">
        <v>19</v>
      </c>
      <c r="F70" t="s">
        <v>5</v>
      </c>
      <c r="G70" t="s">
        <v>65</v>
      </c>
      <c r="H70">
        <v>8</v>
      </c>
      <c r="I70" t="s">
        <v>4</v>
      </c>
      <c r="J70" t="s">
        <v>89</v>
      </c>
      <c r="K70">
        <v>1</v>
      </c>
      <c r="L70">
        <v>0</v>
      </c>
      <c r="M70">
        <v>0</v>
      </c>
      <c r="N70">
        <v>1</v>
      </c>
    </row>
    <row r="71" spans="1:14">
      <c r="A71" t="s">
        <v>25</v>
      </c>
      <c r="B71" t="s">
        <v>20</v>
      </c>
      <c r="C71" t="s">
        <v>17</v>
      </c>
      <c r="D71" s="9">
        <v>45722</v>
      </c>
      <c r="E71">
        <v>19</v>
      </c>
      <c r="F71" t="s">
        <v>4</v>
      </c>
      <c r="G71" t="s">
        <v>102</v>
      </c>
      <c r="H71">
        <v>5</v>
      </c>
      <c r="I71" t="s">
        <v>5</v>
      </c>
      <c r="J71" t="s">
        <v>88</v>
      </c>
      <c r="K71">
        <v>0</v>
      </c>
      <c r="L71">
        <v>1</v>
      </c>
      <c r="M71">
        <v>0</v>
      </c>
      <c r="N71">
        <v>1</v>
      </c>
    </row>
    <row r="72" spans="1:14">
      <c r="A72" t="s">
        <v>25</v>
      </c>
      <c r="B72" t="s">
        <v>20</v>
      </c>
      <c r="C72" t="s">
        <v>16</v>
      </c>
      <c r="D72" s="9">
        <v>45723</v>
      </c>
      <c r="E72">
        <v>20</v>
      </c>
      <c r="F72" t="s">
        <v>4</v>
      </c>
      <c r="G72" t="s">
        <v>102</v>
      </c>
      <c r="H72">
        <v>4</v>
      </c>
      <c r="I72" t="s">
        <v>5</v>
      </c>
      <c r="J72" t="s">
        <v>89</v>
      </c>
      <c r="K72">
        <v>1</v>
      </c>
      <c r="L72">
        <v>0</v>
      </c>
      <c r="M72">
        <v>0</v>
      </c>
      <c r="N72">
        <v>1</v>
      </c>
    </row>
    <row r="73" spans="1:14">
      <c r="A73" t="s">
        <v>25</v>
      </c>
      <c r="B73" t="s">
        <v>20</v>
      </c>
      <c r="C73" t="s">
        <v>16</v>
      </c>
      <c r="D73" s="9">
        <v>45723</v>
      </c>
      <c r="E73">
        <v>20</v>
      </c>
      <c r="F73" t="s">
        <v>5</v>
      </c>
      <c r="G73" t="s">
        <v>65</v>
      </c>
      <c r="H73">
        <v>2</v>
      </c>
      <c r="I73" t="s">
        <v>4</v>
      </c>
      <c r="J73" t="s">
        <v>88</v>
      </c>
      <c r="K73">
        <v>0</v>
      </c>
      <c r="L73">
        <v>1</v>
      </c>
      <c r="M73">
        <v>0</v>
      </c>
      <c r="N73">
        <v>1</v>
      </c>
    </row>
    <row r="74" spans="1:14">
      <c r="A74" t="s">
        <v>25</v>
      </c>
      <c r="B74" t="s">
        <v>20</v>
      </c>
      <c r="C74" t="s">
        <v>16</v>
      </c>
      <c r="D74" s="9">
        <v>45726</v>
      </c>
      <c r="E74">
        <v>21</v>
      </c>
      <c r="F74" t="s">
        <v>4</v>
      </c>
      <c r="G74" t="s">
        <v>65</v>
      </c>
      <c r="H74">
        <v>10</v>
      </c>
      <c r="I74" t="s">
        <v>5</v>
      </c>
      <c r="J74" t="s">
        <v>89</v>
      </c>
      <c r="K74">
        <v>1</v>
      </c>
      <c r="L74">
        <v>0</v>
      </c>
      <c r="M74">
        <v>0</v>
      </c>
      <c r="N74">
        <v>1</v>
      </c>
    </row>
    <row r="75" spans="1:14">
      <c r="A75" t="s">
        <v>25</v>
      </c>
      <c r="B75" t="s">
        <v>20</v>
      </c>
      <c r="C75" t="s">
        <v>16</v>
      </c>
      <c r="D75" s="9">
        <v>45726</v>
      </c>
      <c r="E75">
        <v>21</v>
      </c>
      <c r="F75" t="s">
        <v>5</v>
      </c>
      <c r="G75" t="s">
        <v>102</v>
      </c>
      <c r="H75">
        <v>7</v>
      </c>
      <c r="I75" t="s">
        <v>4</v>
      </c>
      <c r="J75" t="s">
        <v>88</v>
      </c>
      <c r="K75">
        <v>0</v>
      </c>
      <c r="L75">
        <v>1</v>
      </c>
      <c r="M75">
        <v>0</v>
      </c>
      <c r="N75">
        <v>1</v>
      </c>
    </row>
    <row r="76" spans="1:14">
      <c r="A76" t="s">
        <v>25</v>
      </c>
      <c r="B76" t="s">
        <v>20</v>
      </c>
      <c r="C76" t="s">
        <v>16</v>
      </c>
      <c r="D76" s="9">
        <v>45727</v>
      </c>
      <c r="E76">
        <v>22</v>
      </c>
      <c r="F76" t="s">
        <v>5</v>
      </c>
      <c r="G76" t="s">
        <v>102</v>
      </c>
      <c r="H76">
        <v>0</v>
      </c>
      <c r="I76" t="s">
        <v>4</v>
      </c>
      <c r="J76" t="s">
        <v>88</v>
      </c>
      <c r="K76">
        <v>0</v>
      </c>
      <c r="L76">
        <v>1</v>
      </c>
      <c r="M76">
        <v>0</v>
      </c>
      <c r="N76">
        <v>1</v>
      </c>
    </row>
    <row r="77" spans="1:14">
      <c r="A77" t="s">
        <v>25</v>
      </c>
      <c r="B77" t="s">
        <v>20</v>
      </c>
      <c r="C77" t="s">
        <v>16</v>
      </c>
      <c r="D77" s="9">
        <v>45727</v>
      </c>
      <c r="E77">
        <v>22</v>
      </c>
      <c r="F77" t="s">
        <v>4</v>
      </c>
      <c r="G77" t="s">
        <v>65</v>
      </c>
      <c r="H77">
        <v>4</v>
      </c>
      <c r="I77" t="s">
        <v>5</v>
      </c>
      <c r="J77" t="s">
        <v>89</v>
      </c>
      <c r="K77">
        <v>1</v>
      </c>
      <c r="L77">
        <v>0</v>
      </c>
      <c r="M77">
        <v>0</v>
      </c>
      <c r="N77">
        <v>1</v>
      </c>
    </row>
    <row r="78" spans="1:14">
      <c r="A78" t="s">
        <v>25</v>
      </c>
      <c r="B78" t="s">
        <v>20</v>
      </c>
      <c r="C78" t="s">
        <v>16</v>
      </c>
      <c r="D78" s="9">
        <v>45728</v>
      </c>
      <c r="E78">
        <v>23</v>
      </c>
      <c r="F78" t="s">
        <v>5</v>
      </c>
      <c r="G78" t="s">
        <v>65</v>
      </c>
      <c r="H78">
        <v>2</v>
      </c>
      <c r="I78" t="s">
        <v>4</v>
      </c>
      <c r="J78" t="s">
        <v>88</v>
      </c>
      <c r="K78">
        <v>0</v>
      </c>
      <c r="L78">
        <v>1</v>
      </c>
      <c r="M78">
        <v>0</v>
      </c>
      <c r="N78">
        <v>1</v>
      </c>
    </row>
    <row r="79" spans="1:14">
      <c r="A79" t="s">
        <v>25</v>
      </c>
      <c r="B79" t="s">
        <v>20</v>
      </c>
      <c r="C79" t="s">
        <v>16</v>
      </c>
      <c r="D79" s="9">
        <v>45728</v>
      </c>
      <c r="E79">
        <v>23</v>
      </c>
      <c r="F79" t="s">
        <v>4</v>
      </c>
      <c r="G79" t="s">
        <v>102</v>
      </c>
      <c r="H79">
        <v>11</v>
      </c>
      <c r="I79" t="s">
        <v>5</v>
      </c>
      <c r="J79" t="s">
        <v>89</v>
      </c>
      <c r="K79">
        <v>1</v>
      </c>
      <c r="L79">
        <v>0</v>
      </c>
      <c r="M79">
        <v>0</v>
      </c>
      <c r="N79">
        <v>1</v>
      </c>
    </row>
    <row r="80" spans="1:14">
      <c r="A80" t="s">
        <v>25</v>
      </c>
      <c r="B80" t="s">
        <v>20</v>
      </c>
      <c r="C80" t="s">
        <v>16</v>
      </c>
      <c r="D80" s="9">
        <v>45729</v>
      </c>
      <c r="E80">
        <v>24</v>
      </c>
      <c r="F80" t="s">
        <v>5</v>
      </c>
      <c r="G80" t="s">
        <v>65</v>
      </c>
      <c r="H80">
        <v>1</v>
      </c>
      <c r="I80" t="s">
        <v>4</v>
      </c>
      <c r="J80" t="s">
        <v>88</v>
      </c>
      <c r="K80">
        <v>0</v>
      </c>
      <c r="L80">
        <v>1</v>
      </c>
      <c r="M80">
        <v>0</v>
      </c>
      <c r="N80">
        <v>1</v>
      </c>
    </row>
    <row r="81" spans="1:14">
      <c r="A81" t="s">
        <v>25</v>
      </c>
      <c r="B81" t="s">
        <v>20</v>
      </c>
      <c r="C81" t="s">
        <v>16</v>
      </c>
      <c r="D81" s="9">
        <v>45729</v>
      </c>
      <c r="E81">
        <v>24</v>
      </c>
      <c r="F81" t="s">
        <v>4</v>
      </c>
      <c r="G81" t="s">
        <v>102</v>
      </c>
      <c r="H81">
        <v>10</v>
      </c>
      <c r="I81" t="s">
        <v>5</v>
      </c>
      <c r="J81" t="s">
        <v>89</v>
      </c>
      <c r="K81">
        <v>1</v>
      </c>
      <c r="L81">
        <v>0</v>
      </c>
      <c r="M81">
        <v>0</v>
      </c>
      <c r="N81">
        <v>1</v>
      </c>
    </row>
    <row r="82" spans="1:14">
      <c r="A82" t="s">
        <v>25</v>
      </c>
      <c r="B82" t="s">
        <v>20</v>
      </c>
      <c r="C82" t="s">
        <v>18</v>
      </c>
      <c r="D82" s="9">
        <v>45740</v>
      </c>
      <c r="E82">
        <v>25</v>
      </c>
      <c r="F82" t="s">
        <v>5</v>
      </c>
      <c r="G82" t="s">
        <v>102</v>
      </c>
      <c r="H82">
        <v>3</v>
      </c>
      <c r="I82" t="s">
        <v>4</v>
      </c>
      <c r="J82" t="s">
        <v>88</v>
      </c>
      <c r="K82">
        <v>0</v>
      </c>
      <c r="L82">
        <v>1</v>
      </c>
      <c r="M82">
        <v>0</v>
      </c>
      <c r="N82">
        <v>1</v>
      </c>
    </row>
    <row r="83" spans="1:14">
      <c r="A83" t="s">
        <v>25</v>
      </c>
      <c r="B83" t="s">
        <v>20</v>
      </c>
      <c r="C83" t="s">
        <v>18</v>
      </c>
      <c r="D83" s="9">
        <v>45740</v>
      </c>
      <c r="E83">
        <v>25</v>
      </c>
      <c r="F83" t="s">
        <v>5</v>
      </c>
      <c r="G83" t="s">
        <v>65</v>
      </c>
      <c r="H83">
        <v>3</v>
      </c>
      <c r="I83" t="s">
        <v>7</v>
      </c>
      <c r="J83" t="s">
        <v>89</v>
      </c>
      <c r="K83">
        <v>1</v>
      </c>
      <c r="L83">
        <v>0</v>
      </c>
      <c r="M83">
        <v>0</v>
      </c>
      <c r="N83">
        <v>1</v>
      </c>
    </row>
    <row r="84" spans="1:14">
      <c r="A84" t="s">
        <v>25</v>
      </c>
      <c r="B84" t="s">
        <v>20</v>
      </c>
      <c r="C84" t="s">
        <v>18</v>
      </c>
      <c r="D84" s="9">
        <v>45740</v>
      </c>
      <c r="E84">
        <v>25</v>
      </c>
      <c r="F84" t="s">
        <v>7</v>
      </c>
      <c r="G84" t="s">
        <v>102</v>
      </c>
      <c r="H84">
        <v>1</v>
      </c>
      <c r="I84" t="s">
        <v>4</v>
      </c>
      <c r="J84" t="s">
        <v>88</v>
      </c>
      <c r="K84">
        <v>0</v>
      </c>
      <c r="L84">
        <v>1</v>
      </c>
      <c r="M84">
        <v>0</v>
      </c>
      <c r="N84">
        <v>1</v>
      </c>
    </row>
    <row r="85" spans="1:14">
      <c r="A85" t="s">
        <v>25</v>
      </c>
      <c r="B85" t="s">
        <v>20</v>
      </c>
      <c r="C85" t="s">
        <v>18</v>
      </c>
      <c r="D85" s="9">
        <v>45740</v>
      </c>
      <c r="E85">
        <v>25</v>
      </c>
      <c r="F85" t="s">
        <v>4</v>
      </c>
      <c r="G85" t="s">
        <v>65</v>
      </c>
      <c r="H85">
        <v>6</v>
      </c>
      <c r="I85" t="s">
        <v>7</v>
      </c>
      <c r="J85" t="s">
        <v>89</v>
      </c>
      <c r="K85">
        <v>1</v>
      </c>
      <c r="L85">
        <v>0</v>
      </c>
      <c r="M85">
        <v>0</v>
      </c>
      <c r="N85">
        <v>1</v>
      </c>
    </row>
    <row r="86" spans="1:14">
      <c r="A86" t="s">
        <v>25</v>
      </c>
      <c r="B86" t="s">
        <v>20</v>
      </c>
      <c r="C86" t="s">
        <v>18</v>
      </c>
      <c r="D86" s="9">
        <v>45740</v>
      </c>
      <c r="E86">
        <v>25</v>
      </c>
      <c r="F86" t="s">
        <v>4</v>
      </c>
      <c r="G86" t="s">
        <v>65</v>
      </c>
      <c r="H86">
        <v>6</v>
      </c>
      <c r="I86" t="s">
        <v>5</v>
      </c>
      <c r="J86" t="s">
        <v>89</v>
      </c>
      <c r="K86">
        <v>1</v>
      </c>
      <c r="L86">
        <v>0</v>
      </c>
      <c r="M86">
        <v>0</v>
      </c>
      <c r="N86">
        <v>1</v>
      </c>
    </row>
    <row r="87" spans="1:14">
      <c r="A87" t="s">
        <v>25</v>
      </c>
      <c r="B87" t="s">
        <v>20</v>
      </c>
      <c r="C87" t="s">
        <v>18</v>
      </c>
      <c r="D87" s="9">
        <v>45740</v>
      </c>
      <c r="E87">
        <v>25</v>
      </c>
      <c r="F87" t="s">
        <v>7</v>
      </c>
      <c r="G87" t="s">
        <v>102</v>
      </c>
      <c r="H87">
        <v>1</v>
      </c>
      <c r="I87" t="s">
        <v>5</v>
      </c>
      <c r="J87" t="s">
        <v>88</v>
      </c>
      <c r="K87">
        <v>0</v>
      </c>
      <c r="L87">
        <v>1</v>
      </c>
      <c r="M87">
        <v>0</v>
      </c>
      <c r="N87">
        <v>1</v>
      </c>
    </row>
    <row r="88" spans="1:14">
      <c r="A88" t="s">
        <v>25</v>
      </c>
      <c r="B88" t="s">
        <v>20</v>
      </c>
      <c r="C88" t="s">
        <v>16</v>
      </c>
      <c r="D88" s="9">
        <v>45741</v>
      </c>
      <c r="E88">
        <v>26</v>
      </c>
      <c r="F88" t="s">
        <v>5</v>
      </c>
      <c r="G88" t="s">
        <v>102</v>
      </c>
      <c r="H88">
        <v>11</v>
      </c>
      <c r="I88" t="s">
        <v>4</v>
      </c>
      <c r="J88" t="s">
        <v>88</v>
      </c>
      <c r="K88">
        <v>0</v>
      </c>
      <c r="L88">
        <v>1</v>
      </c>
      <c r="M88">
        <v>0</v>
      </c>
      <c r="N88">
        <v>1</v>
      </c>
    </row>
    <row r="89" spans="1:14">
      <c r="A89" t="s">
        <v>25</v>
      </c>
      <c r="B89" t="s">
        <v>20</v>
      </c>
      <c r="C89" t="s">
        <v>16</v>
      </c>
      <c r="D89" s="9">
        <v>45741</v>
      </c>
      <c r="E89">
        <v>26</v>
      </c>
      <c r="F89" t="s">
        <v>4</v>
      </c>
      <c r="G89" t="s">
        <v>65</v>
      </c>
      <c r="H89">
        <v>12</v>
      </c>
      <c r="I89" t="s">
        <v>5</v>
      </c>
      <c r="J89" t="s">
        <v>89</v>
      </c>
      <c r="K89">
        <v>1</v>
      </c>
      <c r="L89">
        <v>0</v>
      </c>
      <c r="M89">
        <v>0</v>
      </c>
      <c r="N89">
        <v>1</v>
      </c>
    </row>
    <row r="90" spans="1:14">
      <c r="A90" t="s">
        <v>25</v>
      </c>
      <c r="B90" t="s">
        <v>20</v>
      </c>
      <c r="C90" t="s">
        <v>16</v>
      </c>
      <c r="D90" s="9">
        <v>45742</v>
      </c>
      <c r="E90">
        <v>27</v>
      </c>
      <c r="F90" t="s">
        <v>4</v>
      </c>
      <c r="G90" t="s">
        <v>102</v>
      </c>
      <c r="H90">
        <v>10</v>
      </c>
      <c r="I90" t="s">
        <v>5</v>
      </c>
      <c r="J90" t="s">
        <v>89</v>
      </c>
      <c r="K90">
        <v>1</v>
      </c>
      <c r="L90">
        <v>0</v>
      </c>
      <c r="M90">
        <v>0</v>
      </c>
      <c r="N90">
        <v>1</v>
      </c>
    </row>
    <row r="91" spans="1:14">
      <c r="A91" t="s">
        <v>25</v>
      </c>
      <c r="B91" t="s">
        <v>20</v>
      </c>
      <c r="C91" t="s">
        <v>16</v>
      </c>
      <c r="D91" s="9">
        <v>45742</v>
      </c>
      <c r="E91">
        <v>27</v>
      </c>
      <c r="F91" t="s">
        <v>4</v>
      </c>
      <c r="G91" t="s">
        <v>65</v>
      </c>
      <c r="H91">
        <v>10</v>
      </c>
      <c r="I91" t="s">
        <v>6</v>
      </c>
      <c r="J91" t="s">
        <v>89</v>
      </c>
      <c r="K91">
        <v>1</v>
      </c>
      <c r="L91">
        <v>0</v>
      </c>
      <c r="M91">
        <v>0</v>
      </c>
      <c r="N91">
        <v>1</v>
      </c>
    </row>
    <row r="92" spans="1:14">
      <c r="A92" t="s">
        <v>25</v>
      </c>
      <c r="B92" t="s">
        <v>20</v>
      </c>
      <c r="C92" t="s">
        <v>16</v>
      </c>
      <c r="D92" s="9">
        <v>45742</v>
      </c>
      <c r="E92">
        <v>27</v>
      </c>
      <c r="F92" t="s">
        <v>5</v>
      </c>
      <c r="G92" t="s">
        <v>65</v>
      </c>
      <c r="H92">
        <v>2</v>
      </c>
      <c r="I92" t="s">
        <v>4</v>
      </c>
      <c r="J92" t="s">
        <v>88</v>
      </c>
      <c r="K92">
        <v>0</v>
      </c>
      <c r="L92">
        <v>1</v>
      </c>
      <c r="M92">
        <v>0</v>
      </c>
      <c r="N92">
        <v>1</v>
      </c>
    </row>
    <row r="93" spans="1:14">
      <c r="A93" t="s">
        <v>25</v>
      </c>
      <c r="B93" t="s">
        <v>20</v>
      </c>
      <c r="C93" t="s">
        <v>16</v>
      </c>
      <c r="D93" s="9">
        <v>45742</v>
      </c>
      <c r="E93">
        <v>27</v>
      </c>
      <c r="F93" t="s">
        <v>5</v>
      </c>
      <c r="G93" t="s">
        <v>65</v>
      </c>
      <c r="H93">
        <v>2</v>
      </c>
      <c r="I93" t="s">
        <v>6</v>
      </c>
      <c r="J93" t="s">
        <v>88</v>
      </c>
      <c r="K93">
        <v>0</v>
      </c>
      <c r="L93">
        <v>1</v>
      </c>
      <c r="M93">
        <v>0</v>
      </c>
      <c r="N93">
        <v>1</v>
      </c>
    </row>
    <row r="94" spans="1:14">
      <c r="A94" t="s">
        <v>25</v>
      </c>
      <c r="B94" t="s">
        <v>20</v>
      </c>
      <c r="C94" t="s">
        <v>16</v>
      </c>
      <c r="D94" s="9">
        <v>45742</v>
      </c>
      <c r="E94">
        <v>27</v>
      </c>
      <c r="F94" t="s">
        <v>6</v>
      </c>
      <c r="G94" t="s">
        <v>102</v>
      </c>
      <c r="H94">
        <v>4</v>
      </c>
      <c r="I94" t="s">
        <v>4</v>
      </c>
      <c r="J94" t="s">
        <v>88</v>
      </c>
      <c r="K94">
        <v>0</v>
      </c>
      <c r="L94">
        <v>1</v>
      </c>
      <c r="M94">
        <v>0</v>
      </c>
      <c r="N94">
        <v>1</v>
      </c>
    </row>
    <row r="95" spans="1:14">
      <c r="A95" t="s">
        <v>25</v>
      </c>
      <c r="B95" t="s">
        <v>20</v>
      </c>
      <c r="C95" t="s">
        <v>16</v>
      </c>
      <c r="D95" s="9">
        <v>45742</v>
      </c>
      <c r="E95">
        <v>27</v>
      </c>
      <c r="F95" t="s">
        <v>6</v>
      </c>
      <c r="G95" t="s">
        <v>102</v>
      </c>
      <c r="H95">
        <v>4</v>
      </c>
      <c r="I95" t="s">
        <v>5</v>
      </c>
      <c r="J95" t="s">
        <v>89</v>
      </c>
      <c r="K95">
        <v>1</v>
      </c>
      <c r="L95">
        <v>0</v>
      </c>
      <c r="M95">
        <v>0</v>
      </c>
      <c r="N95">
        <v>1</v>
      </c>
    </row>
    <row r="96" spans="1:14">
      <c r="A96" t="s">
        <v>25</v>
      </c>
      <c r="B96" t="s">
        <v>20</v>
      </c>
      <c r="C96" t="s">
        <v>16</v>
      </c>
      <c r="D96" s="9">
        <v>45743</v>
      </c>
      <c r="E96">
        <v>28</v>
      </c>
      <c r="F96" t="s">
        <v>4</v>
      </c>
      <c r="G96" t="s">
        <v>65</v>
      </c>
      <c r="H96">
        <v>7</v>
      </c>
      <c r="I96" t="s">
        <v>5</v>
      </c>
      <c r="J96" t="s">
        <v>89</v>
      </c>
      <c r="K96">
        <v>1</v>
      </c>
      <c r="L96">
        <v>0</v>
      </c>
      <c r="M96">
        <v>0</v>
      </c>
      <c r="N96">
        <v>1</v>
      </c>
    </row>
    <row r="97" spans="1:14">
      <c r="A97" t="s">
        <v>25</v>
      </c>
      <c r="B97" t="s">
        <v>20</v>
      </c>
      <c r="C97" t="s">
        <v>16</v>
      </c>
      <c r="D97" s="9">
        <v>45743</v>
      </c>
      <c r="E97">
        <v>28</v>
      </c>
      <c r="F97" t="s">
        <v>5</v>
      </c>
      <c r="G97" t="s">
        <v>102</v>
      </c>
      <c r="H97">
        <v>4</v>
      </c>
      <c r="I97" t="s">
        <v>4</v>
      </c>
      <c r="J97" t="s">
        <v>88</v>
      </c>
      <c r="K97">
        <v>0</v>
      </c>
      <c r="L97">
        <v>1</v>
      </c>
      <c r="M97">
        <v>0</v>
      </c>
      <c r="N97">
        <v>1</v>
      </c>
    </row>
    <row r="98" spans="1:14">
      <c r="A98" t="s">
        <v>25</v>
      </c>
      <c r="B98" t="s">
        <v>20</v>
      </c>
      <c r="C98" t="s">
        <v>16</v>
      </c>
      <c r="D98" s="9">
        <v>45744</v>
      </c>
      <c r="E98">
        <v>29</v>
      </c>
      <c r="F98" t="s">
        <v>4</v>
      </c>
      <c r="G98" t="s">
        <v>102</v>
      </c>
      <c r="H98">
        <v>5</v>
      </c>
      <c r="I98" t="s">
        <v>5</v>
      </c>
      <c r="J98" t="s">
        <v>88</v>
      </c>
      <c r="K98">
        <v>0</v>
      </c>
      <c r="L98">
        <v>1</v>
      </c>
      <c r="M98">
        <v>0</v>
      </c>
      <c r="N98">
        <v>1</v>
      </c>
    </row>
    <row r="99" spans="1:14">
      <c r="A99" t="s">
        <v>25</v>
      </c>
      <c r="B99" t="s">
        <v>20</v>
      </c>
      <c r="C99" t="s">
        <v>16</v>
      </c>
      <c r="D99" s="9">
        <v>45744</v>
      </c>
      <c r="E99">
        <v>29</v>
      </c>
      <c r="F99" t="s">
        <v>5</v>
      </c>
      <c r="G99" t="s">
        <v>65</v>
      </c>
      <c r="H99">
        <v>10</v>
      </c>
      <c r="I99" t="s">
        <v>4</v>
      </c>
      <c r="J99" t="s">
        <v>89</v>
      </c>
      <c r="K99">
        <v>1</v>
      </c>
      <c r="L99">
        <v>0</v>
      </c>
      <c r="M99">
        <v>0</v>
      </c>
      <c r="N99">
        <v>1</v>
      </c>
    </row>
    <row r="100" spans="1:14">
      <c r="A100" t="s">
        <v>25</v>
      </c>
      <c r="B100" t="s">
        <v>20</v>
      </c>
      <c r="C100" t="s">
        <v>16</v>
      </c>
      <c r="D100" s="9">
        <v>45747</v>
      </c>
      <c r="E100">
        <v>30</v>
      </c>
      <c r="F100" t="s">
        <v>4</v>
      </c>
      <c r="G100" t="s">
        <v>102</v>
      </c>
      <c r="H100">
        <v>7</v>
      </c>
      <c r="I100" t="s">
        <v>5</v>
      </c>
      <c r="J100" t="s">
        <v>89</v>
      </c>
      <c r="K100">
        <v>1</v>
      </c>
      <c r="L100">
        <v>0</v>
      </c>
      <c r="M100">
        <v>0</v>
      </c>
      <c r="N100">
        <v>1</v>
      </c>
    </row>
    <row r="101" spans="1:14">
      <c r="A101" t="s">
        <v>25</v>
      </c>
      <c r="B101" t="s">
        <v>20</v>
      </c>
      <c r="C101" t="s">
        <v>16</v>
      </c>
      <c r="D101" s="9">
        <v>45747</v>
      </c>
      <c r="E101">
        <v>30</v>
      </c>
      <c r="F101" t="s">
        <v>5</v>
      </c>
      <c r="G101" t="s">
        <v>65</v>
      </c>
      <c r="H101">
        <v>2</v>
      </c>
      <c r="I101" t="s">
        <v>4</v>
      </c>
      <c r="J101" t="s">
        <v>88</v>
      </c>
      <c r="K101">
        <v>0</v>
      </c>
      <c r="L101">
        <v>1</v>
      </c>
      <c r="M101">
        <v>0</v>
      </c>
      <c r="N101">
        <v>1</v>
      </c>
    </row>
    <row r="102" spans="1:14">
      <c r="A102" t="s">
        <v>25</v>
      </c>
      <c r="B102" t="s">
        <v>20</v>
      </c>
      <c r="C102" t="s">
        <v>16</v>
      </c>
      <c r="D102" s="9">
        <v>45748</v>
      </c>
      <c r="E102">
        <v>31</v>
      </c>
      <c r="F102" t="s">
        <v>4</v>
      </c>
      <c r="G102" t="s">
        <v>65</v>
      </c>
      <c r="H102">
        <v>6</v>
      </c>
      <c r="I102" t="s">
        <v>5</v>
      </c>
      <c r="J102" t="s">
        <v>89</v>
      </c>
      <c r="K102">
        <v>1</v>
      </c>
      <c r="L102">
        <v>0</v>
      </c>
      <c r="M102">
        <v>0</v>
      </c>
      <c r="N102">
        <v>1</v>
      </c>
    </row>
    <row r="103" spans="1:14">
      <c r="A103" t="s">
        <v>25</v>
      </c>
      <c r="B103" t="s">
        <v>20</v>
      </c>
      <c r="C103" t="s">
        <v>16</v>
      </c>
      <c r="D103" s="9">
        <v>45748</v>
      </c>
      <c r="E103">
        <v>31</v>
      </c>
      <c r="F103" t="s">
        <v>5</v>
      </c>
      <c r="G103" t="s">
        <v>102</v>
      </c>
      <c r="H103">
        <v>5</v>
      </c>
      <c r="I103" t="s">
        <v>4</v>
      </c>
      <c r="J103" t="s">
        <v>88</v>
      </c>
      <c r="K103">
        <v>0</v>
      </c>
      <c r="L103">
        <v>1</v>
      </c>
      <c r="M103">
        <v>0</v>
      </c>
      <c r="N103">
        <v>1</v>
      </c>
    </row>
    <row r="104" spans="1:14">
      <c r="A104" t="s">
        <v>25</v>
      </c>
      <c r="B104" t="s">
        <v>19</v>
      </c>
      <c r="C104" t="s">
        <v>16</v>
      </c>
      <c r="D104" s="9">
        <v>45749</v>
      </c>
      <c r="E104">
        <v>32</v>
      </c>
      <c r="F104" t="s">
        <v>5</v>
      </c>
      <c r="G104" t="s">
        <v>65</v>
      </c>
      <c r="H104">
        <v>5</v>
      </c>
      <c r="I104" t="s">
        <v>4</v>
      </c>
      <c r="J104" t="s">
        <v>89</v>
      </c>
      <c r="K104">
        <v>1</v>
      </c>
      <c r="L104">
        <v>0</v>
      </c>
      <c r="M104">
        <v>0</v>
      </c>
      <c r="N104">
        <v>1</v>
      </c>
    </row>
    <row r="105" spans="1:14">
      <c r="A105" t="s">
        <v>25</v>
      </c>
      <c r="B105" t="s">
        <v>19</v>
      </c>
      <c r="C105" t="s">
        <v>16</v>
      </c>
      <c r="D105" s="9">
        <v>45749</v>
      </c>
      <c r="E105">
        <v>32</v>
      </c>
      <c r="F105" t="s">
        <v>4</v>
      </c>
      <c r="G105" t="s">
        <v>102</v>
      </c>
      <c r="H105">
        <v>4</v>
      </c>
      <c r="I105" t="s">
        <v>5</v>
      </c>
      <c r="J105" t="s">
        <v>88</v>
      </c>
      <c r="K105">
        <v>0</v>
      </c>
      <c r="L105">
        <v>1</v>
      </c>
      <c r="M105">
        <v>0</v>
      </c>
      <c r="N105">
        <v>1</v>
      </c>
    </row>
    <row r="106" spans="1:14">
      <c r="A106" t="s">
        <v>25</v>
      </c>
      <c r="B106" t="s">
        <v>19</v>
      </c>
      <c r="C106" t="s">
        <v>16</v>
      </c>
      <c r="D106" s="9">
        <v>45749</v>
      </c>
      <c r="E106">
        <v>33</v>
      </c>
      <c r="F106" t="s">
        <v>4</v>
      </c>
      <c r="G106" t="s">
        <v>102</v>
      </c>
      <c r="H106">
        <v>4</v>
      </c>
      <c r="I106" t="s">
        <v>5</v>
      </c>
      <c r="J106" t="s">
        <v>88</v>
      </c>
      <c r="K106">
        <v>0</v>
      </c>
      <c r="L106">
        <v>1</v>
      </c>
      <c r="M106">
        <v>0</v>
      </c>
      <c r="N106">
        <v>1</v>
      </c>
    </row>
    <row r="107" spans="1:14">
      <c r="A107" t="s">
        <v>25</v>
      </c>
      <c r="B107" t="s">
        <v>19</v>
      </c>
      <c r="C107" t="s">
        <v>16</v>
      </c>
      <c r="D107" s="9">
        <v>45749</v>
      </c>
      <c r="E107">
        <v>33</v>
      </c>
      <c r="F107" t="s">
        <v>4</v>
      </c>
      <c r="G107" t="s">
        <v>102</v>
      </c>
      <c r="H107">
        <v>4</v>
      </c>
      <c r="I107" t="s">
        <v>6</v>
      </c>
      <c r="J107" t="s">
        <v>89</v>
      </c>
      <c r="K107">
        <v>1</v>
      </c>
      <c r="L107">
        <v>0</v>
      </c>
      <c r="M107">
        <v>0</v>
      </c>
      <c r="N107">
        <v>1</v>
      </c>
    </row>
    <row r="108" spans="1:14">
      <c r="A108" t="s">
        <v>25</v>
      </c>
      <c r="B108" t="s">
        <v>19</v>
      </c>
      <c r="C108" t="s">
        <v>16</v>
      </c>
      <c r="D108" s="9">
        <v>45749</v>
      </c>
      <c r="E108">
        <v>33</v>
      </c>
      <c r="F108" t="s">
        <v>5</v>
      </c>
      <c r="G108" t="s">
        <v>65</v>
      </c>
      <c r="H108">
        <v>5</v>
      </c>
      <c r="I108" t="s">
        <v>4</v>
      </c>
      <c r="J108" t="s">
        <v>89</v>
      </c>
      <c r="K108">
        <v>1</v>
      </c>
      <c r="L108">
        <v>0</v>
      </c>
      <c r="M108">
        <v>0</v>
      </c>
      <c r="N108">
        <v>1</v>
      </c>
    </row>
    <row r="109" spans="1:14">
      <c r="A109" t="s">
        <v>25</v>
      </c>
      <c r="B109" t="s">
        <v>19</v>
      </c>
      <c r="C109" t="s">
        <v>16</v>
      </c>
      <c r="D109" s="9">
        <v>45749</v>
      </c>
      <c r="E109">
        <v>33</v>
      </c>
      <c r="F109" t="s">
        <v>5</v>
      </c>
      <c r="G109" t="s">
        <v>102</v>
      </c>
      <c r="H109">
        <v>5</v>
      </c>
      <c r="I109" t="s">
        <v>6</v>
      </c>
      <c r="J109" t="s">
        <v>89</v>
      </c>
      <c r="K109">
        <v>1</v>
      </c>
      <c r="L109">
        <v>0</v>
      </c>
      <c r="M109">
        <v>0</v>
      </c>
      <c r="N109">
        <v>1</v>
      </c>
    </row>
    <row r="110" spans="1:14">
      <c r="A110" t="s">
        <v>25</v>
      </c>
      <c r="B110" t="s">
        <v>19</v>
      </c>
      <c r="C110" t="s">
        <v>16</v>
      </c>
      <c r="D110" s="9">
        <v>45749</v>
      </c>
      <c r="E110">
        <v>33</v>
      </c>
      <c r="F110" t="s">
        <v>6</v>
      </c>
      <c r="G110" t="s">
        <v>65</v>
      </c>
      <c r="H110">
        <v>2</v>
      </c>
      <c r="I110" t="s">
        <v>4</v>
      </c>
      <c r="J110" t="s">
        <v>88</v>
      </c>
      <c r="K110">
        <v>0</v>
      </c>
      <c r="L110">
        <v>1</v>
      </c>
      <c r="M110">
        <v>0</v>
      </c>
      <c r="N110">
        <v>1</v>
      </c>
    </row>
    <row r="111" spans="1:14">
      <c r="A111" t="s">
        <v>25</v>
      </c>
      <c r="B111" t="s">
        <v>19</v>
      </c>
      <c r="C111" t="s">
        <v>16</v>
      </c>
      <c r="D111" s="9">
        <v>45749</v>
      </c>
      <c r="E111">
        <v>33</v>
      </c>
      <c r="F111" t="s">
        <v>6</v>
      </c>
      <c r="G111" t="s">
        <v>65</v>
      </c>
      <c r="H111">
        <v>2</v>
      </c>
      <c r="I111" t="s">
        <v>5</v>
      </c>
      <c r="J111" t="s">
        <v>88</v>
      </c>
      <c r="K111">
        <v>0</v>
      </c>
      <c r="L111">
        <v>1</v>
      </c>
      <c r="M111">
        <v>0</v>
      </c>
      <c r="N111">
        <v>1</v>
      </c>
    </row>
    <row r="112" spans="1:14">
      <c r="A112" t="s">
        <v>25</v>
      </c>
      <c r="B112" t="s">
        <v>21</v>
      </c>
      <c r="C112" t="s">
        <v>16</v>
      </c>
      <c r="D112" s="9">
        <v>45750</v>
      </c>
      <c r="E112">
        <v>34</v>
      </c>
      <c r="F112" t="s">
        <v>6</v>
      </c>
      <c r="G112" t="s">
        <v>102</v>
      </c>
      <c r="H112">
        <v>1</v>
      </c>
      <c r="I112" t="s">
        <v>4</v>
      </c>
      <c r="J112" t="s">
        <v>88</v>
      </c>
      <c r="K112">
        <v>0</v>
      </c>
      <c r="L112">
        <v>1</v>
      </c>
      <c r="M112">
        <v>0</v>
      </c>
      <c r="N112">
        <v>1</v>
      </c>
    </row>
    <row r="113" spans="1:14">
      <c r="A113" t="s">
        <v>25</v>
      </c>
      <c r="B113" t="s">
        <v>21</v>
      </c>
      <c r="C113" t="s">
        <v>16</v>
      </c>
      <c r="D113" s="9">
        <v>45750</v>
      </c>
      <c r="E113">
        <v>34</v>
      </c>
      <c r="F113" t="s">
        <v>5</v>
      </c>
      <c r="G113" t="s">
        <v>65</v>
      </c>
      <c r="H113">
        <v>1</v>
      </c>
      <c r="I113" t="s">
        <v>6</v>
      </c>
      <c r="J113" t="s">
        <v>87</v>
      </c>
      <c r="K113">
        <v>0</v>
      </c>
      <c r="L113">
        <v>0</v>
      </c>
      <c r="M113">
        <v>1</v>
      </c>
      <c r="N113">
        <v>1</v>
      </c>
    </row>
    <row r="114" spans="1:14">
      <c r="A114" t="s">
        <v>25</v>
      </c>
      <c r="B114" t="s">
        <v>21</v>
      </c>
      <c r="C114" t="s">
        <v>16</v>
      </c>
      <c r="D114" s="9">
        <v>45750</v>
      </c>
      <c r="E114">
        <v>34</v>
      </c>
      <c r="F114" t="s">
        <v>5</v>
      </c>
      <c r="G114" t="s">
        <v>65</v>
      </c>
      <c r="H114">
        <v>1</v>
      </c>
      <c r="I114" t="s">
        <v>4</v>
      </c>
      <c r="J114" t="s">
        <v>88</v>
      </c>
      <c r="K114">
        <v>0</v>
      </c>
      <c r="L114">
        <v>1</v>
      </c>
      <c r="M114">
        <v>0</v>
      </c>
      <c r="N114">
        <v>1</v>
      </c>
    </row>
    <row r="115" spans="1:14">
      <c r="A115" t="s">
        <v>25</v>
      </c>
      <c r="B115" t="s">
        <v>21</v>
      </c>
      <c r="C115" t="s">
        <v>16</v>
      </c>
      <c r="D115" s="9">
        <v>45750</v>
      </c>
      <c r="E115">
        <v>34</v>
      </c>
      <c r="F115" t="s">
        <v>6</v>
      </c>
      <c r="G115" t="s">
        <v>102</v>
      </c>
      <c r="H115">
        <v>1</v>
      </c>
      <c r="I115" t="s">
        <v>5</v>
      </c>
      <c r="J115" t="s">
        <v>87</v>
      </c>
      <c r="K115">
        <v>0</v>
      </c>
      <c r="L115">
        <v>0</v>
      </c>
      <c r="M115">
        <v>1</v>
      </c>
      <c r="N115">
        <v>1</v>
      </c>
    </row>
    <row r="116" spans="1:14">
      <c r="A116" t="s">
        <v>25</v>
      </c>
      <c r="B116" t="s">
        <v>21</v>
      </c>
      <c r="C116" t="s">
        <v>16</v>
      </c>
      <c r="D116" s="9">
        <v>45750</v>
      </c>
      <c r="E116">
        <v>34</v>
      </c>
      <c r="F116" t="s">
        <v>4</v>
      </c>
      <c r="G116" t="s">
        <v>65</v>
      </c>
      <c r="H116">
        <v>8</v>
      </c>
      <c r="I116" t="s">
        <v>6</v>
      </c>
      <c r="J116" t="s">
        <v>89</v>
      </c>
      <c r="K116">
        <v>1</v>
      </c>
      <c r="L116">
        <v>0</v>
      </c>
      <c r="M116">
        <v>0</v>
      </c>
      <c r="N116">
        <v>1</v>
      </c>
    </row>
    <row r="117" spans="1:14">
      <c r="A117" t="s">
        <v>25</v>
      </c>
      <c r="B117" t="s">
        <v>21</v>
      </c>
      <c r="C117" t="s">
        <v>16</v>
      </c>
      <c r="D117" s="9">
        <v>45750</v>
      </c>
      <c r="E117">
        <v>34</v>
      </c>
      <c r="F117" t="s">
        <v>4</v>
      </c>
      <c r="G117" t="s">
        <v>102</v>
      </c>
      <c r="H117">
        <v>8</v>
      </c>
      <c r="I117" t="s">
        <v>5</v>
      </c>
      <c r="J117" t="s">
        <v>89</v>
      </c>
      <c r="K117">
        <v>1</v>
      </c>
      <c r="L117">
        <v>0</v>
      </c>
      <c r="M117">
        <v>0</v>
      </c>
      <c r="N117">
        <v>1</v>
      </c>
    </row>
    <row r="118" spans="1:14">
      <c r="A118" t="s">
        <v>25</v>
      </c>
      <c r="B118" t="s">
        <v>20</v>
      </c>
      <c r="C118" t="s">
        <v>16</v>
      </c>
      <c r="D118" s="9">
        <v>45751</v>
      </c>
      <c r="E118">
        <v>35</v>
      </c>
      <c r="F118" t="s">
        <v>5</v>
      </c>
      <c r="G118" t="s">
        <v>102</v>
      </c>
      <c r="H118">
        <v>2</v>
      </c>
      <c r="I118" t="s">
        <v>4</v>
      </c>
      <c r="J118" t="s">
        <v>88</v>
      </c>
      <c r="K118">
        <v>0</v>
      </c>
      <c r="L118">
        <v>1</v>
      </c>
      <c r="M118">
        <v>0</v>
      </c>
      <c r="N118">
        <v>1</v>
      </c>
    </row>
    <row r="119" spans="1:14">
      <c r="A119" t="s">
        <v>25</v>
      </c>
      <c r="B119" t="s">
        <v>20</v>
      </c>
      <c r="C119" t="s">
        <v>16</v>
      </c>
      <c r="D119" s="9">
        <v>45751</v>
      </c>
      <c r="E119">
        <v>35</v>
      </c>
      <c r="F119" t="s">
        <v>4</v>
      </c>
      <c r="G119" t="s">
        <v>65</v>
      </c>
      <c r="H119">
        <v>8</v>
      </c>
      <c r="I119" t="s">
        <v>5</v>
      </c>
      <c r="J119" t="s">
        <v>89</v>
      </c>
      <c r="K119">
        <v>1</v>
      </c>
      <c r="L119">
        <v>0</v>
      </c>
      <c r="M119">
        <v>0</v>
      </c>
      <c r="N119">
        <v>1</v>
      </c>
    </row>
    <row r="120" spans="1:14">
      <c r="A120" t="s">
        <v>25</v>
      </c>
      <c r="B120" t="s">
        <v>19</v>
      </c>
      <c r="C120" t="s">
        <v>16</v>
      </c>
      <c r="D120" s="9">
        <v>45754</v>
      </c>
      <c r="E120">
        <v>36</v>
      </c>
      <c r="F120" t="s">
        <v>5</v>
      </c>
      <c r="G120" t="s">
        <v>65</v>
      </c>
      <c r="H120">
        <v>2</v>
      </c>
      <c r="I120" t="s">
        <v>4</v>
      </c>
      <c r="J120" t="s">
        <v>89</v>
      </c>
      <c r="K120">
        <v>1</v>
      </c>
      <c r="L120">
        <v>0</v>
      </c>
      <c r="M120">
        <v>0</v>
      </c>
      <c r="N120">
        <v>1</v>
      </c>
    </row>
    <row r="121" spans="1:14">
      <c r="A121" t="s">
        <v>25</v>
      </c>
      <c r="B121" t="s">
        <v>19</v>
      </c>
      <c r="C121" t="s">
        <v>16</v>
      </c>
      <c r="D121" s="9">
        <v>45754</v>
      </c>
      <c r="E121">
        <v>36</v>
      </c>
      <c r="F121" t="s">
        <v>6</v>
      </c>
      <c r="G121" t="s">
        <v>102</v>
      </c>
      <c r="H121">
        <v>0</v>
      </c>
      <c r="I121" t="s">
        <v>4</v>
      </c>
      <c r="J121" t="s">
        <v>88</v>
      </c>
      <c r="K121">
        <v>0</v>
      </c>
      <c r="L121">
        <v>1</v>
      </c>
      <c r="M121">
        <v>0</v>
      </c>
      <c r="N121">
        <v>1</v>
      </c>
    </row>
    <row r="122" spans="1:14">
      <c r="A122" t="s">
        <v>25</v>
      </c>
      <c r="B122" t="s">
        <v>19</v>
      </c>
      <c r="C122" t="s">
        <v>16</v>
      </c>
      <c r="D122" s="9">
        <v>45754</v>
      </c>
      <c r="E122">
        <v>36</v>
      </c>
      <c r="F122" t="s">
        <v>5</v>
      </c>
      <c r="G122" t="s">
        <v>65</v>
      </c>
      <c r="H122">
        <v>2</v>
      </c>
      <c r="I122" t="s">
        <v>6</v>
      </c>
      <c r="J122" t="s">
        <v>89</v>
      </c>
      <c r="K122">
        <v>1</v>
      </c>
      <c r="L122">
        <v>0</v>
      </c>
      <c r="M122">
        <v>0</v>
      </c>
      <c r="N122">
        <v>1</v>
      </c>
    </row>
    <row r="123" spans="1:14">
      <c r="A123" t="s">
        <v>25</v>
      </c>
      <c r="B123" t="s">
        <v>19</v>
      </c>
      <c r="C123" t="s">
        <v>16</v>
      </c>
      <c r="D123" s="9">
        <v>45754</v>
      </c>
      <c r="E123">
        <v>36</v>
      </c>
      <c r="F123" t="s">
        <v>4</v>
      </c>
      <c r="G123" t="s">
        <v>65</v>
      </c>
      <c r="H123">
        <v>1</v>
      </c>
      <c r="I123" t="s">
        <v>6</v>
      </c>
      <c r="J123" t="s">
        <v>89</v>
      </c>
      <c r="K123">
        <v>1</v>
      </c>
      <c r="L123">
        <v>0</v>
      </c>
      <c r="M123">
        <v>0</v>
      </c>
      <c r="N123">
        <v>1</v>
      </c>
    </row>
    <row r="124" spans="1:14">
      <c r="A124" t="s">
        <v>25</v>
      </c>
      <c r="B124" t="s">
        <v>19</v>
      </c>
      <c r="C124" t="s">
        <v>16</v>
      </c>
      <c r="D124" s="9">
        <v>45754</v>
      </c>
      <c r="E124">
        <v>36</v>
      </c>
      <c r="F124" t="s">
        <v>4</v>
      </c>
      <c r="G124" t="s">
        <v>102</v>
      </c>
      <c r="H124">
        <v>1</v>
      </c>
      <c r="I124" t="s">
        <v>5</v>
      </c>
      <c r="J124" t="s">
        <v>88</v>
      </c>
      <c r="K124">
        <v>0</v>
      </c>
      <c r="L124">
        <v>1</v>
      </c>
      <c r="M124">
        <v>0</v>
      </c>
      <c r="N124">
        <v>1</v>
      </c>
    </row>
    <row r="125" spans="1:14">
      <c r="A125" t="s">
        <v>25</v>
      </c>
      <c r="B125" t="s">
        <v>19</v>
      </c>
      <c r="C125" t="s">
        <v>16</v>
      </c>
      <c r="D125" s="9">
        <v>45754</v>
      </c>
      <c r="E125">
        <v>36</v>
      </c>
      <c r="F125" t="s">
        <v>6</v>
      </c>
      <c r="G125" t="s">
        <v>102</v>
      </c>
      <c r="H125">
        <v>0</v>
      </c>
      <c r="I125" t="s">
        <v>5</v>
      </c>
      <c r="J125" t="s">
        <v>88</v>
      </c>
      <c r="K125">
        <v>0</v>
      </c>
      <c r="L125">
        <v>1</v>
      </c>
      <c r="M125">
        <v>0</v>
      </c>
      <c r="N125">
        <v>1</v>
      </c>
    </row>
    <row r="126" spans="1:14">
      <c r="A126" t="s">
        <v>25</v>
      </c>
      <c r="B126" t="s">
        <v>20</v>
      </c>
      <c r="C126" t="s">
        <v>16</v>
      </c>
      <c r="D126" s="9">
        <v>45754</v>
      </c>
      <c r="E126">
        <v>37</v>
      </c>
      <c r="F126" t="s">
        <v>5</v>
      </c>
      <c r="G126" t="s">
        <v>65</v>
      </c>
      <c r="H126">
        <v>6</v>
      </c>
      <c r="I126" t="s">
        <v>4</v>
      </c>
      <c r="J126" t="s">
        <v>88</v>
      </c>
      <c r="K126">
        <v>0</v>
      </c>
      <c r="L126">
        <v>1</v>
      </c>
      <c r="M126">
        <v>0</v>
      </c>
      <c r="N126">
        <v>1</v>
      </c>
    </row>
    <row r="127" spans="1:14">
      <c r="A127" t="s">
        <v>25</v>
      </c>
      <c r="B127" t="s">
        <v>20</v>
      </c>
      <c r="C127" t="s">
        <v>16</v>
      </c>
      <c r="D127" s="9">
        <v>45754</v>
      </c>
      <c r="E127">
        <v>37</v>
      </c>
      <c r="F127" t="s">
        <v>4</v>
      </c>
      <c r="G127" t="s">
        <v>102</v>
      </c>
      <c r="H127">
        <v>8</v>
      </c>
      <c r="I127" t="s">
        <v>5</v>
      </c>
      <c r="J127" t="s">
        <v>89</v>
      </c>
      <c r="K127">
        <v>1</v>
      </c>
      <c r="L127">
        <v>0</v>
      </c>
      <c r="M127">
        <v>0</v>
      </c>
      <c r="N127">
        <v>1</v>
      </c>
    </row>
    <row r="128" spans="1:14">
      <c r="A128" t="s">
        <v>25</v>
      </c>
      <c r="B128" t="s">
        <v>21</v>
      </c>
      <c r="C128" t="s">
        <v>16</v>
      </c>
      <c r="D128" s="9">
        <v>45755</v>
      </c>
      <c r="E128">
        <v>38</v>
      </c>
      <c r="F128" t="s">
        <v>4</v>
      </c>
      <c r="G128" t="s">
        <v>65</v>
      </c>
      <c r="H128">
        <v>1</v>
      </c>
      <c r="I128" t="s">
        <v>5</v>
      </c>
      <c r="J128" t="s">
        <v>88</v>
      </c>
      <c r="K128">
        <v>0</v>
      </c>
      <c r="L128">
        <v>1</v>
      </c>
      <c r="M128">
        <v>0</v>
      </c>
      <c r="N128">
        <v>1</v>
      </c>
    </row>
    <row r="129" spans="1:14">
      <c r="A129" t="s">
        <v>25</v>
      </c>
      <c r="B129" t="s">
        <v>21</v>
      </c>
      <c r="C129" t="s">
        <v>16</v>
      </c>
      <c r="D129" s="9">
        <v>45755</v>
      </c>
      <c r="E129">
        <v>38</v>
      </c>
      <c r="F129" t="s">
        <v>7</v>
      </c>
      <c r="G129" t="s">
        <v>102</v>
      </c>
      <c r="H129">
        <v>9</v>
      </c>
      <c r="I129" t="s">
        <v>4</v>
      </c>
      <c r="J129" t="s">
        <v>89</v>
      </c>
      <c r="K129">
        <v>1</v>
      </c>
      <c r="L129">
        <v>0</v>
      </c>
      <c r="M129">
        <v>0</v>
      </c>
      <c r="N129">
        <v>1</v>
      </c>
    </row>
    <row r="130" spans="1:14">
      <c r="A130" t="s">
        <v>25</v>
      </c>
      <c r="B130" t="s">
        <v>21</v>
      </c>
      <c r="C130" t="s">
        <v>16</v>
      </c>
      <c r="D130" s="9">
        <v>45755</v>
      </c>
      <c r="E130">
        <v>38</v>
      </c>
      <c r="F130" t="s">
        <v>7</v>
      </c>
      <c r="G130" t="s">
        <v>102</v>
      </c>
      <c r="H130">
        <v>9</v>
      </c>
      <c r="I130" t="s">
        <v>5</v>
      </c>
      <c r="J130" t="s">
        <v>89</v>
      </c>
      <c r="K130">
        <v>1</v>
      </c>
      <c r="L130">
        <v>0</v>
      </c>
      <c r="M130">
        <v>0</v>
      </c>
      <c r="N130">
        <v>1</v>
      </c>
    </row>
    <row r="131" spans="1:14">
      <c r="A131" t="s">
        <v>25</v>
      </c>
      <c r="B131" t="s">
        <v>21</v>
      </c>
      <c r="C131" t="s">
        <v>16</v>
      </c>
      <c r="D131" s="9">
        <v>45755</v>
      </c>
      <c r="E131">
        <v>38</v>
      </c>
      <c r="F131" t="s">
        <v>5</v>
      </c>
      <c r="G131" t="s">
        <v>102</v>
      </c>
      <c r="H131">
        <v>4</v>
      </c>
      <c r="I131" t="s">
        <v>4</v>
      </c>
      <c r="J131" t="s">
        <v>89</v>
      </c>
      <c r="K131">
        <v>1</v>
      </c>
      <c r="L131">
        <v>0</v>
      </c>
      <c r="M131">
        <v>0</v>
      </c>
      <c r="N131">
        <v>1</v>
      </c>
    </row>
    <row r="132" spans="1:14">
      <c r="A132" t="s">
        <v>25</v>
      </c>
      <c r="B132" t="s">
        <v>21</v>
      </c>
      <c r="C132" t="s">
        <v>16</v>
      </c>
      <c r="D132" s="9">
        <v>45755</v>
      </c>
      <c r="E132">
        <v>38</v>
      </c>
      <c r="F132" t="s">
        <v>5</v>
      </c>
      <c r="G132" t="s">
        <v>65</v>
      </c>
      <c r="H132">
        <v>4</v>
      </c>
      <c r="I132" t="s">
        <v>7</v>
      </c>
      <c r="J132" t="s">
        <v>88</v>
      </c>
      <c r="K132">
        <v>0</v>
      </c>
      <c r="L132">
        <v>1</v>
      </c>
      <c r="M132">
        <v>0</v>
      </c>
      <c r="N132">
        <v>1</v>
      </c>
    </row>
    <row r="133" spans="1:14">
      <c r="A133" t="s">
        <v>25</v>
      </c>
      <c r="B133" t="s">
        <v>21</v>
      </c>
      <c r="C133" t="s">
        <v>16</v>
      </c>
      <c r="D133" s="9">
        <v>45755</v>
      </c>
      <c r="E133">
        <v>38</v>
      </c>
      <c r="F133" t="s">
        <v>4</v>
      </c>
      <c r="G133" t="s">
        <v>65</v>
      </c>
      <c r="H133">
        <v>1</v>
      </c>
      <c r="I133" t="s">
        <v>7</v>
      </c>
      <c r="J133" t="s">
        <v>88</v>
      </c>
      <c r="K133">
        <v>0</v>
      </c>
      <c r="L133">
        <v>1</v>
      </c>
      <c r="M133">
        <v>0</v>
      </c>
      <c r="N133">
        <v>1</v>
      </c>
    </row>
    <row r="134" spans="1:14">
      <c r="A134" t="s">
        <v>25</v>
      </c>
      <c r="B134" t="s">
        <v>20</v>
      </c>
      <c r="C134" t="s">
        <v>16</v>
      </c>
      <c r="D134" s="9">
        <v>45756</v>
      </c>
      <c r="E134">
        <v>39</v>
      </c>
      <c r="F134" t="s">
        <v>5</v>
      </c>
      <c r="G134" t="s">
        <v>102</v>
      </c>
      <c r="H134">
        <v>6</v>
      </c>
      <c r="I134" t="s">
        <v>4</v>
      </c>
      <c r="J134" t="s">
        <v>88</v>
      </c>
      <c r="K134">
        <v>0</v>
      </c>
      <c r="L134">
        <v>1</v>
      </c>
      <c r="M134">
        <v>0</v>
      </c>
      <c r="N134">
        <v>1</v>
      </c>
    </row>
    <row r="135" spans="1:14">
      <c r="A135" t="s">
        <v>25</v>
      </c>
      <c r="B135" t="s">
        <v>20</v>
      </c>
      <c r="C135" t="s">
        <v>16</v>
      </c>
      <c r="D135" s="9">
        <v>45756</v>
      </c>
      <c r="E135">
        <v>39</v>
      </c>
      <c r="F135" t="s">
        <v>4</v>
      </c>
      <c r="G135" t="s">
        <v>65</v>
      </c>
      <c r="H135">
        <v>15</v>
      </c>
      <c r="I135" t="s">
        <v>5</v>
      </c>
      <c r="J135" t="s">
        <v>89</v>
      </c>
      <c r="K135">
        <v>1</v>
      </c>
      <c r="L135">
        <v>0</v>
      </c>
      <c r="M135">
        <v>0</v>
      </c>
      <c r="N135">
        <v>1</v>
      </c>
    </row>
    <row r="136" spans="1:14">
      <c r="A136" t="s">
        <v>25</v>
      </c>
      <c r="B136" t="s">
        <v>19</v>
      </c>
      <c r="C136" t="s">
        <v>16</v>
      </c>
      <c r="D136" s="9">
        <v>45756</v>
      </c>
      <c r="E136">
        <v>40</v>
      </c>
      <c r="F136" t="s">
        <v>4</v>
      </c>
      <c r="G136" t="s">
        <v>65</v>
      </c>
      <c r="H136">
        <v>8</v>
      </c>
      <c r="I136" t="s">
        <v>5</v>
      </c>
      <c r="J136" t="s">
        <v>89</v>
      </c>
      <c r="K136">
        <v>1</v>
      </c>
      <c r="L136">
        <v>0</v>
      </c>
      <c r="M136">
        <v>0</v>
      </c>
      <c r="N136">
        <v>1</v>
      </c>
    </row>
    <row r="137" spans="1:14">
      <c r="A137" t="s">
        <v>25</v>
      </c>
      <c r="B137" t="s">
        <v>19</v>
      </c>
      <c r="C137" t="s">
        <v>16</v>
      </c>
      <c r="D137" s="9">
        <v>45756</v>
      </c>
      <c r="E137">
        <v>40</v>
      </c>
      <c r="F137" t="s">
        <v>5</v>
      </c>
      <c r="G137" t="s">
        <v>102</v>
      </c>
      <c r="H137">
        <v>6</v>
      </c>
      <c r="I137" t="s">
        <v>4</v>
      </c>
      <c r="J137" t="s">
        <v>88</v>
      </c>
      <c r="K137">
        <v>0</v>
      </c>
      <c r="L137">
        <v>1</v>
      </c>
      <c r="M137">
        <v>0</v>
      </c>
      <c r="N137">
        <v>1</v>
      </c>
    </row>
    <row r="138" spans="1:14">
      <c r="A138" t="s">
        <v>25</v>
      </c>
      <c r="B138" t="s">
        <v>21</v>
      </c>
      <c r="C138" t="s">
        <v>16</v>
      </c>
      <c r="D138" s="9">
        <v>45756</v>
      </c>
      <c r="E138">
        <v>41</v>
      </c>
      <c r="F138" t="s">
        <v>5</v>
      </c>
      <c r="G138" t="s">
        <v>102</v>
      </c>
      <c r="H138">
        <v>2</v>
      </c>
      <c r="I138" t="s">
        <v>4</v>
      </c>
      <c r="J138" t="s">
        <v>88</v>
      </c>
      <c r="K138">
        <v>0</v>
      </c>
      <c r="L138">
        <v>1</v>
      </c>
      <c r="M138">
        <v>0</v>
      </c>
      <c r="N138">
        <v>1</v>
      </c>
    </row>
    <row r="139" spans="1:14">
      <c r="A139" t="s">
        <v>25</v>
      </c>
      <c r="B139" t="s">
        <v>21</v>
      </c>
      <c r="C139" t="s">
        <v>16</v>
      </c>
      <c r="D139" s="9">
        <v>45756</v>
      </c>
      <c r="E139">
        <v>41</v>
      </c>
      <c r="F139" t="s">
        <v>4</v>
      </c>
      <c r="G139" t="s">
        <v>65</v>
      </c>
      <c r="H139">
        <v>4</v>
      </c>
      <c r="I139" t="s">
        <v>5</v>
      </c>
      <c r="J139" t="s">
        <v>89</v>
      </c>
      <c r="K139">
        <v>1</v>
      </c>
      <c r="L139">
        <v>0</v>
      </c>
      <c r="M139">
        <v>0</v>
      </c>
      <c r="N139">
        <v>1</v>
      </c>
    </row>
    <row r="140" spans="1:14">
      <c r="A140" t="s">
        <v>25</v>
      </c>
      <c r="B140" t="s">
        <v>19</v>
      </c>
      <c r="C140" t="s">
        <v>16</v>
      </c>
      <c r="D140" s="9">
        <v>45757</v>
      </c>
      <c r="E140">
        <v>42</v>
      </c>
      <c r="F140" t="s">
        <v>5</v>
      </c>
      <c r="G140" t="s">
        <v>65</v>
      </c>
      <c r="H140">
        <v>6</v>
      </c>
      <c r="I140" t="s">
        <v>4</v>
      </c>
      <c r="J140" t="s">
        <v>89</v>
      </c>
      <c r="K140">
        <v>1</v>
      </c>
      <c r="L140">
        <v>0</v>
      </c>
      <c r="M140">
        <v>0</v>
      </c>
      <c r="N140">
        <v>1</v>
      </c>
    </row>
    <row r="141" spans="1:14">
      <c r="A141" t="s">
        <v>25</v>
      </c>
      <c r="B141" t="s">
        <v>19</v>
      </c>
      <c r="C141" t="s">
        <v>16</v>
      </c>
      <c r="D141" s="9">
        <v>45757</v>
      </c>
      <c r="E141">
        <v>42</v>
      </c>
      <c r="F141" t="s">
        <v>4</v>
      </c>
      <c r="G141" t="s">
        <v>102</v>
      </c>
      <c r="H141">
        <v>5</v>
      </c>
      <c r="I141" t="s">
        <v>5</v>
      </c>
      <c r="J141" t="s">
        <v>88</v>
      </c>
      <c r="K141">
        <v>0</v>
      </c>
      <c r="L141">
        <v>1</v>
      </c>
      <c r="M141">
        <v>0</v>
      </c>
      <c r="N141">
        <v>1</v>
      </c>
    </row>
    <row r="142" spans="1:14">
      <c r="A142" t="s">
        <v>25</v>
      </c>
      <c r="B142" t="s">
        <v>20</v>
      </c>
      <c r="C142" t="s">
        <v>16</v>
      </c>
      <c r="D142" s="9">
        <v>45761</v>
      </c>
      <c r="E142">
        <v>43</v>
      </c>
      <c r="F142" t="s">
        <v>7</v>
      </c>
      <c r="G142" t="s">
        <v>102</v>
      </c>
      <c r="H142">
        <v>4</v>
      </c>
      <c r="I142" t="s">
        <v>5</v>
      </c>
      <c r="J142" t="s">
        <v>88</v>
      </c>
      <c r="K142">
        <v>0</v>
      </c>
      <c r="L142">
        <v>1</v>
      </c>
      <c r="M142">
        <v>0</v>
      </c>
      <c r="N142">
        <v>1</v>
      </c>
    </row>
    <row r="143" spans="1:14">
      <c r="A143" t="s">
        <v>25</v>
      </c>
      <c r="B143" t="s">
        <v>20</v>
      </c>
      <c r="C143" t="s">
        <v>16</v>
      </c>
      <c r="D143" s="9">
        <v>45761</v>
      </c>
      <c r="E143">
        <v>43</v>
      </c>
      <c r="F143" t="s">
        <v>4</v>
      </c>
      <c r="G143" t="s">
        <v>102</v>
      </c>
      <c r="H143">
        <v>8</v>
      </c>
      <c r="I143" t="s">
        <v>5</v>
      </c>
      <c r="J143" t="s">
        <v>89</v>
      </c>
      <c r="K143">
        <v>1</v>
      </c>
      <c r="L143">
        <v>0</v>
      </c>
      <c r="M143">
        <v>0</v>
      </c>
      <c r="N143">
        <v>1</v>
      </c>
    </row>
    <row r="144" spans="1:14">
      <c r="A144" t="s">
        <v>25</v>
      </c>
      <c r="B144" t="s">
        <v>20</v>
      </c>
      <c r="C144" t="s">
        <v>16</v>
      </c>
      <c r="D144" s="9">
        <v>45761</v>
      </c>
      <c r="E144">
        <v>43</v>
      </c>
      <c r="F144" t="s">
        <v>4</v>
      </c>
      <c r="G144" t="s">
        <v>65</v>
      </c>
      <c r="H144">
        <v>8</v>
      </c>
      <c r="I144" t="s">
        <v>7</v>
      </c>
      <c r="J144" t="s">
        <v>89</v>
      </c>
      <c r="K144">
        <v>1</v>
      </c>
      <c r="L144">
        <v>0</v>
      </c>
      <c r="M144">
        <v>0</v>
      </c>
      <c r="N144">
        <v>1</v>
      </c>
    </row>
    <row r="145" spans="1:14">
      <c r="A145" t="s">
        <v>25</v>
      </c>
      <c r="B145" t="s">
        <v>20</v>
      </c>
      <c r="C145" t="s">
        <v>16</v>
      </c>
      <c r="D145" s="9">
        <v>45761</v>
      </c>
      <c r="E145">
        <v>43</v>
      </c>
      <c r="F145" t="s">
        <v>5</v>
      </c>
      <c r="G145" t="s">
        <v>65</v>
      </c>
      <c r="H145">
        <v>7</v>
      </c>
      <c r="I145" t="s">
        <v>7</v>
      </c>
      <c r="J145" t="s">
        <v>89</v>
      </c>
      <c r="K145">
        <v>1</v>
      </c>
      <c r="L145">
        <v>0</v>
      </c>
      <c r="M145">
        <v>0</v>
      </c>
      <c r="N145">
        <v>1</v>
      </c>
    </row>
    <row r="146" spans="1:14">
      <c r="A146" t="s">
        <v>25</v>
      </c>
      <c r="B146" t="s">
        <v>20</v>
      </c>
      <c r="C146" t="s">
        <v>16</v>
      </c>
      <c r="D146" s="9">
        <v>45761</v>
      </c>
      <c r="E146">
        <v>43</v>
      </c>
      <c r="F146" t="s">
        <v>5</v>
      </c>
      <c r="G146" t="s">
        <v>65</v>
      </c>
      <c r="H146">
        <v>7</v>
      </c>
      <c r="I146" t="s">
        <v>4</v>
      </c>
      <c r="J146" t="s">
        <v>88</v>
      </c>
      <c r="K146">
        <v>0</v>
      </c>
      <c r="L146">
        <v>1</v>
      </c>
      <c r="M146">
        <v>0</v>
      </c>
      <c r="N146">
        <v>1</v>
      </c>
    </row>
    <row r="147" spans="1:14">
      <c r="A147" t="s">
        <v>25</v>
      </c>
      <c r="B147" t="s">
        <v>20</v>
      </c>
      <c r="C147" t="s">
        <v>16</v>
      </c>
      <c r="D147" s="9">
        <v>45761</v>
      </c>
      <c r="E147">
        <v>43</v>
      </c>
      <c r="F147" t="s">
        <v>7</v>
      </c>
      <c r="G147" t="s">
        <v>102</v>
      </c>
      <c r="H147">
        <v>4</v>
      </c>
      <c r="I147" t="s">
        <v>4</v>
      </c>
      <c r="J147" t="s">
        <v>88</v>
      </c>
      <c r="K147">
        <v>0</v>
      </c>
      <c r="L147">
        <v>1</v>
      </c>
      <c r="M147">
        <v>0</v>
      </c>
      <c r="N147">
        <v>1</v>
      </c>
    </row>
    <row r="148" spans="1:14">
      <c r="A148" t="s">
        <v>25</v>
      </c>
      <c r="B148" t="s">
        <v>20</v>
      </c>
      <c r="C148" t="s">
        <v>16</v>
      </c>
      <c r="D148" s="9">
        <v>45762</v>
      </c>
      <c r="E148">
        <v>44</v>
      </c>
      <c r="F148" t="s">
        <v>5</v>
      </c>
      <c r="G148" t="s">
        <v>102</v>
      </c>
      <c r="H148">
        <v>5</v>
      </c>
      <c r="I148" t="s">
        <v>4</v>
      </c>
      <c r="J148" t="s">
        <v>88</v>
      </c>
      <c r="K148">
        <v>0</v>
      </c>
      <c r="L148">
        <v>1</v>
      </c>
      <c r="M148">
        <v>0</v>
      </c>
      <c r="N148">
        <v>1</v>
      </c>
    </row>
    <row r="149" spans="1:14">
      <c r="A149" t="s">
        <v>25</v>
      </c>
      <c r="B149" t="s">
        <v>20</v>
      </c>
      <c r="C149" t="s">
        <v>16</v>
      </c>
      <c r="D149" s="9">
        <v>45762</v>
      </c>
      <c r="E149">
        <v>44</v>
      </c>
      <c r="F149" t="s">
        <v>4</v>
      </c>
      <c r="G149" t="s">
        <v>65</v>
      </c>
      <c r="H149">
        <v>7</v>
      </c>
      <c r="I149" t="s">
        <v>23</v>
      </c>
      <c r="J149" t="s">
        <v>89</v>
      </c>
      <c r="K149">
        <v>1</v>
      </c>
      <c r="L149">
        <v>0</v>
      </c>
      <c r="M149">
        <v>0</v>
      </c>
      <c r="N149">
        <v>1</v>
      </c>
    </row>
    <row r="150" spans="1:14">
      <c r="A150" t="s">
        <v>25</v>
      </c>
      <c r="B150" t="s">
        <v>20</v>
      </c>
      <c r="C150" t="s">
        <v>16</v>
      </c>
      <c r="D150" s="9">
        <v>45762</v>
      </c>
      <c r="E150">
        <v>44</v>
      </c>
      <c r="F150" t="s">
        <v>5</v>
      </c>
      <c r="G150" t="s">
        <v>65</v>
      </c>
      <c r="H150">
        <v>5</v>
      </c>
      <c r="I150" t="s">
        <v>23</v>
      </c>
      <c r="J150" t="s">
        <v>89</v>
      </c>
      <c r="K150">
        <v>1</v>
      </c>
      <c r="L150">
        <v>0</v>
      </c>
      <c r="M150">
        <v>0</v>
      </c>
      <c r="N150">
        <v>1</v>
      </c>
    </row>
    <row r="151" spans="1:14">
      <c r="A151" t="s">
        <v>25</v>
      </c>
      <c r="B151" t="s">
        <v>20</v>
      </c>
      <c r="C151" t="s">
        <v>16</v>
      </c>
      <c r="D151" s="9">
        <v>45762</v>
      </c>
      <c r="E151">
        <v>44</v>
      </c>
      <c r="F151" t="s">
        <v>23</v>
      </c>
      <c r="G151" t="s">
        <v>102</v>
      </c>
      <c r="H151">
        <v>2</v>
      </c>
      <c r="I151" t="s">
        <v>4</v>
      </c>
      <c r="J151" t="s">
        <v>88</v>
      </c>
      <c r="K151">
        <v>0</v>
      </c>
      <c r="L151">
        <v>1</v>
      </c>
      <c r="M151">
        <v>0</v>
      </c>
      <c r="N151">
        <v>1</v>
      </c>
    </row>
    <row r="152" spans="1:14">
      <c r="A152" t="s">
        <v>25</v>
      </c>
      <c r="B152" t="s">
        <v>20</v>
      </c>
      <c r="C152" t="s">
        <v>16</v>
      </c>
      <c r="D152" s="9">
        <v>45762</v>
      </c>
      <c r="E152">
        <v>44</v>
      </c>
      <c r="F152" t="s">
        <v>4</v>
      </c>
      <c r="G152" t="s">
        <v>65</v>
      </c>
      <c r="H152">
        <v>7</v>
      </c>
      <c r="I152" t="s">
        <v>5</v>
      </c>
      <c r="J152" t="s">
        <v>89</v>
      </c>
      <c r="K152">
        <v>1</v>
      </c>
      <c r="L152">
        <v>0</v>
      </c>
      <c r="M152">
        <v>0</v>
      </c>
      <c r="N152">
        <v>1</v>
      </c>
    </row>
    <row r="153" spans="1:14">
      <c r="A153" t="s">
        <v>25</v>
      </c>
      <c r="B153" t="s">
        <v>20</v>
      </c>
      <c r="C153" t="s">
        <v>16</v>
      </c>
      <c r="D153" s="9">
        <v>45762</v>
      </c>
      <c r="E153">
        <v>44</v>
      </c>
      <c r="F153" t="s">
        <v>23</v>
      </c>
      <c r="G153" t="s">
        <v>102</v>
      </c>
      <c r="H153">
        <v>2</v>
      </c>
      <c r="I153" t="s">
        <v>5</v>
      </c>
      <c r="J153" t="s">
        <v>88</v>
      </c>
      <c r="K153">
        <v>0</v>
      </c>
      <c r="L153">
        <v>1</v>
      </c>
      <c r="M153">
        <v>0</v>
      </c>
      <c r="N153">
        <v>1</v>
      </c>
    </row>
    <row r="154" spans="1:14">
      <c r="A154" t="s">
        <v>26</v>
      </c>
      <c r="B154" t="s">
        <v>20</v>
      </c>
      <c r="C154" t="s">
        <v>16</v>
      </c>
      <c r="D154" s="9">
        <v>45762</v>
      </c>
      <c r="E154">
        <v>45</v>
      </c>
      <c r="F154" t="s">
        <v>4</v>
      </c>
      <c r="G154" t="s">
        <v>102</v>
      </c>
      <c r="H154">
        <v>7</v>
      </c>
      <c r="I154" t="s">
        <v>5</v>
      </c>
      <c r="J154" t="s">
        <v>89</v>
      </c>
      <c r="K154">
        <v>1</v>
      </c>
      <c r="L154">
        <v>0</v>
      </c>
      <c r="M154">
        <v>0</v>
      </c>
      <c r="N154">
        <v>1</v>
      </c>
    </row>
    <row r="155" spans="1:14">
      <c r="A155" t="s">
        <v>26</v>
      </c>
      <c r="B155" t="s">
        <v>20</v>
      </c>
      <c r="C155" t="s">
        <v>16</v>
      </c>
      <c r="D155" s="9">
        <v>45762</v>
      </c>
      <c r="E155">
        <v>45</v>
      </c>
      <c r="F155" t="s">
        <v>5</v>
      </c>
      <c r="G155" t="s">
        <v>102</v>
      </c>
      <c r="H155">
        <v>1</v>
      </c>
      <c r="I155" t="s">
        <v>7</v>
      </c>
      <c r="J155" t="s">
        <v>89</v>
      </c>
      <c r="K155">
        <v>1</v>
      </c>
      <c r="L155">
        <v>0</v>
      </c>
      <c r="M155">
        <v>0</v>
      </c>
      <c r="N155">
        <v>1</v>
      </c>
    </row>
    <row r="156" spans="1:14">
      <c r="A156" t="s">
        <v>26</v>
      </c>
      <c r="B156" t="s">
        <v>20</v>
      </c>
      <c r="C156" t="s">
        <v>16</v>
      </c>
      <c r="D156" s="9">
        <v>45762</v>
      </c>
      <c r="E156">
        <v>45</v>
      </c>
      <c r="F156" t="s">
        <v>5</v>
      </c>
      <c r="G156" t="s">
        <v>65</v>
      </c>
      <c r="H156">
        <v>1</v>
      </c>
      <c r="I156" t="s">
        <v>4</v>
      </c>
      <c r="J156" t="s">
        <v>88</v>
      </c>
      <c r="K156">
        <v>0</v>
      </c>
      <c r="L156">
        <v>1</v>
      </c>
      <c r="M156">
        <v>0</v>
      </c>
      <c r="N156">
        <v>1</v>
      </c>
    </row>
    <row r="157" spans="1:14">
      <c r="A157" t="s">
        <v>26</v>
      </c>
      <c r="B157" t="s">
        <v>20</v>
      </c>
      <c r="C157" t="s">
        <v>16</v>
      </c>
      <c r="D157" s="9">
        <v>45762</v>
      </c>
      <c r="E157">
        <v>45</v>
      </c>
      <c r="F157" t="s">
        <v>7</v>
      </c>
      <c r="G157" t="s">
        <v>65</v>
      </c>
      <c r="H157">
        <v>0</v>
      </c>
      <c r="I157" t="s">
        <v>5</v>
      </c>
      <c r="J157" t="s">
        <v>88</v>
      </c>
      <c r="K157">
        <v>0</v>
      </c>
      <c r="L157">
        <v>1</v>
      </c>
      <c r="M157">
        <v>0</v>
      </c>
      <c r="N157">
        <v>1</v>
      </c>
    </row>
    <row r="158" spans="1:14">
      <c r="A158" t="s">
        <v>26</v>
      </c>
      <c r="B158" t="s">
        <v>20</v>
      </c>
      <c r="C158" t="s">
        <v>16</v>
      </c>
      <c r="D158" s="9">
        <v>45762</v>
      </c>
      <c r="E158">
        <v>45</v>
      </c>
      <c r="F158" t="s">
        <v>7</v>
      </c>
      <c r="G158" t="s">
        <v>65</v>
      </c>
      <c r="H158">
        <v>0</v>
      </c>
      <c r="I158" t="s">
        <v>4</v>
      </c>
      <c r="J158" t="s">
        <v>88</v>
      </c>
      <c r="K158">
        <v>0</v>
      </c>
      <c r="L158">
        <v>1</v>
      </c>
      <c r="M158">
        <v>0</v>
      </c>
      <c r="N158">
        <v>1</v>
      </c>
    </row>
    <row r="159" spans="1:14">
      <c r="A159" t="s">
        <v>26</v>
      </c>
      <c r="B159" t="s">
        <v>20</v>
      </c>
      <c r="C159" t="s">
        <v>16</v>
      </c>
      <c r="D159" s="9">
        <v>45762</v>
      </c>
      <c r="E159">
        <v>45</v>
      </c>
      <c r="F159" t="s">
        <v>4</v>
      </c>
      <c r="G159" t="s">
        <v>102</v>
      </c>
      <c r="H159">
        <v>7</v>
      </c>
      <c r="I159" t="s">
        <v>7</v>
      </c>
      <c r="J159" t="s">
        <v>89</v>
      </c>
      <c r="K159">
        <v>1</v>
      </c>
      <c r="L159">
        <v>0</v>
      </c>
      <c r="M159">
        <v>0</v>
      </c>
      <c r="N159">
        <v>1</v>
      </c>
    </row>
    <row r="160" spans="1:14">
      <c r="A160" t="s">
        <v>25</v>
      </c>
      <c r="B160" t="s">
        <v>19</v>
      </c>
      <c r="C160" t="s">
        <v>16</v>
      </c>
      <c r="D160" s="9">
        <v>45762</v>
      </c>
      <c r="E160">
        <v>46</v>
      </c>
      <c r="F160" t="s">
        <v>4</v>
      </c>
      <c r="G160" t="s">
        <v>65</v>
      </c>
      <c r="H160">
        <v>10</v>
      </c>
      <c r="I160" t="s">
        <v>5</v>
      </c>
      <c r="J160" t="s">
        <v>89</v>
      </c>
      <c r="K160">
        <v>1</v>
      </c>
      <c r="L160">
        <v>0</v>
      </c>
      <c r="M160">
        <v>0</v>
      </c>
      <c r="N160">
        <v>1</v>
      </c>
    </row>
    <row r="161" spans="1:14">
      <c r="A161" t="s">
        <v>25</v>
      </c>
      <c r="B161" t="s">
        <v>19</v>
      </c>
      <c r="C161" t="s">
        <v>16</v>
      </c>
      <c r="D161" s="9">
        <v>45762</v>
      </c>
      <c r="E161">
        <v>46</v>
      </c>
      <c r="F161" t="s">
        <v>5</v>
      </c>
      <c r="G161" t="s">
        <v>102</v>
      </c>
      <c r="H161">
        <v>2</v>
      </c>
      <c r="I161" t="s">
        <v>4</v>
      </c>
      <c r="J161" t="s">
        <v>88</v>
      </c>
      <c r="K161">
        <v>0</v>
      </c>
      <c r="L161">
        <v>1</v>
      </c>
      <c r="M161">
        <v>0</v>
      </c>
      <c r="N161">
        <v>1</v>
      </c>
    </row>
    <row r="162" spans="1:14">
      <c r="A162" t="s">
        <v>25</v>
      </c>
      <c r="B162" t="s">
        <v>20</v>
      </c>
      <c r="C162" t="s">
        <v>16</v>
      </c>
      <c r="D162" s="9">
        <v>45762</v>
      </c>
      <c r="E162">
        <v>47</v>
      </c>
      <c r="F162" t="s">
        <v>5</v>
      </c>
      <c r="G162" t="s">
        <v>65</v>
      </c>
      <c r="H162">
        <v>3</v>
      </c>
      <c r="I162" t="s">
        <v>7</v>
      </c>
      <c r="J162" t="s">
        <v>89</v>
      </c>
      <c r="K162">
        <v>1</v>
      </c>
      <c r="L162">
        <v>0</v>
      </c>
      <c r="M162">
        <v>0</v>
      </c>
      <c r="N162">
        <v>1</v>
      </c>
    </row>
    <row r="163" spans="1:14">
      <c r="A163" t="s">
        <v>25</v>
      </c>
      <c r="B163" t="s">
        <v>20</v>
      </c>
      <c r="C163" t="s">
        <v>16</v>
      </c>
      <c r="D163" s="9">
        <v>45762</v>
      </c>
      <c r="E163">
        <v>47</v>
      </c>
      <c r="F163" t="s">
        <v>7</v>
      </c>
      <c r="G163" t="s">
        <v>102</v>
      </c>
      <c r="H163">
        <v>1</v>
      </c>
      <c r="I163" t="s">
        <v>5</v>
      </c>
      <c r="J163" t="s">
        <v>88</v>
      </c>
      <c r="K163">
        <v>0</v>
      </c>
      <c r="L163">
        <v>1</v>
      </c>
      <c r="M163">
        <v>0</v>
      </c>
      <c r="N163">
        <v>1</v>
      </c>
    </row>
    <row r="164" spans="1:14">
      <c r="A164" t="s">
        <v>25</v>
      </c>
      <c r="B164" t="s">
        <v>21</v>
      </c>
      <c r="C164" t="s">
        <v>16</v>
      </c>
      <c r="D164" s="9">
        <v>45763</v>
      </c>
      <c r="E164">
        <v>48</v>
      </c>
      <c r="F164" t="s">
        <v>4</v>
      </c>
      <c r="G164" t="s">
        <v>102</v>
      </c>
      <c r="H164">
        <v>3</v>
      </c>
      <c r="I164" t="s">
        <v>5</v>
      </c>
      <c r="J164" t="s">
        <v>88</v>
      </c>
      <c r="K164">
        <v>0</v>
      </c>
      <c r="L164">
        <v>1</v>
      </c>
      <c r="M164">
        <v>0</v>
      </c>
      <c r="N164">
        <v>1</v>
      </c>
    </row>
    <row r="165" spans="1:14">
      <c r="A165" t="s">
        <v>25</v>
      </c>
      <c r="B165" t="s">
        <v>21</v>
      </c>
      <c r="C165" t="s">
        <v>16</v>
      </c>
      <c r="D165" s="9">
        <v>45763</v>
      </c>
      <c r="E165">
        <v>48</v>
      </c>
      <c r="F165" t="s">
        <v>5</v>
      </c>
      <c r="G165" t="s">
        <v>65</v>
      </c>
      <c r="H165">
        <v>4</v>
      </c>
      <c r="I165" t="s">
        <v>4</v>
      </c>
      <c r="J165" t="s">
        <v>89</v>
      </c>
      <c r="K165">
        <v>1</v>
      </c>
      <c r="L165">
        <v>0</v>
      </c>
      <c r="M165">
        <v>0</v>
      </c>
      <c r="N165">
        <v>1</v>
      </c>
    </row>
    <row r="166" spans="1:14">
      <c r="A166" t="s">
        <v>25</v>
      </c>
      <c r="B166" t="s">
        <v>19</v>
      </c>
      <c r="C166" t="s">
        <v>16</v>
      </c>
      <c r="D166" s="9">
        <v>45763</v>
      </c>
      <c r="E166">
        <v>49</v>
      </c>
      <c r="F166" t="s">
        <v>4</v>
      </c>
      <c r="G166" t="s">
        <v>65</v>
      </c>
      <c r="H166">
        <v>7</v>
      </c>
      <c r="I166" t="s">
        <v>5</v>
      </c>
      <c r="J166" t="s">
        <v>89</v>
      </c>
      <c r="K166">
        <v>1</v>
      </c>
      <c r="L166">
        <v>0</v>
      </c>
      <c r="M166">
        <v>0</v>
      </c>
      <c r="N166">
        <v>1</v>
      </c>
    </row>
    <row r="167" spans="1:14">
      <c r="A167" t="s">
        <v>25</v>
      </c>
      <c r="B167" t="s">
        <v>19</v>
      </c>
      <c r="C167" t="s">
        <v>16</v>
      </c>
      <c r="D167" s="9">
        <v>45763</v>
      </c>
      <c r="E167">
        <v>49</v>
      </c>
      <c r="F167" t="s">
        <v>5</v>
      </c>
      <c r="G167" t="s">
        <v>102</v>
      </c>
      <c r="H167">
        <v>4</v>
      </c>
      <c r="I167" t="s">
        <v>4</v>
      </c>
      <c r="J167" t="s">
        <v>88</v>
      </c>
      <c r="K167">
        <v>0</v>
      </c>
      <c r="L167">
        <v>1</v>
      </c>
      <c r="M167">
        <v>0</v>
      </c>
      <c r="N167">
        <v>1</v>
      </c>
    </row>
    <row r="168" spans="1:14">
      <c r="A168" t="s">
        <v>25</v>
      </c>
      <c r="B168" t="s">
        <v>20</v>
      </c>
      <c r="C168" t="s">
        <v>16</v>
      </c>
      <c r="D168" s="9">
        <v>45763</v>
      </c>
      <c r="E168">
        <v>50</v>
      </c>
      <c r="F168" t="s">
        <v>5</v>
      </c>
      <c r="G168" t="s">
        <v>102</v>
      </c>
      <c r="H168">
        <v>5</v>
      </c>
      <c r="I168" t="s">
        <v>4</v>
      </c>
      <c r="J168" t="s">
        <v>89</v>
      </c>
      <c r="K168">
        <v>1</v>
      </c>
      <c r="L168">
        <v>0</v>
      </c>
      <c r="M168">
        <v>0</v>
      </c>
      <c r="N168">
        <v>1</v>
      </c>
    </row>
    <row r="169" spans="1:14">
      <c r="A169" t="s">
        <v>25</v>
      </c>
      <c r="B169" t="s">
        <v>20</v>
      </c>
      <c r="C169" t="s">
        <v>16</v>
      </c>
      <c r="D169" s="9">
        <v>45763</v>
      </c>
      <c r="E169">
        <v>50</v>
      </c>
      <c r="F169" t="s">
        <v>4</v>
      </c>
      <c r="G169" t="s">
        <v>65</v>
      </c>
      <c r="H169">
        <v>3</v>
      </c>
      <c r="I169" t="s">
        <v>5</v>
      </c>
      <c r="J169" t="s">
        <v>88</v>
      </c>
      <c r="K169">
        <v>0</v>
      </c>
      <c r="L169">
        <v>1</v>
      </c>
      <c r="M169">
        <v>0</v>
      </c>
      <c r="N169">
        <v>1</v>
      </c>
    </row>
    <row r="170" spans="1:14">
      <c r="A170" t="s">
        <v>25</v>
      </c>
      <c r="B170" t="s">
        <v>20</v>
      </c>
      <c r="C170" t="s">
        <v>16</v>
      </c>
      <c r="D170" s="9">
        <v>45763</v>
      </c>
      <c r="E170">
        <v>51</v>
      </c>
      <c r="F170" t="s">
        <v>4</v>
      </c>
      <c r="G170" t="s">
        <v>102</v>
      </c>
      <c r="H170">
        <v>6</v>
      </c>
      <c r="I170" t="s">
        <v>5</v>
      </c>
      <c r="J170" t="s">
        <v>88</v>
      </c>
      <c r="K170">
        <v>0</v>
      </c>
      <c r="L170">
        <v>1</v>
      </c>
      <c r="M170">
        <v>0</v>
      </c>
      <c r="N170">
        <v>1</v>
      </c>
    </row>
    <row r="171" spans="1:14">
      <c r="A171" t="s">
        <v>25</v>
      </c>
      <c r="B171" t="s">
        <v>20</v>
      </c>
      <c r="C171" t="s">
        <v>16</v>
      </c>
      <c r="D171" s="9">
        <v>45763</v>
      </c>
      <c r="E171">
        <v>51</v>
      </c>
      <c r="F171" t="s">
        <v>5</v>
      </c>
      <c r="G171" t="s">
        <v>65</v>
      </c>
      <c r="H171">
        <v>7</v>
      </c>
      <c r="I171" t="s">
        <v>4</v>
      </c>
      <c r="J171" t="s">
        <v>89</v>
      </c>
      <c r="K171">
        <v>1</v>
      </c>
      <c r="L171">
        <v>0</v>
      </c>
      <c r="M171">
        <v>0</v>
      </c>
      <c r="N171">
        <v>1</v>
      </c>
    </row>
    <row r="172" spans="1:14">
      <c r="A172" t="s">
        <v>25</v>
      </c>
      <c r="B172" t="s">
        <v>20</v>
      </c>
      <c r="C172" t="s">
        <v>16</v>
      </c>
      <c r="D172" s="9">
        <v>45763</v>
      </c>
      <c r="E172">
        <v>52</v>
      </c>
      <c r="F172" t="s">
        <v>5</v>
      </c>
      <c r="G172" t="s">
        <v>102</v>
      </c>
      <c r="H172">
        <v>5</v>
      </c>
      <c r="I172" t="s">
        <v>4</v>
      </c>
      <c r="J172" t="s">
        <v>88</v>
      </c>
      <c r="K172">
        <v>0</v>
      </c>
      <c r="L172">
        <v>1</v>
      </c>
      <c r="M172">
        <v>0</v>
      </c>
      <c r="N172">
        <v>1</v>
      </c>
    </row>
    <row r="173" spans="1:14">
      <c r="A173" t="s">
        <v>25</v>
      </c>
      <c r="B173" t="s">
        <v>20</v>
      </c>
      <c r="C173" t="s">
        <v>16</v>
      </c>
      <c r="D173" s="9">
        <v>45763</v>
      </c>
      <c r="E173">
        <v>52</v>
      </c>
      <c r="F173" t="s">
        <v>4</v>
      </c>
      <c r="G173" t="s">
        <v>65</v>
      </c>
      <c r="H173">
        <v>10</v>
      </c>
      <c r="I173" t="s">
        <v>5</v>
      </c>
      <c r="J173" t="s">
        <v>89</v>
      </c>
      <c r="K173">
        <v>1</v>
      </c>
      <c r="L173">
        <v>0</v>
      </c>
      <c r="M173">
        <v>0</v>
      </c>
      <c r="N173">
        <v>1</v>
      </c>
    </row>
    <row r="174" spans="1:14">
      <c r="A174" t="s">
        <v>25</v>
      </c>
      <c r="B174" t="s">
        <v>20</v>
      </c>
      <c r="C174" t="s">
        <v>16</v>
      </c>
      <c r="D174" s="9">
        <v>45764</v>
      </c>
      <c r="E174">
        <v>53</v>
      </c>
      <c r="F174" t="s">
        <v>4</v>
      </c>
      <c r="G174" t="s">
        <v>65</v>
      </c>
      <c r="H174">
        <v>10</v>
      </c>
      <c r="I174" t="s">
        <v>5</v>
      </c>
      <c r="J174" t="s">
        <v>89</v>
      </c>
      <c r="K174">
        <v>1</v>
      </c>
      <c r="L174">
        <v>0</v>
      </c>
      <c r="M174">
        <v>0</v>
      </c>
      <c r="N174">
        <v>1</v>
      </c>
    </row>
    <row r="175" spans="1:14">
      <c r="A175" t="s">
        <v>25</v>
      </c>
      <c r="B175" t="s">
        <v>20</v>
      </c>
      <c r="C175" t="s">
        <v>16</v>
      </c>
      <c r="D175" s="9">
        <v>45764</v>
      </c>
      <c r="E175">
        <v>53</v>
      </c>
      <c r="F175" t="s">
        <v>5</v>
      </c>
      <c r="G175" t="s">
        <v>102</v>
      </c>
      <c r="H175">
        <v>0</v>
      </c>
      <c r="I175" t="s">
        <v>4</v>
      </c>
      <c r="J175" t="s">
        <v>88</v>
      </c>
      <c r="K175">
        <v>0</v>
      </c>
      <c r="L175">
        <v>1</v>
      </c>
      <c r="M175">
        <v>0</v>
      </c>
      <c r="N175">
        <v>1</v>
      </c>
    </row>
    <row r="176" spans="1:14">
      <c r="A176" t="s">
        <v>25</v>
      </c>
      <c r="B176" t="s">
        <v>21</v>
      </c>
      <c r="C176" t="s">
        <v>16</v>
      </c>
      <c r="D176" s="9">
        <v>45764</v>
      </c>
      <c r="E176">
        <v>54</v>
      </c>
      <c r="F176" t="s">
        <v>7</v>
      </c>
      <c r="G176" t="s">
        <v>65</v>
      </c>
      <c r="H176">
        <v>3</v>
      </c>
      <c r="I176" t="s">
        <v>29</v>
      </c>
      <c r="J176" t="s">
        <v>89</v>
      </c>
      <c r="K176">
        <v>1</v>
      </c>
      <c r="L176">
        <v>0</v>
      </c>
      <c r="M176">
        <v>0</v>
      </c>
      <c r="N176">
        <v>1</v>
      </c>
    </row>
    <row r="177" spans="1:14">
      <c r="A177" t="s">
        <v>25</v>
      </c>
      <c r="B177" t="s">
        <v>21</v>
      </c>
      <c r="C177" t="s">
        <v>16</v>
      </c>
      <c r="D177" s="9">
        <v>45764</v>
      </c>
      <c r="E177">
        <v>54</v>
      </c>
      <c r="F177" t="s">
        <v>6</v>
      </c>
      <c r="G177" t="s">
        <v>65</v>
      </c>
      <c r="H177">
        <v>0</v>
      </c>
      <c r="I177" t="s">
        <v>7</v>
      </c>
      <c r="J177" t="s">
        <v>88</v>
      </c>
      <c r="K177">
        <v>0</v>
      </c>
      <c r="L177">
        <v>1</v>
      </c>
      <c r="M177">
        <v>0</v>
      </c>
      <c r="N177">
        <v>1</v>
      </c>
    </row>
    <row r="178" spans="1:14">
      <c r="A178" t="s">
        <v>25</v>
      </c>
      <c r="B178" t="s">
        <v>21</v>
      </c>
      <c r="C178" t="s">
        <v>16</v>
      </c>
      <c r="D178" s="9">
        <v>45764</v>
      </c>
      <c r="E178">
        <v>54</v>
      </c>
      <c r="F178" t="s">
        <v>6</v>
      </c>
      <c r="G178" t="s">
        <v>65</v>
      </c>
      <c r="H178">
        <v>0</v>
      </c>
      <c r="I178" t="s">
        <v>5</v>
      </c>
      <c r="J178" t="s">
        <v>88</v>
      </c>
      <c r="K178">
        <v>0</v>
      </c>
      <c r="L178">
        <v>1</v>
      </c>
      <c r="M178">
        <v>0</v>
      </c>
      <c r="N178">
        <v>1</v>
      </c>
    </row>
    <row r="179" spans="1:14">
      <c r="A179" t="s">
        <v>25</v>
      </c>
      <c r="B179" t="s">
        <v>21</v>
      </c>
      <c r="C179" t="s">
        <v>16</v>
      </c>
      <c r="D179" s="9">
        <v>45764</v>
      </c>
      <c r="E179">
        <v>54</v>
      </c>
      <c r="F179" t="s">
        <v>5</v>
      </c>
      <c r="G179" t="s">
        <v>65</v>
      </c>
      <c r="H179">
        <v>3</v>
      </c>
      <c r="I179" t="s">
        <v>4</v>
      </c>
      <c r="J179" t="s">
        <v>88</v>
      </c>
      <c r="K179">
        <v>0</v>
      </c>
      <c r="L179">
        <v>1</v>
      </c>
      <c r="M179">
        <v>0</v>
      </c>
      <c r="N179">
        <v>1</v>
      </c>
    </row>
    <row r="180" spans="1:14">
      <c r="A180" t="s">
        <v>25</v>
      </c>
      <c r="B180" t="s">
        <v>21</v>
      </c>
      <c r="C180" t="s">
        <v>16</v>
      </c>
      <c r="D180" s="9">
        <v>45764</v>
      </c>
      <c r="E180">
        <v>54</v>
      </c>
      <c r="F180" t="s">
        <v>6</v>
      </c>
      <c r="G180" t="s">
        <v>65</v>
      </c>
      <c r="H180">
        <v>0</v>
      </c>
      <c r="I180" t="s">
        <v>4</v>
      </c>
      <c r="J180" t="s">
        <v>88</v>
      </c>
      <c r="K180">
        <v>0</v>
      </c>
      <c r="L180">
        <v>1</v>
      </c>
      <c r="M180">
        <v>0</v>
      </c>
      <c r="N180">
        <v>1</v>
      </c>
    </row>
    <row r="181" spans="1:14">
      <c r="A181" t="s">
        <v>25</v>
      </c>
      <c r="B181" t="s">
        <v>21</v>
      </c>
      <c r="C181" t="s">
        <v>16</v>
      </c>
      <c r="D181" s="9">
        <v>45764</v>
      </c>
      <c r="E181">
        <v>54</v>
      </c>
      <c r="F181" t="s">
        <v>29</v>
      </c>
      <c r="G181" t="s">
        <v>102</v>
      </c>
      <c r="H181">
        <v>1</v>
      </c>
      <c r="I181" t="s">
        <v>7</v>
      </c>
      <c r="J181" t="s">
        <v>88</v>
      </c>
      <c r="K181">
        <v>0</v>
      </c>
      <c r="L181">
        <v>1</v>
      </c>
      <c r="M181">
        <v>0</v>
      </c>
      <c r="N181">
        <v>1</v>
      </c>
    </row>
    <row r="182" spans="1:14">
      <c r="A182" t="s">
        <v>25</v>
      </c>
      <c r="B182" t="s">
        <v>21</v>
      </c>
      <c r="C182" t="s">
        <v>16</v>
      </c>
      <c r="D182" s="9">
        <v>45764</v>
      </c>
      <c r="E182">
        <v>54</v>
      </c>
      <c r="F182" t="s">
        <v>29</v>
      </c>
      <c r="G182" t="s">
        <v>102</v>
      </c>
      <c r="H182">
        <v>1</v>
      </c>
      <c r="I182" t="s">
        <v>6</v>
      </c>
      <c r="J182" t="s">
        <v>89</v>
      </c>
      <c r="K182">
        <v>1</v>
      </c>
      <c r="L182">
        <v>0</v>
      </c>
      <c r="M182">
        <v>0</v>
      </c>
      <c r="N182">
        <v>1</v>
      </c>
    </row>
    <row r="183" spans="1:14">
      <c r="A183" t="s">
        <v>25</v>
      </c>
      <c r="B183" t="s">
        <v>21</v>
      </c>
      <c r="C183" t="s">
        <v>16</v>
      </c>
      <c r="D183" s="9">
        <v>45764</v>
      </c>
      <c r="E183">
        <v>54</v>
      </c>
      <c r="F183" t="s">
        <v>29</v>
      </c>
      <c r="G183" t="s">
        <v>102</v>
      </c>
      <c r="H183">
        <v>1</v>
      </c>
      <c r="I183" t="s">
        <v>5</v>
      </c>
      <c r="J183" t="s">
        <v>88</v>
      </c>
      <c r="K183">
        <v>0</v>
      </c>
      <c r="L183">
        <v>1</v>
      </c>
      <c r="M183">
        <v>0</v>
      </c>
      <c r="N183">
        <v>1</v>
      </c>
    </row>
    <row r="184" spans="1:14">
      <c r="A184" t="s">
        <v>25</v>
      </c>
      <c r="B184" t="s">
        <v>21</v>
      </c>
      <c r="C184" t="s">
        <v>16</v>
      </c>
      <c r="D184" s="9">
        <v>45764</v>
      </c>
      <c r="E184">
        <v>54</v>
      </c>
      <c r="F184" t="s">
        <v>29</v>
      </c>
      <c r="G184" t="s">
        <v>102</v>
      </c>
      <c r="H184">
        <v>1</v>
      </c>
      <c r="I184" t="s">
        <v>4</v>
      </c>
      <c r="J184" t="s">
        <v>88</v>
      </c>
      <c r="K184">
        <v>0</v>
      </c>
      <c r="L184">
        <v>1</v>
      </c>
      <c r="M184">
        <v>0</v>
      </c>
      <c r="N184">
        <v>1</v>
      </c>
    </row>
    <row r="185" spans="1:14">
      <c r="A185" t="s">
        <v>25</v>
      </c>
      <c r="B185" t="s">
        <v>21</v>
      </c>
      <c r="C185" t="s">
        <v>16</v>
      </c>
      <c r="D185" s="9">
        <v>45764</v>
      </c>
      <c r="E185">
        <v>54</v>
      </c>
      <c r="F185" t="s">
        <v>5</v>
      </c>
      <c r="G185" t="s">
        <v>65</v>
      </c>
      <c r="H185">
        <v>3</v>
      </c>
      <c r="I185" t="s">
        <v>29</v>
      </c>
      <c r="J185" t="s">
        <v>89</v>
      </c>
      <c r="K185">
        <v>1</v>
      </c>
      <c r="L185">
        <v>0</v>
      </c>
      <c r="M185">
        <v>0</v>
      </c>
      <c r="N185">
        <v>1</v>
      </c>
    </row>
    <row r="186" spans="1:14">
      <c r="A186" t="s">
        <v>25</v>
      </c>
      <c r="B186" t="s">
        <v>21</v>
      </c>
      <c r="C186" t="s">
        <v>16</v>
      </c>
      <c r="D186" s="9">
        <v>45764</v>
      </c>
      <c r="E186">
        <v>54</v>
      </c>
      <c r="F186" t="s">
        <v>5</v>
      </c>
      <c r="G186" t="s">
        <v>65</v>
      </c>
      <c r="H186">
        <v>3</v>
      </c>
      <c r="I186" t="s">
        <v>7</v>
      </c>
      <c r="J186" t="s">
        <v>87</v>
      </c>
      <c r="K186">
        <v>0</v>
      </c>
      <c r="L186">
        <v>0</v>
      </c>
      <c r="M186">
        <v>1</v>
      </c>
      <c r="N186">
        <v>1</v>
      </c>
    </row>
    <row r="187" spans="1:14">
      <c r="A187" t="s">
        <v>25</v>
      </c>
      <c r="B187" t="s">
        <v>21</v>
      </c>
      <c r="C187" t="s">
        <v>16</v>
      </c>
      <c r="D187" s="9">
        <v>45764</v>
      </c>
      <c r="E187">
        <v>54</v>
      </c>
      <c r="F187" t="s">
        <v>5</v>
      </c>
      <c r="G187" t="s">
        <v>102</v>
      </c>
      <c r="H187">
        <v>3</v>
      </c>
      <c r="I187" t="s">
        <v>6</v>
      </c>
      <c r="J187" t="s">
        <v>89</v>
      </c>
      <c r="K187">
        <v>1</v>
      </c>
      <c r="L187">
        <v>0</v>
      </c>
      <c r="M187">
        <v>0</v>
      </c>
      <c r="N187">
        <v>1</v>
      </c>
    </row>
    <row r="188" spans="1:14">
      <c r="A188" t="s">
        <v>25</v>
      </c>
      <c r="B188" t="s">
        <v>21</v>
      </c>
      <c r="C188" t="s">
        <v>16</v>
      </c>
      <c r="D188" s="9">
        <v>45764</v>
      </c>
      <c r="E188">
        <v>54</v>
      </c>
      <c r="F188" t="s">
        <v>6</v>
      </c>
      <c r="G188" t="s">
        <v>65</v>
      </c>
      <c r="H188">
        <v>0</v>
      </c>
      <c r="I188" t="s">
        <v>29</v>
      </c>
      <c r="J188" t="s">
        <v>88</v>
      </c>
      <c r="K188">
        <v>0</v>
      </c>
      <c r="L188">
        <v>1</v>
      </c>
      <c r="M188">
        <v>0</v>
      </c>
      <c r="N188">
        <v>1</v>
      </c>
    </row>
    <row r="189" spans="1:14">
      <c r="A189" t="s">
        <v>25</v>
      </c>
      <c r="B189" t="s">
        <v>21</v>
      </c>
      <c r="C189" t="s">
        <v>16</v>
      </c>
      <c r="D189" s="9">
        <v>45764</v>
      </c>
      <c r="E189">
        <v>54</v>
      </c>
      <c r="F189" t="s">
        <v>4</v>
      </c>
      <c r="G189" t="s">
        <v>102</v>
      </c>
      <c r="H189">
        <v>6</v>
      </c>
      <c r="I189" t="s">
        <v>6</v>
      </c>
      <c r="J189" t="s">
        <v>89</v>
      </c>
      <c r="K189">
        <v>1</v>
      </c>
      <c r="L189">
        <v>0</v>
      </c>
      <c r="M189">
        <v>0</v>
      </c>
      <c r="N189">
        <v>1</v>
      </c>
    </row>
    <row r="190" spans="1:14">
      <c r="A190" t="s">
        <v>25</v>
      </c>
      <c r="B190" t="s">
        <v>21</v>
      </c>
      <c r="C190" t="s">
        <v>16</v>
      </c>
      <c r="D190" s="9">
        <v>45764</v>
      </c>
      <c r="E190">
        <v>54</v>
      </c>
      <c r="F190" t="s">
        <v>7</v>
      </c>
      <c r="G190" t="s">
        <v>102</v>
      </c>
      <c r="H190">
        <v>3</v>
      </c>
      <c r="I190" t="s">
        <v>6</v>
      </c>
      <c r="J190" t="s">
        <v>89</v>
      </c>
      <c r="K190">
        <v>1</v>
      </c>
      <c r="L190">
        <v>0</v>
      </c>
      <c r="M190">
        <v>0</v>
      </c>
      <c r="N190">
        <v>1</v>
      </c>
    </row>
    <row r="191" spans="1:14">
      <c r="A191" t="s">
        <v>25</v>
      </c>
      <c r="B191" t="s">
        <v>21</v>
      </c>
      <c r="C191" t="s">
        <v>16</v>
      </c>
      <c r="D191" s="9">
        <v>45764</v>
      </c>
      <c r="E191">
        <v>54</v>
      </c>
      <c r="F191" t="s">
        <v>7</v>
      </c>
      <c r="G191" t="s">
        <v>102</v>
      </c>
      <c r="H191">
        <v>3</v>
      </c>
      <c r="I191" t="s">
        <v>5</v>
      </c>
      <c r="J191" t="s">
        <v>87</v>
      </c>
      <c r="K191">
        <v>0</v>
      </c>
      <c r="L191">
        <v>0</v>
      </c>
      <c r="M191">
        <v>1</v>
      </c>
      <c r="N191">
        <v>1</v>
      </c>
    </row>
    <row r="192" spans="1:14">
      <c r="A192" t="s">
        <v>25</v>
      </c>
      <c r="B192" t="s">
        <v>21</v>
      </c>
      <c r="C192" t="s">
        <v>16</v>
      </c>
      <c r="D192" s="9">
        <v>45764</v>
      </c>
      <c r="E192">
        <v>54</v>
      </c>
      <c r="F192" t="s">
        <v>4</v>
      </c>
      <c r="G192" t="s">
        <v>102</v>
      </c>
      <c r="H192">
        <v>6</v>
      </c>
      <c r="I192" t="s">
        <v>5</v>
      </c>
      <c r="J192" t="s">
        <v>89</v>
      </c>
      <c r="K192">
        <v>1</v>
      </c>
      <c r="L192">
        <v>0</v>
      </c>
      <c r="M192">
        <v>0</v>
      </c>
      <c r="N192">
        <v>1</v>
      </c>
    </row>
    <row r="193" spans="1:14">
      <c r="A193" t="s">
        <v>25</v>
      </c>
      <c r="B193" t="s">
        <v>21</v>
      </c>
      <c r="C193" t="s">
        <v>16</v>
      </c>
      <c r="D193" s="9">
        <v>45764</v>
      </c>
      <c r="E193">
        <v>54</v>
      </c>
      <c r="F193" t="s">
        <v>4</v>
      </c>
      <c r="G193" t="s">
        <v>65</v>
      </c>
      <c r="H193">
        <v>6</v>
      </c>
      <c r="I193" t="s">
        <v>7</v>
      </c>
      <c r="J193" t="s">
        <v>89</v>
      </c>
      <c r="K193">
        <v>1</v>
      </c>
      <c r="L193">
        <v>0</v>
      </c>
      <c r="M193">
        <v>0</v>
      </c>
      <c r="N193">
        <v>1</v>
      </c>
    </row>
    <row r="194" spans="1:14">
      <c r="A194" t="s">
        <v>25</v>
      </c>
      <c r="B194" t="s">
        <v>21</v>
      </c>
      <c r="C194" t="s">
        <v>16</v>
      </c>
      <c r="D194" s="9">
        <v>45764</v>
      </c>
      <c r="E194">
        <v>54</v>
      </c>
      <c r="F194" t="s">
        <v>4</v>
      </c>
      <c r="G194" t="s">
        <v>65</v>
      </c>
      <c r="H194">
        <v>6</v>
      </c>
      <c r="I194" t="s">
        <v>29</v>
      </c>
      <c r="J194" t="s">
        <v>89</v>
      </c>
      <c r="K194">
        <v>1</v>
      </c>
      <c r="L194">
        <v>0</v>
      </c>
      <c r="M194">
        <v>0</v>
      </c>
      <c r="N194">
        <v>1</v>
      </c>
    </row>
    <row r="195" spans="1:14">
      <c r="A195" t="s">
        <v>25</v>
      </c>
      <c r="B195" t="s">
        <v>21</v>
      </c>
      <c r="C195" t="s">
        <v>16</v>
      </c>
      <c r="D195" s="9">
        <v>45764</v>
      </c>
      <c r="E195">
        <v>54</v>
      </c>
      <c r="F195" t="s">
        <v>7</v>
      </c>
      <c r="G195" t="s">
        <v>102</v>
      </c>
      <c r="H195">
        <v>3</v>
      </c>
      <c r="I195" t="s">
        <v>4</v>
      </c>
      <c r="J195" t="s">
        <v>88</v>
      </c>
      <c r="K195">
        <v>0</v>
      </c>
      <c r="L195">
        <v>1</v>
      </c>
      <c r="M195">
        <v>0</v>
      </c>
      <c r="N195">
        <v>1</v>
      </c>
    </row>
    <row r="196" spans="1:14">
      <c r="A196" t="s">
        <v>25</v>
      </c>
      <c r="B196" t="s">
        <v>20</v>
      </c>
      <c r="C196" t="s">
        <v>16</v>
      </c>
      <c r="D196" s="9">
        <v>45765</v>
      </c>
      <c r="E196">
        <v>55</v>
      </c>
      <c r="F196" t="s">
        <v>4</v>
      </c>
      <c r="G196" t="s">
        <v>65</v>
      </c>
      <c r="H196">
        <v>9</v>
      </c>
      <c r="I196" t="s">
        <v>5</v>
      </c>
      <c r="J196" t="s">
        <v>89</v>
      </c>
      <c r="K196">
        <v>1</v>
      </c>
      <c r="L196">
        <v>0</v>
      </c>
      <c r="M196">
        <v>0</v>
      </c>
      <c r="N196">
        <v>1</v>
      </c>
    </row>
    <row r="197" spans="1:14">
      <c r="A197" t="s">
        <v>25</v>
      </c>
      <c r="B197" t="s">
        <v>20</v>
      </c>
      <c r="C197" t="s">
        <v>16</v>
      </c>
      <c r="D197" s="9">
        <v>45765</v>
      </c>
      <c r="E197">
        <v>55</v>
      </c>
      <c r="F197" t="s">
        <v>5</v>
      </c>
      <c r="G197" t="s">
        <v>102</v>
      </c>
      <c r="H197">
        <v>7</v>
      </c>
      <c r="I197" t="s">
        <v>4</v>
      </c>
      <c r="J197" t="s">
        <v>88</v>
      </c>
      <c r="K197">
        <v>0</v>
      </c>
      <c r="L197">
        <v>1</v>
      </c>
      <c r="M197">
        <v>0</v>
      </c>
      <c r="N197">
        <v>1</v>
      </c>
    </row>
    <row r="198" spans="1:14">
      <c r="A198" t="s">
        <v>25</v>
      </c>
      <c r="B198" t="s">
        <v>19</v>
      </c>
      <c r="C198" t="s">
        <v>16</v>
      </c>
      <c r="D198" s="9">
        <v>45765</v>
      </c>
      <c r="E198">
        <v>56</v>
      </c>
      <c r="F198" t="s">
        <v>4</v>
      </c>
      <c r="G198" t="s">
        <v>65</v>
      </c>
      <c r="H198">
        <v>10</v>
      </c>
      <c r="I198" t="s">
        <v>5</v>
      </c>
      <c r="J198" t="s">
        <v>89</v>
      </c>
      <c r="K198">
        <v>1</v>
      </c>
      <c r="L198">
        <v>0</v>
      </c>
      <c r="M198">
        <v>0</v>
      </c>
      <c r="N198">
        <v>1</v>
      </c>
    </row>
    <row r="199" spans="1:14">
      <c r="A199" t="s">
        <v>25</v>
      </c>
      <c r="B199" t="s">
        <v>19</v>
      </c>
      <c r="C199" t="s">
        <v>16</v>
      </c>
      <c r="D199" s="9">
        <v>45765</v>
      </c>
      <c r="E199">
        <v>56</v>
      </c>
      <c r="F199" t="s">
        <v>5</v>
      </c>
      <c r="G199" t="s">
        <v>102</v>
      </c>
      <c r="H199">
        <v>3</v>
      </c>
      <c r="I199" t="s">
        <v>4</v>
      </c>
      <c r="J199" t="s">
        <v>88</v>
      </c>
      <c r="K199">
        <v>0</v>
      </c>
      <c r="L199">
        <v>1</v>
      </c>
      <c r="M199">
        <v>0</v>
      </c>
      <c r="N199">
        <v>1</v>
      </c>
    </row>
    <row r="200" spans="1:14">
      <c r="A200" t="s">
        <v>25</v>
      </c>
      <c r="B200" t="s">
        <v>20</v>
      </c>
      <c r="C200" t="s">
        <v>16</v>
      </c>
      <c r="D200" s="9">
        <v>45768</v>
      </c>
      <c r="E200">
        <v>57</v>
      </c>
      <c r="F200" t="s">
        <v>31</v>
      </c>
      <c r="G200" t="s">
        <v>102</v>
      </c>
      <c r="H200">
        <v>0</v>
      </c>
      <c r="I200" t="s">
        <v>5</v>
      </c>
      <c r="J200" t="s">
        <v>88</v>
      </c>
      <c r="K200">
        <v>0</v>
      </c>
      <c r="L200">
        <v>1</v>
      </c>
      <c r="M200">
        <v>0</v>
      </c>
      <c r="N200">
        <v>1</v>
      </c>
    </row>
    <row r="201" spans="1:14">
      <c r="A201" t="s">
        <v>25</v>
      </c>
      <c r="B201" t="s">
        <v>20</v>
      </c>
      <c r="C201" t="s">
        <v>16</v>
      </c>
      <c r="D201" s="9">
        <v>45768</v>
      </c>
      <c r="E201">
        <v>57</v>
      </c>
      <c r="F201" t="s">
        <v>31</v>
      </c>
      <c r="G201" t="s">
        <v>102</v>
      </c>
      <c r="H201">
        <v>0</v>
      </c>
      <c r="I201" t="s">
        <v>4</v>
      </c>
      <c r="J201" t="s">
        <v>88</v>
      </c>
      <c r="K201">
        <v>0</v>
      </c>
      <c r="L201">
        <v>1</v>
      </c>
      <c r="M201">
        <v>0</v>
      </c>
      <c r="N201">
        <v>1</v>
      </c>
    </row>
    <row r="202" spans="1:14">
      <c r="A202" t="s">
        <v>25</v>
      </c>
      <c r="B202" t="s">
        <v>20</v>
      </c>
      <c r="C202" t="s">
        <v>16</v>
      </c>
      <c r="D202" s="9">
        <v>45768</v>
      </c>
      <c r="E202">
        <v>57</v>
      </c>
      <c r="F202" t="s">
        <v>5</v>
      </c>
      <c r="G202" t="s">
        <v>65</v>
      </c>
      <c r="H202">
        <v>7</v>
      </c>
      <c r="I202" t="s">
        <v>4</v>
      </c>
      <c r="J202" t="s">
        <v>89</v>
      </c>
      <c r="K202">
        <v>1</v>
      </c>
      <c r="L202">
        <v>0</v>
      </c>
      <c r="M202">
        <v>0</v>
      </c>
      <c r="N202">
        <v>1</v>
      </c>
    </row>
    <row r="203" spans="1:14">
      <c r="A203" t="s">
        <v>25</v>
      </c>
      <c r="B203" t="s">
        <v>20</v>
      </c>
      <c r="C203" t="s">
        <v>16</v>
      </c>
      <c r="D203" s="9">
        <v>45768</v>
      </c>
      <c r="E203">
        <v>57</v>
      </c>
      <c r="F203" t="s">
        <v>5</v>
      </c>
      <c r="G203" t="s">
        <v>65</v>
      </c>
      <c r="H203">
        <v>7</v>
      </c>
      <c r="I203" t="s">
        <v>31</v>
      </c>
      <c r="J203" t="s">
        <v>89</v>
      </c>
      <c r="K203">
        <v>1</v>
      </c>
      <c r="L203">
        <v>0</v>
      </c>
      <c r="M203">
        <v>0</v>
      </c>
      <c r="N203">
        <v>1</v>
      </c>
    </row>
    <row r="204" spans="1:14">
      <c r="A204" t="s">
        <v>25</v>
      </c>
      <c r="B204" t="s">
        <v>20</v>
      </c>
      <c r="C204" t="s">
        <v>16</v>
      </c>
      <c r="D204" s="9">
        <v>45768</v>
      </c>
      <c r="E204">
        <v>57</v>
      </c>
      <c r="F204" t="s">
        <v>4</v>
      </c>
      <c r="G204" t="s">
        <v>102</v>
      </c>
      <c r="H204">
        <v>5</v>
      </c>
      <c r="I204" t="s">
        <v>5</v>
      </c>
      <c r="J204" t="s">
        <v>88</v>
      </c>
      <c r="K204">
        <v>0</v>
      </c>
      <c r="L204">
        <v>1</v>
      </c>
      <c r="M204">
        <v>0</v>
      </c>
      <c r="N204">
        <v>1</v>
      </c>
    </row>
    <row r="205" spans="1:14">
      <c r="A205" t="s">
        <v>25</v>
      </c>
      <c r="B205" t="s">
        <v>20</v>
      </c>
      <c r="C205" t="s">
        <v>16</v>
      </c>
      <c r="D205" s="9">
        <v>45768</v>
      </c>
      <c r="E205">
        <v>57</v>
      </c>
      <c r="F205" t="s">
        <v>4</v>
      </c>
      <c r="G205" t="s">
        <v>65</v>
      </c>
      <c r="H205">
        <v>5</v>
      </c>
      <c r="I205" t="s">
        <v>31</v>
      </c>
      <c r="J205" t="s">
        <v>89</v>
      </c>
      <c r="K205">
        <v>1</v>
      </c>
      <c r="L205">
        <v>0</v>
      </c>
      <c r="M205">
        <v>0</v>
      </c>
      <c r="N205">
        <v>1</v>
      </c>
    </row>
    <row r="206" spans="1:14">
      <c r="A206" t="s">
        <v>25</v>
      </c>
      <c r="B206" t="s">
        <v>19</v>
      </c>
      <c r="C206" t="s">
        <v>16</v>
      </c>
      <c r="D206" s="9">
        <v>45768</v>
      </c>
      <c r="E206">
        <v>58</v>
      </c>
      <c r="F206" t="s">
        <v>31</v>
      </c>
      <c r="G206" t="s">
        <v>102</v>
      </c>
      <c r="H206">
        <v>4</v>
      </c>
      <c r="I206" t="s">
        <v>4</v>
      </c>
      <c r="J206" t="s">
        <v>88</v>
      </c>
      <c r="K206">
        <v>0</v>
      </c>
      <c r="L206">
        <v>1</v>
      </c>
      <c r="M206">
        <v>0</v>
      </c>
      <c r="N206">
        <v>1</v>
      </c>
    </row>
    <row r="207" spans="1:14">
      <c r="A207" t="s">
        <v>25</v>
      </c>
      <c r="B207" t="s">
        <v>19</v>
      </c>
      <c r="C207" t="s">
        <v>16</v>
      </c>
      <c r="D207" s="9">
        <v>45768</v>
      </c>
      <c r="E207">
        <v>58</v>
      </c>
      <c r="F207" t="s">
        <v>4</v>
      </c>
      <c r="G207" t="s">
        <v>65</v>
      </c>
      <c r="H207">
        <v>9</v>
      </c>
      <c r="I207" t="s">
        <v>31</v>
      </c>
      <c r="J207" t="s">
        <v>89</v>
      </c>
      <c r="K207">
        <v>1</v>
      </c>
      <c r="L207">
        <v>0</v>
      </c>
      <c r="M207">
        <v>0</v>
      </c>
      <c r="N207">
        <v>1</v>
      </c>
    </row>
    <row r="208" spans="1:14">
      <c r="A208" t="s">
        <v>25</v>
      </c>
      <c r="B208" t="s">
        <v>19</v>
      </c>
      <c r="C208" t="s">
        <v>16</v>
      </c>
      <c r="D208" s="9">
        <v>45768</v>
      </c>
      <c r="E208">
        <v>58</v>
      </c>
      <c r="F208" t="s">
        <v>4</v>
      </c>
      <c r="G208" t="s">
        <v>65</v>
      </c>
      <c r="H208">
        <v>9</v>
      </c>
      <c r="I208" t="s">
        <v>5</v>
      </c>
      <c r="J208" t="s">
        <v>89</v>
      </c>
      <c r="K208">
        <v>1</v>
      </c>
      <c r="L208">
        <v>0</v>
      </c>
      <c r="M208">
        <v>0</v>
      </c>
      <c r="N208">
        <v>1</v>
      </c>
    </row>
    <row r="209" spans="1:14">
      <c r="A209" t="s">
        <v>25</v>
      </c>
      <c r="B209" t="s">
        <v>19</v>
      </c>
      <c r="C209" t="s">
        <v>16</v>
      </c>
      <c r="D209" s="9">
        <v>45768</v>
      </c>
      <c r="E209">
        <v>58</v>
      </c>
      <c r="F209" t="s">
        <v>5</v>
      </c>
      <c r="G209" t="s">
        <v>65</v>
      </c>
      <c r="H209">
        <v>3</v>
      </c>
      <c r="I209" t="s">
        <v>31</v>
      </c>
      <c r="J209" t="s">
        <v>88</v>
      </c>
      <c r="K209">
        <v>0</v>
      </c>
      <c r="L209">
        <v>1</v>
      </c>
      <c r="M209">
        <v>0</v>
      </c>
      <c r="N209">
        <v>1</v>
      </c>
    </row>
    <row r="210" spans="1:14">
      <c r="A210" t="s">
        <v>25</v>
      </c>
      <c r="B210" t="s">
        <v>19</v>
      </c>
      <c r="C210" t="s">
        <v>16</v>
      </c>
      <c r="D210" s="9">
        <v>45768</v>
      </c>
      <c r="E210">
        <v>58</v>
      </c>
      <c r="F210" t="s">
        <v>5</v>
      </c>
      <c r="G210" t="s">
        <v>102</v>
      </c>
      <c r="H210">
        <v>3</v>
      </c>
      <c r="I210" t="s">
        <v>4</v>
      </c>
      <c r="J210" t="s">
        <v>88</v>
      </c>
      <c r="K210">
        <v>0</v>
      </c>
      <c r="L210">
        <v>1</v>
      </c>
      <c r="M210">
        <v>0</v>
      </c>
      <c r="N210">
        <v>1</v>
      </c>
    </row>
    <row r="211" spans="1:14">
      <c r="A211" t="s">
        <v>25</v>
      </c>
      <c r="B211" t="s">
        <v>19</v>
      </c>
      <c r="C211" t="s">
        <v>16</v>
      </c>
      <c r="D211" s="9">
        <v>45768</v>
      </c>
      <c r="E211">
        <v>58</v>
      </c>
      <c r="F211" t="s">
        <v>31</v>
      </c>
      <c r="G211" t="s">
        <v>102</v>
      </c>
      <c r="H211">
        <v>4</v>
      </c>
      <c r="I211" t="s">
        <v>5</v>
      </c>
      <c r="J211" t="s">
        <v>89</v>
      </c>
      <c r="K211">
        <v>1</v>
      </c>
      <c r="L211">
        <v>0</v>
      </c>
      <c r="M211">
        <v>0</v>
      </c>
      <c r="N211">
        <v>1</v>
      </c>
    </row>
    <row r="212" spans="1:14">
      <c r="A212" t="s">
        <v>25</v>
      </c>
      <c r="B212" t="s">
        <v>21</v>
      </c>
      <c r="C212" t="s">
        <v>16</v>
      </c>
      <c r="D212" s="9">
        <v>45768</v>
      </c>
      <c r="E212">
        <v>59</v>
      </c>
      <c r="F212" t="s">
        <v>5</v>
      </c>
      <c r="G212" t="s">
        <v>102</v>
      </c>
      <c r="H212">
        <v>1</v>
      </c>
      <c r="I212" t="s">
        <v>4</v>
      </c>
      <c r="J212" t="s">
        <v>88</v>
      </c>
      <c r="K212">
        <v>0</v>
      </c>
      <c r="L212">
        <v>1</v>
      </c>
      <c r="M212">
        <v>0</v>
      </c>
      <c r="N212">
        <v>1</v>
      </c>
    </row>
    <row r="213" spans="1:14">
      <c r="A213" t="s">
        <v>25</v>
      </c>
      <c r="B213" t="s">
        <v>21</v>
      </c>
      <c r="C213" t="s">
        <v>16</v>
      </c>
      <c r="D213" s="9">
        <v>45768</v>
      </c>
      <c r="E213">
        <v>59</v>
      </c>
      <c r="F213" t="s">
        <v>4</v>
      </c>
      <c r="G213" t="s">
        <v>65</v>
      </c>
      <c r="H213">
        <v>12</v>
      </c>
      <c r="I213" t="s">
        <v>5</v>
      </c>
      <c r="J213" t="s">
        <v>89</v>
      </c>
      <c r="K213">
        <v>1</v>
      </c>
      <c r="L213">
        <v>0</v>
      </c>
      <c r="M213">
        <v>0</v>
      </c>
      <c r="N213">
        <v>1</v>
      </c>
    </row>
    <row r="214" spans="1:14">
      <c r="A214" t="s">
        <v>25</v>
      </c>
      <c r="B214" t="s">
        <v>20</v>
      </c>
      <c r="C214" t="s">
        <v>16</v>
      </c>
      <c r="D214" s="9">
        <v>45769</v>
      </c>
      <c r="E214">
        <v>60</v>
      </c>
      <c r="F214" t="s">
        <v>5</v>
      </c>
      <c r="G214" t="s">
        <v>65</v>
      </c>
      <c r="H214">
        <v>12</v>
      </c>
      <c r="I214" t="s">
        <v>4</v>
      </c>
      <c r="J214" t="s">
        <v>89</v>
      </c>
      <c r="K214">
        <v>1</v>
      </c>
      <c r="L214">
        <v>0</v>
      </c>
      <c r="M214">
        <v>0</v>
      </c>
      <c r="N214">
        <v>1</v>
      </c>
    </row>
    <row r="215" spans="1:14">
      <c r="A215" t="s">
        <v>25</v>
      </c>
      <c r="B215" t="s">
        <v>20</v>
      </c>
      <c r="C215" t="s">
        <v>16</v>
      </c>
      <c r="D215" s="9">
        <v>45769</v>
      </c>
      <c r="E215">
        <v>60</v>
      </c>
      <c r="F215" t="s">
        <v>4</v>
      </c>
      <c r="G215" t="s">
        <v>102</v>
      </c>
      <c r="H215">
        <v>5</v>
      </c>
      <c r="I215" t="s">
        <v>5</v>
      </c>
      <c r="J215" t="s">
        <v>88</v>
      </c>
      <c r="K215">
        <v>0</v>
      </c>
      <c r="L215">
        <v>1</v>
      </c>
      <c r="M215">
        <v>0</v>
      </c>
      <c r="N215">
        <v>1</v>
      </c>
    </row>
    <row r="216" spans="1:14">
      <c r="A216" t="s">
        <v>25</v>
      </c>
      <c r="B216" t="s">
        <v>19</v>
      </c>
      <c r="C216" t="s">
        <v>16</v>
      </c>
      <c r="D216" s="9">
        <v>45769</v>
      </c>
      <c r="E216">
        <v>61</v>
      </c>
      <c r="F216" t="s">
        <v>4</v>
      </c>
      <c r="G216" t="s">
        <v>65</v>
      </c>
      <c r="H216">
        <v>13</v>
      </c>
      <c r="I216" t="s">
        <v>5</v>
      </c>
      <c r="J216" t="s">
        <v>89</v>
      </c>
      <c r="K216">
        <v>1</v>
      </c>
      <c r="L216">
        <v>0</v>
      </c>
      <c r="M216">
        <v>0</v>
      </c>
      <c r="N216">
        <v>1</v>
      </c>
    </row>
    <row r="217" spans="1:14">
      <c r="A217" t="s">
        <v>25</v>
      </c>
      <c r="B217" t="s">
        <v>19</v>
      </c>
      <c r="C217" t="s">
        <v>16</v>
      </c>
      <c r="D217" s="9">
        <v>45769</v>
      </c>
      <c r="E217">
        <v>61</v>
      </c>
      <c r="F217" t="s">
        <v>5</v>
      </c>
      <c r="G217" t="s">
        <v>102</v>
      </c>
      <c r="H217">
        <v>2</v>
      </c>
      <c r="I217" t="s">
        <v>4</v>
      </c>
      <c r="J217" t="s">
        <v>88</v>
      </c>
      <c r="K217">
        <v>0</v>
      </c>
      <c r="L217">
        <v>1</v>
      </c>
      <c r="M217">
        <v>0</v>
      </c>
      <c r="N217">
        <v>1</v>
      </c>
    </row>
    <row r="218" spans="1:14">
      <c r="A218" t="s">
        <v>25</v>
      </c>
      <c r="B218" t="s">
        <v>21</v>
      </c>
      <c r="C218" t="s">
        <v>16</v>
      </c>
      <c r="D218" s="9">
        <v>45769</v>
      </c>
      <c r="E218">
        <v>62</v>
      </c>
      <c r="F218" t="s">
        <v>7</v>
      </c>
      <c r="G218" t="s">
        <v>102</v>
      </c>
      <c r="H218">
        <v>1</v>
      </c>
      <c r="I218" t="s">
        <v>4</v>
      </c>
      <c r="J218" t="s">
        <v>88</v>
      </c>
      <c r="K218">
        <v>0</v>
      </c>
      <c r="L218">
        <v>1</v>
      </c>
      <c r="M218">
        <v>0</v>
      </c>
      <c r="N218">
        <v>1</v>
      </c>
    </row>
    <row r="219" spans="1:14">
      <c r="A219" t="s">
        <v>25</v>
      </c>
      <c r="B219" t="s">
        <v>21</v>
      </c>
      <c r="C219" t="s">
        <v>16</v>
      </c>
      <c r="D219" s="9">
        <v>45769</v>
      </c>
      <c r="E219">
        <v>62</v>
      </c>
      <c r="F219" t="s">
        <v>7</v>
      </c>
      <c r="G219" t="s">
        <v>102</v>
      </c>
      <c r="H219">
        <v>1</v>
      </c>
      <c r="I219" t="s">
        <v>5</v>
      </c>
      <c r="J219" t="s">
        <v>88</v>
      </c>
      <c r="K219">
        <v>0</v>
      </c>
      <c r="L219">
        <v>1</v>
      </c>
      <c r="M219">
        <v>0</v>
      </c>
      <c r="N219">
        <v>1</v>
      </c>
    </row>
    <row r="220" spans="1:14">
      <c r="A220" t="s">
        <v>25</v>
      </c>
      <c r="B220" t="s">
        <v>21</v>
      </c>
      <c r="C220" t="s">
        <v>16</v>
      </c>
      <c r="D220" s="9">
        <v>45769</v>
      </c>
      <c r="E220">
        <v>62</v>
      </c>
      <c r="F220" t="s">
        <v>4</v>
      </c>
      <c r="G220" t="s">
        <v>65</v>
      </c>
      <c r="H220">
        <v>8</v>
      </c>
      <c r="I220" t="s">
        <v>7</v>
      </c>
      <c r="J220" t="s">
        <v>89</v>
      </c>
      <c r="K220">
        <v>1</v>
      </c>
      <c r="L220">
        <v>0</v>
      </c>
      <c r="M220">
        <v>0</v>
      </c>
      <c r="N220">
        <v>1</v>
      </c>
    </row>
    <row r="221" spans="1:14">
      <c r="A221" t="s">
        <v>25</v>
      </c>
      <c r="B221" t="s">
        <v>21</v>
      </c>
      <c r="C221" t="s">
        <v>16</v>
      </c>
      <c r="D221" s="9">
        <v>45769</v>
      </c>
      <c r="E221">
        <v>62</v>
      </c>
      <c r="F221" t="s">
        <v>5</v>
      </c>
      <c r="G221" t="s">
        <v>65</v>
      </c>
      <c r="H221">
        <v>2</v>
      </c>
      <c r="I221" t="s">
        <v>4</v>
      </c>
      <c r="J221" t="s">
        <v>88</v>
      </c>
      <c r="K221">
        <v>0</v>
      </c>
      <c r="L221">
        <v>1</v>
      </c>
      <c r="M221">
        <v>0</v>
      </c>
      <c r="N221">
        <v>1</v>
      </c>
    </row>
    <row r="222" spans="1:14">
      <c r="A222" t="s">
        <v>25</v>
      </c>
      <c r="B222" t="s">
        <v>21</v>
      </c>
      <c r="C222" t="s">
        <v>16</v>
      </c>
      <c r="D222" s="9">
        <v>45769</v>
      </c>
      <c r="E222">
        <v>62</v>
      </c>
      <c r="F222" t="s">
        <v>5</v>
      </c>
      <c r="G222" t="s">
        <v>65</v>
      </c>
      <c r="H222">
        <v>2</v>
      </c>
      <c r="I222" t="s">
        <v>7</v>
      </c>
      <c r="J222" t="s">
        <v>89</v>
      </c>
      <c r="K222">
        <v>1</v>
      </c>
      <c r="L222">
        <v>0</v>
      </c>
      <c r="M222">
        <v>0</v>
      </c>
      <c r="N222">
        <v>1</v>
      </c>
    </row>
    <row r="223" spans="1:14">
      <c r="A223" t="s">
        <v>25</v>
      </c>
      <c r="B223" t="s">
        <v>21</v>
      </c>
      <c r="C223" t="s">
        <v>16</v>
      </c>
      <c r="D223" s="9">
        <v>45769</v>
      </c>
      <c r="E223">
        <v>62</v>
      </c>
      <c r="F223" t="s">
        <v>4</v>
      </c>
      <c r="G223" t="s">
        <v>102</v>
      </c>
      <c r="H223">
        <v>8</v>
      </c>
      <c r="I223" t="s">
        <v>5</v>
      </c>
      <c r="J223" t="s">
        <v>89</v>
      </c>
      <c r="K223">
        <v>1</v>
      </c>
      <c r="L223">
        <v>0</v>
      </c>
      <c r="M223">
        <v>0</v>
      </c>
      <c r="N223">
        <v>1</v>
      </c>
    </row>
    <row r="224" spans="1:14">
      <c r="A224" t="s">
        <v>25</v>
      </c>
      <c r="B224" t="s">
        <v>20</v>
      </c>
      <c r="C224" t="s">
        <v>16</v>
      </c>
      <c r="D224" s="9">
        <v>45770</v>
      </c>
      <c r="E224">
        <v>63</v>
      </c>
      <c r="F224" t="s">
        <v>4</v>
      </c>
      <c r="G224" t="s">
        <v>65</v>
      </c>
      <c r="H224">
        <v>9</v>
      </c>
      <c r="I224" t="s">
        <v>5</v>
      </c>
      <c r="J224" t="s">
        <v>89</v>
      </c>
      <c r="K224">
        <v>1</v>
      </c>
      <c r="L224">
        <v>0</v>
      </c>
      <c r="M224">
        <v>0</v>
      </c>
      <c r="N224">
        <v>1</v>
      </c>
    </row>
    <row r="225" spans="1:14">
      <c r="A225" t="s">
        <v>25</v>
      </c>
      <c r="B225" t="s">
        <v>20</v>
      </c>
      <c r="C225" t="s">
        <v>16</v>
      </c>
      <c r="D225" s="9">
        <v>45770</v>
      </c>
      <c r="E225">
        <v>63</v>
      </c>
      <c r="F225" t="s">
        <v>5</v>
      </c>
      <c r="G225" t="s">
        <v>102</v>
      </c>
      <c r="H225">
        <v>4</v>
      </c>
      <c r="I225" t="s">
        <v>4</v>
      </c>
      <c r="J225" t="s">
        <v>88</v>
      </c>
      <c r="K225">
        <v>0</v>
      </c>
      <c r="L225">
        <v>1</v>
      </c>
      <c r="M225">
        <v>0</v>
      </c>
      <c r="N225">
        <v>1</v>
      </c>
    </row>
    <row r="226" spans="1:14">
      <c r="A226" t="s">
        <v>25</v>
      </c>
      <c r="B226" t="s">
        <v>20</v>
      </c>
      <c r="C226" t="s">
        <v>16</v>
      </c>
      <c r="D226" s="9">
        <v>45770</v>
      </c>
      <c r="E226">
        <v>64</v>
      </c>
      <c r="F226" t="s">
        <v>6</v>
      </c>
      <c r="G226" t="s">
        <v>65</v>
      </c>
      <c r="H226">
        <v>7</v>
      </c>
      <c r="I226" t="s">
        <v>5</v>
      </c>
      <c r="J226" t="s">
        <v>88</v>
      </c>
      <c r="K226">
        <v>0</v>
      </c>
      <c r="L226">
        <v>1</v>
      </c>
      <c r="M226">
        <v>0</v>
      </c>
      <c r="N226">
        <v>1</v>
      </c>
    </row>
    <row r="227" spans="1:14">
      <c r="A227" t="s">
        <v>25</v>
      </c>
      <c r="B227" t="s">
        <v>20</v>
      </c>
      <c r="C227" t="s">
        <v>16</v>
      </c>
      <c r="D227" s="9">
        <v>45770</v>
      </c>
      <c r="E227">
        <v>64</v>
      </c>
      <c r="F227" t="s">
        <v>5</v>
      </c>
      <c r="G227" t="s">
        <v>102</v>
      </c>
      <c r="H227">
        <v>9</v>
      </c>
      <c r="I227" t="s">
        <v>6</v>
      </c>
      <c r="J227" t="s">
        <v>89</v>
      </c>
      <c r="K227">
        <v>1</v>
      </c>
      <c r="L227">
        <v>0</v>
      </c>
      <c r="M227">
        <v>0</v>
      </c>
      <c r="N227">
        <v>1</v>
      </c>
    </row>
    <row r="228" spans="1:14">
      <c r="A228" t="s">
        <v>25</v>
      </c>
      <c r="B228" t="s">
        <v>20</v>
      </c>
      <c r="C228" t="s">
        <v>16</v>
      </c>
      <c r="D228" s="9">
        <v>45770</v>
      </c>
      <c r="E228">
        <v>65</v>
      </c>
      <c r="F228" t="s">
        <v>5</v>
      </c>
      <c r="G228" t="s">
        <v>102</v>
      </c>
      <c r="H228">
        <v>3</v>
      </c>
      <c r="I228" t="s">
        <v>4</v>
      </c>
      <c r="J228" t="s">
        <v>88</v>
      </c>
      <c r="K228">
        <v>0</v>
      </c>
      <c r="L228">
        <v>1</v>
      </c>
      <c r="M228">
        <v>0</v>
      </c>
      <c r="N228">
        <v>1</v>
      </c>
    </row>
    <row r="229" spans="1:14">
      <c r="A229" t="s">
        <v>25</v>
      </c>
      <c r="B229" t="s">
        <v>20</v>
      </c>
      <c r="C229" t="s">
        <v>16</v>
      </c>
      <c r="D229" s="9">
        <v>45770</v>
      </c>
      <c r="E229">
        <v>65</v>
      </c>
      <c r="F229" t="s">
        <v>7</v>
      </c>
      <c r="G229" t="s">
        <v>65</v>
      </c>
      <c r="H229">
        <v>4</v>
      </c>
      <c r="I229" t="s">
        <v>5</v>
      </c>
      <c r="J229" t="s">
        <v>89</v>
      </c>
      <c r="K229">
        <v>1</v>
      </c>
      <c r="L229">
        <v>0</v>
      </c>
      <c r="M229">
        <v>0</v>
      </c>
      <c r="N229">
        <v>1</v>
      </c>
    </row>
    <row r="230" spans="1:14">
      <c r="A230" t="s">
        <v>25</v>
      </c>
      <c r="B230" t="s">
        <v>20</v>
      </c>
      <c r="C230" t="s">
        <v>16</v>
      </c>
      <c r="D230" s="9">
        <v>45770</v>
      </c>
      <c r="E230">
        <v>65</v>
      </c>
      <c r="F230" t="s">
        <v>7</v>
      </c>
      <c r="G230" t="s">
        <v>65</v>
      </c>
      <c r="H230">
        <v>4</v>
      </c>
      <c r="I230" t="s">
        <v>4</v>
      </c>
      <c r="J230" t="s">
        <v>88</v>
      </c>
      <c r="K230">
        <v>0</v>
      </c>
      <c r="L230">
        <v>1</v>
      </c>
      <c r="M230">
        <v>0</v>
      </c>
      <c r="N230">
        <v>1</v>
      </c>
    </row>
    <row r="231" spans="1:14">
      <c r="A231" t="s">
        <v>25</v>
      </c>
      <c r="B231" t="s">
        <v>20</v>
      </c>
      <c r="C231" t="s">
        <v>16</v>
      </c>
      <c r="D231" s="9">
        <v>45770</v>
      </c>
      <c r="E231">
        <v>65</v>
      </c>
      <c r="F231" t="s">
        <v>4</v>
      </c>
      <c r="G231" t="s">
        <v>65</v>
      </c>
      <c r="H231">
        <v>7</v>
      </c>
      <c r="I231" t="s">
        <v>5</v>
      </c>
      <c r="J231" t="s">
        <v>89</v>
      </c>
      <c r="K231">
        <v>1</v>
      </c>
      <c r="L231">
        <v>0</v>
      </c>
      <c r="M231">
        <v>0</v>
      </c>
      <c r="N231">
        <v>1</v>
      </c>
    </row>
    <row r="232" spans="1:14">
      <c r="A232" t="s">
        <v>25</v>
      </c>
      <c r="B232" t="s">
        <v>20</v>
      </c>
      <c r="C232" t="s">
        <v>16</v>
      </c>
      <c r="D232" s="9">
        <v>45770</v>
      </c>
      <c r="E232">
        <v>65</v>
      </c>
      <c r="F232" t="s">
        <v>5</v>
      </c>
      <c r="G232" t="s">
        <v>102</v>
      </c>
      <c r="H232">
        <v>3</v>
      </c>
      <c r="I232" t="s">
        <v>7</v>
      </c>
      <c r="J232" t="s">
        <v>88</v>
      </c>
      <c r="K232">
        <v>0</v>
      </c>
      <c r="L232">
        <v>1</v>
      </c>
      <c r="M232">
        <v>0</v>
      </c>
      <c r="N232">
        <v>1</v>
      </c>
    </row>
    <row r="233" spans="1:14">
      <c r="A233" t="s">
        <v>25</v>
      </c>
      <c r="B233" t="s">
        <v>20</v>
      </c>
      <c r="C233" t="s">
        <v>16</v>
      </c>
      <c r="D233" s="9">
        <v>45770</v>
      </c>
      <c r="E233">
        <v>65</v>
      </c>
      <c r="F233" t="s">
        <v>4</v>
      </c>
      <c r="G233" t="s">
        <v>102</v>
      </c>
      <c r="H233">
        <v>7</v>
      </c>
      <c r="I233" t="s">
        <v>7</v>
      </c>
      <c r="J233" t="s">
        <v>89</v>
      </c>
      <c r="K233">
        <v>1</v>
      </c>
      <c r="L233">
        <v>0</v>
      </c>
      <c r="M233">
        <v>0</v>
      </c>
      <c r="N233">
        <v>1</v>
      </c>
    </row>
    <row r="234" spans="1:14">
      <c r="A234" t="s">
        <v>25</v>
      </c>
      <c r="B234" t="s">
        <v>21</v>
      </c>
      <c r="C234" t="s">
        <v>16</v>
      </c>
      <c r="D234" s="9">
        <v>45771</v>
      </c>
      <c r="E234">
        <v>66</v>
      </c>
      <c r="F234" t="s">
        <v>5</v>
      </c>
      <c r="G234" t="s">
        <v>65</v>
      </c>
      <c r="H234">
        <v>3</v>
      </c>
      <c r="I234" t="s">
        <v>4</v>
      </c>
      <c r="J234" t="s">
        <v>88</v>
      </c>
      <c r="K234">
        <v>0</v>
      </c>
      <c r="L234">
        <v>1</v>
      </c>
      <c r="M234">
        <v>0</v>
      </c>
      <c r="N234">
        <v>1</v>
      </c>
    </row>
    <row r="235" spans="1:14">
      <c r="A235" t="s">
        <v>25</v>
      </c>
      <c r="B235" t="s">
        <v>21</v>
      </c>
      <c r="C235" t="s">
        <v>16</v>
      </c>
      <c r="D235" s="9">
        <v>45771</v>
      </c>
      <c r="E235">
        <v>66</v>
      </c>
      <c r="F235" t="s">
        <v>4</v>
      </c>
      <c r="G235" t="s">
        <v>102</v>
      </c>
      <c r="H235">
        <v>6</v>
      </c>
      <c r="I235" t="s">
        <v>5</v>
      </c>
      <c r="J235" t="s">
        <v>89</v>
      </c>
      <c r="K235">
        <v>1</v>
      </c>
      <c r="L235">
        <v>0</v>
      </c>
      <c r="M235">
        <v>0</v>
      </c>
      <c r="N235">
        <v>1</v>
      </c>
    </row>
    <row r="236" spans="1:14">
      <c r="A236" t="s">
        <v>25</v>
      </c>
      <c r="B236" t="s">
        <v>19</v>
      </c>
      <c r="C236" t="s">
        <v>16</v>
      </c>
      <c r="D236" s="9">
        <v>45771</v>
      </c>
      <c r="E236">
        <v>67</v>
      </c>
      <c r="F236" t="s">
        <v>4</v>
      </c>
      <c r="G236" t="s">
        <v>65</v>
      </c>
      <c r="H236">
        <v>11</v>
      </c>
      <c r="I236" t="s">
        <v>5</v>
      </c>
      <c r="J236" t="s">
        <v>89</v>
      </c>
      <c r="K236">
        <v>1</v>
      </c>
      <c r="L236">
        <v>0</v>
      </c>
      <c r="M236">
        <v>0</v>
      </c>
      <c r="N236">
        <v>1</v>
      </c>
    </row>
    <row r="237" spans="1:14">
      <c r="A237" t="s">
        <v>25</v>
      </c>
      <c r="B237" t="s">
        <v>19</v>
      </c>
      <c r="C237" t="s">
        <v>16</v>
      </c>
      <c r="D237" s="9">
        <v>45771</v>
      </c>
      <c r="E237">
        <v>67</v>
      </c>
      <c r="F237" t="s">
        <v>5</v>
      </c>
      <c r="G237" t="s">
        <v>102</v>
      </c>
      <c r="H237">
        <v>3</v>
      </c>
      <c r="I237" t="s">
        <v>4</v>
      </c>
      <c r="J237" t="s">
        <v>88</v>
      </c>
      <c r="K237">
        <v>0</v>
      </c>
      <c r="L237">
        <v>1</v>
      </c>
      <c r="M237">
        <v>0</v>
      </c>
      <c r="N237">
        <v>1</v>
      </c>
    </row>
    <row r="238" spans="1:14">
      <c r="A238" t="s">
        <v>25</v>
      </c>
      <c r="B238" t="s">
        <v>20</v>
      </c>
      <c r="C238" t="s">
        <v>16</v>
      </c>
      <c r="D238" s="9">
        <v>45771</v>
      </c>
      <c r="E238">
        <v>68</v>
      </c>
      <c r="F238" t="s">
        <v>4</v>
      </c>
      <c r="G238" t="s">
        <v>102</v>
      </c>
      <c r="H238">
        <v>10</v>
      </c>
      <c r="I238" t="s">
        <v>5</v>
      </c>
      <c r="J238" t="s">
        <v>89</v>
      </c>
      <c r="K238">
        <v>1</v>
      </c>
      <c r="L238">
        <v>0</v>
      </c>
      <c r="M238">
        <v>0</v>
      </c>
      <c r="N238">
        <v>1</v>
      </c>
    </row>
    <row r="239" spans="1:14">
      <c r="A239" t="s">
        <v>25</v>
      </c>
      <c r="B239" t="s">
        <v>20</v>
      </c>
      <c r="C239" t="s">
        <v>16</v>
      </c>
      <c r="D239" s="9">
        <v>45771</v>
      </c>
      <c r="E239">
        <v>68</v>
      </c>
      <c r="F239" t="s">
        <v>4</v>
      </c>
      <c r="G239" t="s">
        <v>65</v>
      </c>
      <c r="H239">
        <v>10</v>
      </c>
      <c r="I239" t="s">
        <v>6</v>
      </c>
      <c r="J239" t="s">
        <v>89</v>
      </c>
      <c r="K239">
        <v>1</v>
      </c>
      <c r="L239">
        <v>0</v>
      </c>
      <c r="M239">
        <v>0</v>
      </c>
      <c r="N239">
        <v>1</v>
      </c>
    </row>
    <row r="240" spans="1:14">
      <c r="A240" t="s">
        <v>25</v>
      </c>
      <c r="B240" t="s">
        <v>20</v>
      </c>
      <c r="C240" t="s">
        <v>16</v>
      </c>
      <c r="D240" s="9">
        <v>45771</v>
      </c>
      <c r="E240">
        <v>68</v>
      </c>
      <c r="F240" t="s">
        <v>5</v>
      </c>
      <c r="G240" t="s">
        <v>65</v>
      </c>
      <c r="H240">
        <v>1</v>
      </c>
      <c r="I240" t="s">
        <v>4</v>
      </c>
      <c r="J240" t="s">
        <v>88</v>
      </c>
      <c r="K240">
        <v>0</v>
      </c>
      <c r="L240">
        <v>1</v>
      </c>
      <c r="M240">
        <v>0</v>
      </c>
      <c r="N240">
        <v>1</v>
      </c>
    </row>
    <row r="241" spans="1:14">
      <c r="A241" t="s">
        <v>25</v>
      </c>
      <c r="B241" t="s">
        <v>20</v>
      </c>
      <c r="C241" t="s">
        <v>16</v>
      </c>
      <c r="D241" s="9">
        <v>45771</v>
      </c>
      <c r="E241">
        <v>68</v>
      </c>
      <c r="F241" t="s">
        <v>5</v>
      </c>
      <c r="G241" t="s">
        <v>65</v>
      </c>
      <c r="H241">
        <v>1</v>
      </c>
      <c r="I241" t="s">
        <v>6</v>
      </c>
      <c r="J241" t="s">
        <v>88</v>
      </c>
      <c r="K241">
        <v>0</v>
      </c>
      <c r="L241">
        <v>1</v>
      </c>
      <c r="M241">
        <v>0</v>
      </c>
      <c r="N241">
        <v>1</v>
      </c>
    </row>
    <row r="242" spans="1:14">
      <c r="A242" t="s">
        <v>25</v>
      </c>
      <c r="B242" t="s">
        <v>20</v>
      </c>
      <c r="C242" t="s">
        <v>16</v>
      </c>
      <c r="D242" s="9">
        <v>45771</v>
      </c>
      <c r="E242">
        <v>68</v>
      </c>
      <c r="F242" t="s">
        <v>6</v>
      </c>
      <c r="G242" t="s">
        <v>102</v>
      </c>
      <c r="H242">
        <v>4</v>
      </c>
      <c r="I242" t="s">
        <v>4</v>
      </c>
      <c r="J242" t="s">
        <v>88</v>
      </c>
      <c r="K242">
        <v>0</v>
      </c>
      <c r="L242">
        <v>1</v>
      </c>
      <c r="M242">
        <v>0</v>
      </c>
      <c r="N242">
        <v>1</v>
      </c>
    </row>
    <row r="243" spans="1:14">
      <c r="A243" t="s">
        <v>25</v>
      </c>
      <c r="B243" t="s">
        <v>20</v>
      </c>
      <c r="C243" t="s">
        <v>16</v>
      </c>
      <c r="D243" s="9">
        <v>45771</v>
      </c>
      <c r="E243">
        <v>68</v>
      </c>
      <c r="F243" t="s">
        <v>6</v>
      </c>
      <c r="G243" t="s">
        <v>102</v>
      </c>
      <c r="H243">
        <v>4</v>
      </c>
      <c r="I243" t="s">
        <v>5</v>
      </c>
      <c r="J243" t="s">
        <v>89</v>
      </c>
      <c r="K243">
        <v>1</v>
      </c>
      <c r="L243">
        <v>0</v>
      </c>
      <c r="M243">
        <v>0</v>
      </c>
      <c r="N243">
        <v>1</v>
      </c>
    </row>
    <row r="244" spans="1:14">
      <c r="A244" t="s">
        <v>25</v>
      </c>
      <c r="B244" t="s">
        <v>20</v>
      </c>
      <c r="C244" t="s">
        <v>16</v>
      </c>
      <c r="D244" s="9">
        <v>45771</v>
      </c>
      <c r="E244">
        <v>69</v>
      </c>
      <c r="F244" t="s">
        <v>5</v>
      </c>
      <c r="G244" t="s">
        <v>65</v>
      </c>
      <c r="H244">
        <v>5</v>
      </c>
      <c r="I244" t="s">
        <v>6</v>
      </c>
      <c r="J244" t="s">
        <v>89</v>
      </c>
      <c r="K244">
        <v>1</v>
      </c>
      <c r="L244">
        <v>0</v>
      </c>
      <c r="M244">
        <v>0</v>
      </c>
      <c r="N244">
        <v>1</v>
      </c>
    </row>
    <row r="245" spans="1:14">
      <c r="A245" t="s">
        <v>25</v>
      </c>
      <c r="B245" t="s">
        <v>20</v>
      </c>
      <c r="C245" t="s">
        <v>16</v>
      </c>
      <c r="D245" s="9">
        <v>45771</v>
      </c>
      <c r="E245">
        <v>69</v>
      </c>
      <c r="F245" t="s">
        <v>6</v>
      </c>
      <c r="G245" t="s">
        <v>102</v>
      </c>
      <c r="H245">
        <v>4</v>
      </c>
      <c r="I245" t="s">
        <v>5</v>
      </c>
      <c r="J245" t="s">
        <v>88</v>
      </c>
      <c r="K245">
        <v>0</v>
      </c>
      <c r="L245">
        <v>1</v>
      </c>
      <c r="M245">
        <v>0</v>
      </c>
      <c r="N245">
        <v>1</v>
      </c>
    </row>
    <row r="246" spans="1:14">
      <c r="A246" t="s">
        <v>25</v>
      </c>
      <c r="B246" t="s">
        <v>20</v>
      </c>
      <c r="C246" t="s">
        <v>16</v>
      </c>
      <c r="D246" s="9">
        <v>45771</v>
      </c>
      <c r="E246">
        <v>69</v>
      </c>
      <c r="F246" t="s">
        <v>4</v>
      </c>
      <c r="G246" t="s">
        <v>65</v>
      </c>
      <c r="H246">
        <v>11</v>
      </c>
      <c r="I246" t="s">
        <v>6</v>
      </c>
      <c r="J246" t="s">
        <v>89</v>
      </c>
      <c r="K246">
        <v>1</v>
      </c>
      <c r="L246">
        <v>0</v>
      </c>
      <c r="M246">
        <v>0</v>
      </c>
      <c r="N246">
        <v>1</v>
      </c>
    </row>
    <row r="247" spans="1:14">
      <c r="A247" t="s">
        <v>25</v>
      </c>
      <c r="B247" t="s">
        <v>20</v>
      </c>
      <c r="C247" t="s">
        <v>16</v>
      </c>
      <c r="D247" s="9">
        <v>45771</v>
      </c>
      <c r="E247">
        <v>69</v>
      </c>
      <c r="F247" t="s">
        <v>4</v>
      </c>
      <c r="G247" t="s">
        <v>65</v>
      </c>
      <c r="H247">
        <v>11</v>
      </c>
      <c r="I247" t="s">
        <v>5</v>
      </c>
      <c r="J247" t="s">
        <v>89</v>
      </c>
      <c r="K247">
        <v>1</v>
      </c>
      <c r="L247">
        <v>0</v>
      </c>
      <c r="M247">
        <v>0</v>
      </c>
      <c r="N247">
        <v>1</v>
      </c>
    </row>
    <row r="248" spans="1:14">
      <c r="A248" t="s">
        <v>25</v>
      </c>
      <c r="B248" t="s">
        <v>20</v>
      </c>
      <c r="C248" t="s">
        <v>16</v>
      </c>
      <c r="D248" s="9">
        <v>45771</v>
      </c>
      <c r="E248">
        <v>69</v>
      </c>
      <c r="F248" t="s">
        <v>5</v>
      </c>
      <c r="G248" t="s">
        <v>102</v>
      </c>
      <c r="H248">
        <v>5</v>
      </c>
      <c r="I248" t="s">
        <v>4</v>
      </c>
      <c r="J248" t="s">
        <v>88</v>
      </c>
      <c r="K248">
        <v>0</v>
      </c>
      <c r="L248">
        <v>1</v>
      </c>
      <c r="M248">
        <v>0</v>
      </c>
      <c r="N248">
        <v>1</v>
      </c>
    </row>
    <row r="249" spans="1:14">
      <c r="A249" t="s">
        <v>25</v>
      </c>
      <c r="B249" t="s">
        <v>20</v>
      </c>
      <c r="C249" t="s">
        <v>16</v>
      </c>
      <c r="D249" s="9">
        <v>45771</v>
      </c>
      <c r="E249">
        <v>69</v>
      </c>
      <c r="F249" t="s">
        <v>6</v>
      </c>
      <c r="G249" t="s">
        <v>102</v>
      </c>
      <c r="H249">
        <v>4</v>
      </c>
      <c r="I249" t="s">
        <v>4</v>
      </c>
      <c r="J249" t="s">
        <v>88</v>
      </c>
      <c r="K249">
        <v>0</v>
      </c>
      <c r="L249">
        <v>1</v>
      </c>
      <c r="M249">
        <v>0</v>
      </c>
      <c r="N249">
        <v>1</v>
      </c>
    </row>
    <row r="250" spans="1:14">
      <c r="A250" t="s">
        <v>25</v>
      </c>
      <c r="B250" t="s">
        <v>20</v>
      </c>
      <c r="C250" t="s">
        <v>16</v>
      </c>
      <c r="D250" s="9">
        <v>45772</v>
      </c>
      <c r="E250">
        <v>70</v>
      </c>
      <c r="F250" t="s">
        <v>4</v>
      </c>
      <c r="G250" t="s">
        <v>102</v>
      </c>
      <c r="H250">
        <v>9</v>
      </c>
      <c r="I250" t="s">
        <v>5</v>
      </c>
      <c r="J250" t="s">
        <v>89</v>
      </c>
      <c r="K250">
        <v>1</v>
      </c>
      <c r="L250">
        <v>0</v>
      </c>
      <c r="M250">
        <v>0</v>
      </c>
      <c r="N250">
        <v>1</v>
      </c>
    </row>
    <row r="251" spans="1:14">
      <c r="A251" t="s">
        <v>25</v>
      </c>
      <c r="B251" t="s">
        <v>20</v>
      </c>
      <c r="C251" t="s">
        <v>16</v>
      </c>
      <c r="D251" s="9">
        <v>45772</v>
      </c>
      <c r="E251">
        <v>70</v>
      </c>
      <c r="F251" t="s">
        <v>5</v>
      </c>
      <c r="G251" t="s">
        <v>65</v>
      </c>
      <c r="H251">
        <v>7</v>
      </c>
      <c r="I251" t="s">
        <v>4</v>
      </c>
      <c r="J251" t="s">
        <v>88</v>
      </c>
      <c r="K251">
        <v>0</v>
      </c>
      <c r="L251">
        <v>1</v>
      </c>
      <c r="M251">
        <v>0</v>
      </c>
      <c r="N251">
        <v>1</v>
      </c>
    </row>
    <row r="252" spans="1:14">
      <c r="A252" t="s">
        <v>25</v>
      </c>
      <c r="B252" t="s">
        <v>19</v>
      </c>
      <c r="C252" t="s">
        <v>16</v>
      </c>
      <c r="D252" s="9">
        <v>45772</v>
      </c>
      <c r="E252">
        <v>71</v>
      </c>
      <c r="F252" t="s">
        <v>5</v>
      </c>
      <c r="G252" t="s">
        <v>102</v>
      </c>
      <c r="H252">
        <v>8</v>
      </c>
      <c r="I252" t="s">
        <v>4</v>
      </c>
      <c r="J252" t="s">
        <v>88</v>
      </c>
      <c r="K252">
        <v>0</v>
      </c>
      <c r="L252">
        <v>1</v>
      </c>
      <c r="M252">
        <v>0</v>
      </c>
      <c r="N252">
        <v>1</v>
      </c>
    </row>
    <row r="253" spans="1:14">
      <c r="A253" t="s">
        <v>25</v>
      </c>
      <c r="B253" t="s">
        <v>19</v>
      </c>
      <c r="C253" t="s">
        <v>16</v>
      </c>
      <c r="D253" s="9">
        <v>45772</v>
      </c>
      <c r="E253">
        <v>71</v>
      </c>
      <c r="F253" t="s">
        <v>4</v>
      </c>
      <c r="G253" t="s">
        <v>65</v>
      </c>
      <c r="H253">
        <v>13</v>
      </c>
      <c r="I253" t="s">
        <v>5</v>
      </c>
      <c r="J253" t="s">
        <v>89</v>
      </c>
      <c r="K253">
        <v>1</v>
      </c>
      <c r="L253">
        <v>0</v>
      </c>
      <c r="M253">
        <v>0</v>
      </c>
      <c r="N253">
        <v>1</v>
      </c>
    </row>
    <row r="254" spans="1:14">
      <c r="A254" t="s">
        <v>25</v>
      </c>
      <c r="B254" t="s">
        <v>20</v>
      </c>
      <c r="C254" t="s">
        <v>16</v>
      </c>
      <c r="D254" s="9">
        <v>45775</v>
      </c>
      <c r="E254">
        <v>72</v>
      </c>
      <c r="F254" t="s">
        <v>4</v>
      </c>
      <c r="G254" t="s">
        <v>65</v>
      </c>
      <c r="H254">
        <v>4</v>
      </c>
      <c r="I254" t="s">
        <v>5</v>
      </c>
      <c r="J254" t="s">
        <v>89</v>
      </c>
      <c r="K254">
        <v>1</v>
      </c>
      <c r="L254">
        <v>0</v>
      </c>
      <c r="M254">
        <v>0</v>
      </c>
      <c r="N254">
        <v>1</v>
      </c>
    </row>
    <row r="255" spans="1:14">
      <c r="A255" t="s">
        <v>25</v>
      </c>
      <c r="B255" t="s">
        <v>20</v>
      </c>
      <c r="C255" t="s">
        <v>16</v>
      </c>
      <c r="D255" s="9">
        <v>45775</v>
      </c>
      <c r="E255">
        <v>72</v>
      </c>
      <c r="F255" t="s">
        <v>4</v>
      </c>
      <c r="G255" t="s">
        <v>102</v>
      </c>
      <c r="H255">
        <v>4</v>
      </c>
      <c r="I255" t="s">
        <v>7</v>
      </c>
      <c r="J255" t="s">
        <v>89</v>
      </c>
      <c r="K255">
        <v>1</v>
      </c>
      <c r="L255">
        <v>0</v>
      </c>
      <c r="M255">
        <v>0</v>
      </c>
      <c r="N255">
        <v>1</v>
      </c>
    </row>
    <row r="256" spans="1:14">
      <c r="A256" t="s">
        <v>25</v>
      </c>
      <c r="B256" t="s">
        <v>20</v>
      </c>
      <c r="C256" t="s">
        <v>16</v>
      </c>
      <c r="D256" s="9">
        <v>45775</v>
      </c>
      <c r="E256">
        <v>72</v>
      </c>
      <c r="F256" t="s">
        <v>7</v>
      </c>
      <c r="G256" t="s">
        <v>65</v>
      </c>
      <c r="H256">
        <v>0</v>
      </c>
      <c r="I256" t="s">
        <v>4</v>
      </c>
      <c r="J256" t="s">
        <v>88</v>
      </c>
      <c r="K256">
        <v>0</v>
      </c>
      <c r="L256">
        <v>1</v>
      </c>
      <c r="M256">
        <v>0</v>
      </c>
      <c r="N256">
        <v>1</v>
      </c>
    </row>
    <row r="257" spans="1:14">
      <c r="A257" t="s">
        <v>25</v>
      </c>
      <c r="B257" t="s">
        <v>20</v>
      </c>
      <c r="C257" t="s">
        <v>16</v>
      </c>
      <c r="D257" s="9">
        <v>45775</v>
      </c>
      <c r="E257">
        <v>72</v>
      </c>
      <c r="F257" t="s">
        <v>7</v>
      </c>
      <c r="G257" t="s">
        <v>65</v>
      </c>
      <c r="H257">
        <v>0</v>
      </c>
      <c r="I257" t="s">
        <v>5</v>
      </c>
      <c r="J257" t="s">
        <v>88</v>
      </c>
      <c r="K257">
        <v>0</v>
      </c>
      <c r="L257">
        <v>1</v>
      </c>
      <c r="M257">
        <v>0</v>
      </c>
      <c r="N257">
        <v>1</v>
      </c>
    </row>
    <row r="258" spans="1:14">
      <c r="A258" t="s">
        <v>25</v>
      </c>
      <c r="B258" t="s">
        <v>20</v>
      </c>
      <c r="C258" t="s">
        <v>16</v>
      </c>
      <c r="D258" s="9">
        <v>45775</v>
      </c>
      <c r="E258">
        <v>72</v>
      </c>
      <c r="F258" t="s">
        <v>5</v>
      </c>
      <c r="G258" t="s">
        <v>102</v>
      </c>
      <c r="H258">
        <v>1</v>
      </c>
      <c r="I258" t="s">
        <v>4</v>
      </c>
      <c r="J258" t="s">
        <v>88</v>
      </c>
      <c r="K258">
        <v>0</v>
      </c>
      <c r="L258">
        <v>1</v>
      </c>
      <c r="M258">
        <v>0</v>
      </c>
      <c r="N258">
        <v>1</v>
      </c>
    </row>
    <row r="259" spans="1:14">
      <c r="A259" t="s">
        <v>25</v>
      </c>
      <c r="B259" t="s">
        <v>20</v>
      </c>
      <c r="C259" t="s">
        <v>16</v>
      </c>
      <c r="D259" s="9">
        <v>45775</v>
      </c>
      <c r="E259">
        <v>72</v>
      </c>
      <c r="F259" t="s">
        <v>5</v>
      </c>
      <c r="G259" t="s">
        <v>102</v>
      </c>
      <c r="H259">
        <v>1</v>
      </c>
      <c r="I259" t="s">
        <v>7</v>
      </c>
      <c r="J259" t="s">
        <v>89</v>
      </c>
      <c r="K259">
        <v>1</v>
      </c>
      <c r="L259">
        <v>0</v>
      </c>
      <c r="M259">
        <v>0</v>
      </c>
      <c r="N259">
        <v>1</v>
      </c>
    </row>
    <row r="260" spans="1:14">
      <c r="A260" t="s">
        <v>25</v>
      </c>
      <c r="B260" t="s">
        <v>19</v>
      </c>
      <c r="C260" t="s">
        <v>16</v>
      </c>
      <c r="D260" s="9">
        <v>45775</v>
      </c>
      <c r="E260">
        <v>73</v>
      </c>
      <c r="F260" t="s">
        <v>4</v>
      </c>
      <c r="G260" t="s">
        <v>102</v>
      </c>
      <c r="H260">
        <v>2</v>
      </c>
      <c r="I260" t="s">
        <v>5</v>
      </c>
      <c r="J260" t="s">
        <v>88</v>
      </c>
      <c r="K260">
        <v>0</v>
      </c>
      <c r="L260">
        <v>1</v>
      </c>
      <c r="M260">
        <v>0</v>
      </c>
      <c r="N260">
        <v>1</v>
      </c>
    </row>
    <row r="261" spans="1:14">
      <c r="A261" t="s">
        <v>25</v>
      </c>
      <c r="B261" t="s">
        <v>19</v>
      </c>
      <c r="C261" t="s">
        <v>16</v>
      </c>
      <c r="D261" s="9">
        <v>45775</v>
      </c>
      <c r="E261">
        <v>73</v>
      </c>
      <c r="F261" t="s">
        <v>5</v>
      </c>
      <c r="G261" t="s">
        <v>65</v>
      </c>
      <c r="H261">
        <v>10</v>
      </c>
      <c r="I261" t="s">
        <v>4</v>
      </c>
      <c r="J261" t="s">
        <v>89</v>
      </c>
      <c r="K261">
        <v>1</v>
      </c>
      <c r="L261">
        <v>0</v>
      </c>
      <c r="M261">
        <v>0</v>
      </c>
      <c r="N261">
        <v>1</v>
      </c>
    </row>
    <row r="262" spans="1:14">
      <c r="A262" t="s">
        <v>25</v>
      </c>
      <c r="B262" t="s">
        <v>21</v>
      </c>
      <c r="C262" t="s">
        <v>16</v>
      </c>
      <c r="D262" s="9">
        <v>45775</v>
      </c>
      <c r="E262">
        <v>74</v>
      </c>
      <c r="F262" t="s">
        <v>7</v>
      </c>
      <c r="G262" t="s">
        <v>102</v>
      </c>
      <c r="H262">
        <v>3</v>
      </c>
      <c r="I262" t="s">
        <v>5</v>
      </c>
      <c r="J262" t="s">
        <v>89</v>
      </c>
      <c r="K262">
        <v>1</v>
      </c>
      <c r="L262">
        <v>0</v>
      </c>
      <c r="M262">
        <v>0</v>
      </c>
      <c r="N262">
        <v>1</v>
      </c>
    </row>
    <row r="263" spans="1:14">
      <c r="A263" t="s">
        <v>25</v>
      </c>
      <c r="B263" t="s">
        <v>21</v>
      </c>
      <c r="C263" t="s">
        <v>16</v>
      </c>
      <c r="D263" s="9">
        <v>45775</v>
      </c>
      <c r="E263">
        <v>74</v>
      </c>
      <c r="F263" t="s">
        <v>4</v>
      </c>
      <c r="G263" t="s">
        <v>65</v>
      </c>
      <c r="H263">
        <v>7</v>
      </c>
      <c r="I263" t="s">
        <v>7</v>
      </c>
      <c r="J263" t="s">
        <v>89</v>
      </c>
      <c r="K263">
        <v>1</v>
      </c>
      <c r="L263">
        <v>0</v>
      </c>
      <c r="M263">
        <v>0</v>
      </c>
      <c r="N263">
        <v>1</v>
      </c>
    </row>
    <row r="264" spans="1:14">
      <c r="A264" t="s">
        <v>25</v>
      </c>
      <c r="B264" t="s">
        <v>21</v>
      </c>
      <c r="C264" t="s">
        <v>16</v>
      </c>
      <c r="D264" s="9">
        <v>45775</v>
      </c>
      <c r="E264">
        <v>74</v>
      </c>
      <c r="F264" t="s">
        <v>7</v>
      </c>
      <c r="G264" t="s">
        <v>102</v>
      </c>
      <c r="H264">
        <v>3</v>
      </c>
      <c r="I264" t="s">
        <v>4</v>
      </c>
      <c r="J264" t="s">
        <v>88</v>
      </c>
      <c r="K264">
        <v>0</v>
      </c>
      <c r="L264">
        <v>1</v>
      </c>
      <c r="M264">
        <v>0</v>
      </c>
      <c r="N264">
        <v>1</v>
      </c>
    </row>
    <row r="265" spans="1:14">
      <c r="A265" t="s">
        <v>25</v>
      </c>
      <c r="B265" t="s">
        <v>21</v>
      </c>
      <c r="C265" t="s">
        <v>16</v>
      </c>
      <c r="D265" s="9">
        <v>45775</v>
      </c>
      <c r="E265">
        <v>74</v>
      </c>
      <c r="F265" t="s">
        <v>5</v>
      </c>
      <c r="G265" t="s">
        <v>65</v>
      </c>
      <c r="H265">
        <v>1</v>
      </c>
      <c r="I265" t="s">
        <v>4</v>
      </c>
      <c r="J265" t="s">
        <v>88</v>
      </c>
      <c r="K265">
        <v>0</v>
      </c>
      <c r="L265">
        <v>1</v>
      </c>
      <c r="M265">
        <v>0</v>
      </c>
      <c r="N265">
        <v>1</v>
      </c>
    </row>
    <row r="266" spans="1:14">
      <c r="A266" t="s">
        <v>25</v>
      </c>
      <c r="B266" t="s">
        <v>21</v>
      </c>
      <c r="C266" t="s">
        <v>16</v>
      </c>
      <c r="D266" s="9">
        <v>45775</v>
      </c>
      <c r="E266">
        <v>74</v>
      </c>
      <c r="F266" t="s">
        <v>5</v>
      </c>
      <c r="G266" t="s">
        <v>65</v>
      </c>
      <c r="H266">
        <v>1</v>
      </c>
      <c r="I266" t="s">
        <v>7</v>
      </c>
      <c r="J266" t="s">
        <v>88</v>
      </c>
      <c r="K266">
        <v>0</v>
      </c>
      <c r="L266">
        <v>1</v>
      </c>
      <c r="M266">
        <v>0</v>
      </c>
      <c r="N266">
        <v>1</v>
      </c>
    </row>
    <row r="267" spans="1:14">
      <c r="A267" t="s">
        <v>25</v>
      </c>
      <c r="B267" t="s">
        <v>21</v>
      </c>
      <c r="C267" t="s">
        <v>16</v>
      </c>
      <c r="D267" s="9">
        <v>45775</v>
      </c>
      <c r="E267">
        <v>74</v>
      </c>
      <c r="F267" t="s">
        <v>4</v>
      </c>
      <c r="G267" t="s">
        <v>102</v>
      </c>
      <c r="H267">
        <v>7</v>
      </c>
      <c r="I267" t="s">
        <v>5</v>
      </c>
      <c r="J267" t="s">
        <v>89</v>
      </c>
      <c r="K267">
        <v>1</v>
      </c>
      <c r="L267">
        <v>0</v>
      </c>
      <c r="M267">
        <v>0</v>
      </c>
      <c r="N267">
        <v>1</v>
      </c>
    </row>
    <row r="268" spans="1:14">
      <c r="A268" t="s">
        <v>25</v>
      </c>
      <c r="B268" t="s">
        <v>20</v>
      </c>
      <c r="C268" t="s">
        <v>16</v>
      </c>
      <c r="D268" s="9">
        <v>45775</v>
      </c>
      <c r="E268">
        <v>75</v>
      </c>
      <c r="F268" t="s">
        <v>5</v>
      </c>
      <c r="G268" t="s">
        <v>102</v>
      </c>
      <c r="H268">
        <v>8</v>
      </c>
      <c r="I268" t="s">
        <v>4</v>
      </c>
      <c r="J268" t="s">
        <v>88</v>
      </c>
      <c r="K268">
        <v>0</v>
      </c>
      <c r="L268">
        <v>1</v>
      </c>
      <c r="M268">
        <v>0</v>
      </c>
      <c r="N268">
        <v>1</v>
      </c>
    </row>
    <row r="269" spans="1:14">
      <c r="A269" t="s">
        <v>25</v>
      </c>
      <c r="B269" t="s">
        <v>20</v>
      </c>
      <c r="C269" t="s">
        <v>16</v>
      </c>
      <c r="D269" s="9">
        <v>45775</v>
      </c>
      <c r="E269">
        <v>75</v>
      </c>
      <c r="F269" t="s">
        <v>4</v>
      </c>
      <c r="G269" t="s">
        <v>65</v>
      </c>
      <c r="H269">
        <v>10</v>
      </c>
      <c r="I269" t="s">
        <v>5</v>
      </c>
      <c r="J269" t="s">
        <v>89</v>
      </c>
      <c r="K269">
        <v>1</v>
      </c>
      <c r="L269">
        <v>0</v>
      </c>
      <c r="M269">
        <v>0</v>
      </c>
      <c r="N269">
        <v>1</v>
      </c>
    </row>
    <row r="270" spans="1:14">
      <c r="A270" t="s">
        <v>25</v>
      </c>
      <c r="B270" t="s">
        <v>20</v>
      </c>
      <c r="C270" t="s">
        <v>16</v>
      </c>
      <c r="D270" s="9">
        <v>45776</v>
      </c>
      <c r="E270">
        <v>76</v>
      </c>
      <c r="F270" t="s">
        <v>5</v>
      </c>
      <c r="G270" t="s">
        <v>65</v>
      </c>
      <c r="H270">
        <v>0</v>
      </c>
      <c r="I270" t="s">
        <v>4</v>
      </c>
      <c r="J270" t="s">
        <v>88</v>
      </c>
      <c r="K270">
        <v>0</v>
      </c>
      <c r="L270">
        <v>1</v>
      </c>
      <c r="M270">
        <v>0</v>
      </c>
      <c r="N270">
        <v>1</v>
      </c>
    </row>
    <row r="271" spans="1:14">
      <c r="A271" t="s">
        <v>25</v>
      </c>
      <c r="B271" t="s">
        <v>20</v>
      </c>
      <c r="C271" t="s">
        <v>16</v>
      </c>
      <c r="D271" s="9">
        <v>45776</v>
      </c>
      <c r="E271">
        <v>76</v>
      </c>
      <c r="F271" t="s">
        <v>4</v>
      </c>
      <c r="G271" t="s">
        <v>102</v>
      </c>
      <c r="H271">
        <v>5</v>
      </c>
      <c r="I271" t="s">
        <v>5</v>
      </c>
      <c r="J271" t="s">
        <v>89</v>
      </c>
      <c r="K271">
        <v>1</v>
      </c>
      <c r="L271">
        <v>0</v>
      </c>
      <c r="M271">
        <v>0</v>
      </c>
      <c r="N271">
        <v>1</v>
      </c>
    </row>
    <row r="272" spans="1:14">
      <c r="A272" t="s">
        <v>25</v>
      </c>
      <c r="B272" t="s">
        <v>20</v>
      </c>
      <c r="C272" t="s">
        <v>16</v>
      </c>
      <c r="D272" s="9">
        <v>45776</v>
      </c>
      <c r="E272">
        <v>77</v>
      </c>
      <c r="F272" t="s">
        <v>5</v>
      </c>
      <c r="G272" t="s">
        <v>102</v>
      </c>
      <c r="H272">
        <v>5</v>
      </c>
      <c r="I272" t="s">
        <v>4</v>
      </c>
      <c r="J272" t="s">
        <v>89</v>
      </c>
      <c r="K272">
        <v>1</v>
      </c>
      <c r="L272">
        <v>0</v>
      </c>
      <c r="M272">
        <v>0</v>
      </c>
      <c r="N272">
        <v>1</v>
      </c>
    </row>
    <row r="273" spans="1:14">
      <c r="A273" t="s">
        <v>25</v>
      </c>
      <c r="B273" t="s">
        <v>20</v>
      </c>
      <c r="C273" t="s">
        <v>16</v>
      </c>
      <c r="D273" s="9">
        <v>45776</v>
      </c>
      <c r="E273">
        <v>77</v>
      </c>
      <c r="F273" t="s">
        <v>4</v>
      </c>
      <c r="G273" t="s">
        <v>102</v>
      </c>
      <c r="H273">
        <v>1</v>
      </c>
      <c r="I273" t="s">
        <v>6</v>
      </c>
      <c r="J273" t="s">
        <v>88</v>
      </c>
      <c r="K273">
        <v>0</v>
      </c>
      <c r="L273">
        <v>1</v>
      </c>
      <c r="M273">
        <v>0</v>
      </c>
      <c r="N273">
        <v>1</v>
      </c>
    </row>
    <row r="274" spans="1:14">
      <c r="A274" t="s">
        <v>25</v>
      </c>
      <c r="B274" t="s">
        <v>20</v>
      </c>
      <c r="C274" t="s">
        <v>16</v>
      </c>
      <c r="D274" s="9">
        <v>45776</v>
      </c>
      <c r="E274">
        <v>77</v>
      </c>
      <c r="F274" t="s">
        <v>4</v>
      </c>
      <c r="G274" t="s">
        <v>65</v>
      </c>
      <c r="H274">
        <v>1</v>
      </c>
      <c r="I274" t="s">
        <v>5</v>
      </c>
      <c r="J274" t="s">
        <v>88</v>
      </c>
      <c r="K274">
        <v>0</v>
      </c>
      <c r="L274">
        <v>1</v>
      </c>
      <c r="M274">
        <v>0</v>
      </c>
      <c r="N274">
        <v>1</v>
      </c>
    </row>
    <row r="275" spans="1:14">
      <c r="A275" t="s">
        <v>25</v>
      </c>
      <c r="B275" t="s">
        <v>20</v>
      </c>
      <c r="C275" t="s">
        <v>16</v>
      </c>
      <c r="D275" s="9">
        <v>45776</v>
      </c>
      <c r="E275">
        <v>77</v>
      </c>
      <c r="F275" t="s">
        <v>6</v>
      </c>
      <c r="G275" t="s">
        <v>65</v>
      </c>
      <c r="H275">
        <v>8</v>
      </c>
      <c r="I275" t="s">
        <v>5</v>
      </c>
      <c r="J275" t="s">
        <v>89</v>
      </c>
      <c r="K275">
        <v>1</v>
      </c>
      <c r="L275">
        <v>0</v>
      </c>
      <c r="M275">
        <v>0</v>
      </c>
      <c r="N275">
        <v>1</v>
      </c>
    </row>
    <row r="276" spans="1:14">
      <c r="A276" t="s">
        <v>25</v>
      </c>
      <c r="B276" t="s">
        <v>20</v>
      </c>
      <c r="C276" t="s">
        <v>16</v>
      </c>
      <c r="D276" s="9">
        <v>45776</v>
      </c>
      <c r="E276">
        <v>77</v>
      </c>
      <c r="F276" t="s">
        <v>5</v>
      </c>
      <c r="G276" t="s">
        <v>102</v>
      </c>
      <c r="H276">
        <v>5</v>
      </c>
      <c r="I276" t="s">
        <v>6</v>
      </c>
      <c r="J276" t="s">
        <v>88</v>
      </c>
      <c r="K276">
        <v>0</v>
      </c>
      <c r="L276">
        <v>1</v>
      </c>
      <c r="M276">
        <v>0</v>
      </c>
      <c r="N276">
        <v>1</v>
      </c>
    </row>
    <row r="277" spans="1:14">
      <c r="A277" t="s">
        <v>25</v>
      </c>
      <c r="B277" t="s">
        <v>20</v>
      </c>
      <c r="C277" t="s">
        <v>16</v>
      </c>
      <c r="D277" s="9">
        <v>45776</v>
      </c>
      <c r="E277">
        <v>77</v>
      </c>
      <c r="F277" t="s">
        <v>6</v>
      </c>
      <c r="G277" t="s">
        <v>65</v>
      </c>
      <c r="H277">
        <v>8</v>
      </c>
      <c r="I277" t="s">
        <v>4</v>
      </c>
      <c r="J277" t="s">
        <v>89</v>
      </c>
      <c r="K277">
        <v>1</v>
      </c>
      <c r="L277">
        <v>0</v>
      </c>
      <c r="M277">
        <v>0</v>
      </c>
      <c r="N277">
        <v>1</v>
      </c>
    </row>
    <row r="278" spans="1:14">
      <c r="A278" t="s">
        <v>25</v>
      </c>
      <c r="B278" t="s">
        <v>20</v>
      </c>
      <c r="C278" t="s">
        <v>16</v>
      </c>
      <c r="D278" s="9">
        <v>45776</v>
      </c>
      <c r="E278">
        <v>78</v>
      </c>
      <c r="F278" t="s">
        <v>4</v>
      </c>
      <c r="G278" t="s">
        <v>65</v>
      </c>
      <c r="H278">
        <v>9</v>
      </c>
      <c r="I278" t="s">
        <v>7</v>
      </c>
      <c r="J278" t="s">
        <v>89</v>
      </c>
      <c r="K278">
        <v>1</v>
      </c>
      <c r="L278">
        <v>0</v>
      </c>
      <c r="M278">
        <v>0</v>
      </c>
      <c r="N278">
        <v>1</v>
      </c>
    </row>
    <row r="279" spans="1:14">
      <c r="A279" t="s">
        <v>25</v>
      </c>
      <c r="B279" t="s">
        <v>20</v>
      </c>
      <c r="C279" t="s">
        <v>16</v>
      </c>
      <c r="D279" s="9">
        <v>45776</v>
      </c>
      <c r="E279">
        <v>78</v>
      </c>
      <c r="F279" t="s">
        <v>7</v>
      </c>
      <c r="G279" t="s">
        <v>102</v>
      </c>
      <c r="H279">
        <v>4</v>
      </c>
      <c r="I279" t="s">
        <v>4</v>
      </c>
      <c r="J279" t="s">
        <v>88</v>
      </c>
      <c r="K279">
        <v>0</v>
      </c>
      <c r="L279">
        <v>1</v>
      </c>
      <c r="M279">
        <v>0</v>
      </c>
      <c r="N279">
        <v>1</v>
      </c>
    </row>
    <row r="280" spans="1:14">
      <c r="A280" t="s">
        <v>25</v>
      </c>
      <c r="B280" t="s">
        <v>20</v>
      </c>
      <c r="C280" t="s">
        <v>16</v>
      </c>
      <c r="D280" s="9">
        <v>45776</v>
      </c>
      <c r="E280">
        <v>79</v>
      </c>
      <c r="F280" t="s">
        <v>7</v>
      </c>
      <c r="G280" t="s">
        <v>102</v>
      </c>
      <c r="H280">
        <v>5</v>
      </c>
      <c r="I280" t="s">
        <v>5</v>
      </c>
      <c r="J280" t="s">
        <v>89</v>
      </c>
      <c r="K280">
        <v>1</v>
      </c>
      <c r="L280">
        <v>0</v>
      </c>
      <c r="M280">
        <v>0</v>
      </c>
      <c r="N280">
        <v>1</v>
      </c>
    </row>
    <row r="281" spans="1:14">
      <c r="A281" t="s">
        <v>25</v>
      </c>
      <c r="B281" t="s">
        <v>20</v>
      </c>
      <c r="C281" t="s">
        <v>16</v>
      </c>
      <c r="D281" s="9">
        <v>45776</v>
      </c>
      <c r="E281">
        <v>79</v>
      </c>
      <c r="F281" t="s">
        <v>7</v>
      </c>
      <c r="G281" t="s">
        <v>102</v>
      </c>
      <c r="H281">
        <v>5</v>
      </c>
      <c r="I281" t="s">
        <v>4</v>
      </c>
      <c r="J281" t="s">
        <v>88</v>
      </c>
      <c r="K281">
        <v>0</v>
      </c>
      <c r="L281">
        <v>1</v>
      </c>
      <c r="M281">
        <v>0</v>
      </c>
      <c r="N281">
        <v>1</v>
      </c>
    </row>
    <row r="282" spans="1:14">
      <c r="A282" t="s">
        <v>25</v>
      </c>
      <c r="B282" t="s">
        <v>20</v>
      </c>
      <c r="C282" t="s">
        <v>16</v>
      </c>
      <c r="D282" s="9">
        <v>45776</v>
      </c>
      <c r="E282">
        <v>79</v>
      </c>
      <c r="F282" t="s">
        <v>4</v>
      </c>
      <c r="G282" t="s">
        <v>65</v>
      </c>
      <c r="H282">
        <v>7</v>
      </c>
      <c r="I282" t="s">
        <v>6</v>
      </c>
      <c r="J282" t="s">
        <v>89</v>
      </c>
      <c r="K282">
        <v>1</v>
      </c>
      <c r="L282">
        <v>0</v>
      </c>
      <c r="M282">
        <v>0</v>
      </c>
      <c r="N282">
        <v>1</v>
      </c>
    </row>
    <row r="283" spans="1:14">
      <c r="A283" t="s">
        <v>25</v>
      </c>
      <c r="B283" t="s">
        <v>20</v>
      </c>
      <c r="C283" t="s">
        <v>16</v>
      </c>
      <c r="D283" s="9">
        <v>45776</v>
      </c>
      <c r="E283">
        <v>79</v>
      </c>
      <c r="F283" t="s">
        <v>4</v>
      </c>
      <c r="G283" t="s">
        <v>65</v>
      </c>
      <c r="H283">
        <v>7</v>
      </c>
      <c r="I283" t="s">
        <v>5</v>
      </c>
      <c r="J283" t="s">
        <v>89</v>
      </c>
      <c r="K283">
        <v>1</v>
      </c>
      <c r="L283">
        <v>0</v>
      </c>
      <c r="M283">
        <v>0</v>
      </c>
      <c r="N283">
        <v>1</v>
      </c>
    </row>
    <row r="284" spans="1:14">
      <c r="A284" t="s">
        <v>25</v>
      </c>
      <c r="B284" t="s">
        <v>20</v>
      </c>
      <c r="C284" t="s">
        <v>16</v>
      </c>
      <c r="D284" s="9">
        <v>45776</v>
      </c>
      <c r="E284">
        <v>79</v>
      </c>
      <c r="F284" t="s">
        <v>7</v>
      </c>
      <c r="G284" t="s">
        <v>102</v>
      </c>
      <c r="H284">
        <v>5</v>
      </c>
      <c r="I284" t="s">
        <v>6</v>
      </c>
      <c r="J284" t="s">
        <v>89</v>
      </c>
      <c r="K284">
        <v>1</v>
      </c>
      <c r="L284">
        <v>0</v>
      </c>
      <c r="M284">
        <v>0</v>
      </c>
      <c r="N284">
        <v>1</v>
      </c>
    </row>
    <row r="285" spans="1:14">
      <c r="A285" t="s">
        <v>25</v>
      </c>
      <c r="B285" t="s">
        <v>20</v>
      </c>
      <c r="C285" t="s">
        <v>16</v>
      </c>
      <c r="D285" s="9">
        <v>45776</v>
      </c>
      <c r="E285">
        <v>79</v>
      </c>
      <c r="F285" t="s">
        <v>5</v>
      </c>
      <c r="G285" t="s">
        <v>102</v>
      </c>
      <c r="H285">
        <v>1</v>
      </c>
      <c r="I285" t="s">
        <v>4</v>
      </c>
      <c r="J285" t="s">
        <v>88</v>
      </c>
      <c r="K285">
        <v>0</v>
      </c>
      <c r="L285">
        <v>1</v>
      </c>
      <c r="M285">
        <v>0</v>
      </c>
      <c r="N285">
        <v>1</v>
      </c>
    </row>
    <row r="286" spans="1:14">
      <c r="A286" t="s">
        <v>25</v>
      </c>
      <c r="B286" t="s">
        <v>20</v>
      </c>
      <c r="C286" t="s">
        <v>16</v>
      </c>
      <c r="D286" s="9">
        <v>45776</v>
      </c>
      <c r="E286">
        <v>79</v>
      </c>
      <c r="F286" t="s">
        <v>5</v>
      </c>
      <c r="G286" t="s">
        <v>65</v>
      </c>
      <c r="H286">
        <v>1</v>
      </c>
      <c r="I286" t="s">
        <v>6</v>
      </c>
      <c r="J286" t="s">
        <v>87</v>
      </c>
      <c r="K286">
        <v>0</v>
      </c>
      <c r="L286">
        <v>0</v>
      </c>
      <c r="M286">
        <v>1</v>
      </c>
      <c r="N286">
        <v>1</v>
      </c>
    </row>
    <row r="287" spans="1:14">
      <c r="A287" t="s">
        <v>25</v>
      </c>
      <c r="B287" t="s">
        <v>20</v>
      </c>
      <c r="C287" t="s">
        <v>16</v>
      </c>
      <c r="D287" s="9">
        <v>45776</v>
      </c>
      <c r="E287">
        <v>79</v>
      </c>
      <c r="F287" t="s">
        <v>5</v>
      </c>
      <c r="G287" t="s">
        <v>65</v>
      </c>
      <c r="H287">
        <v>1</v>
      </c>
      <c r="I287" t="s">
        <v>7</v>
      </c>
      <c r="J287" t="s">
        <v>88</v>
      </c>
      <c r="K287">
        <v>0</v>
      </c>
      <c r="L287">
        <v>1</v>
      </c>
      <c r="M287">
        <v>0</v>
      </c>
      <c r="N287">
        <v>1</v>
      </c>
    </row>
    <row r="288" spans="1:14">
      <c r="A288" t="s">
        <v>25</v>
      </c>
      <c r="B288" t="s">
        <v>20</v>
      </c>
      <c r="C288" t="s">
        <v>16</v>
      </c>
      <c r="D288" s="9">
        <v>45776</v>
      </c>
      <c r="E288">
        <v>79</v>
      </c>
      <c r="F288" t="s">
        <v>6</v>
      </c>
      <c r="G288" t="s">
        <v>102</v>
      </c>
      <c r="H288">
        <v>1</v>
      </c>
      <c r="I288" t="s">
        <v>4</v>
      </c>
      <c r="J288" t="s">
        <v>88</v>
      </c>
      <c r="K288">
        <v>0</v>
      </c>
      <c r="L288">
        <v>1</v>
      </c>
      <c r="M288">
        <v>0</v>
      </c>
      <c r="N288">
        <v>1</v>
      </c>
    </row>
    <row r="289" spans="1:14">
      <c r="A289" t="s">
        <v>25</v>
      </c>
      <c r="B289" t="s">
        <v>20</v>
      </c>
      <c r="C289" t="s">
        <v>16</v>
      </c>
      <c r="D289" s="9">
        <v>45776</v>
      </c>
      <c r="E289">
        <v>79</v>
      </c>
      <c r="F289" t="s">
        <v>6</v>
      </c>
      <c r="G289" t="s">
        <v>102</v>
      </c>
      <c r="H289">
        <v>1</v>
      </c>
      <c r="I289" t="s">
        <v>5</v>
      </c>
      <c r="J289" t="s">
        <v>87</v>
      </c>
      <c r="K289">
        <v>0</v>
      </c>
      <c r="L289">
        <v>0</v>
      </c>
      <c r="M289">
        <v>1</v>
      </c>
      <c r="N289">
        <v>1</v>
      </c>
    </row>
    <row r="290" spans="1:14">
      <c r="A290" t="s">
        <v>25</v>
      </c>
      <c r="B290" t="s">
        <v>20</v>
      </c>
      <c r="C290" t="s">
        <v>16</v>
      </c>
      <c r="D290" s="9">
        <v>45776</v>
      </c>
      <c r="E290">
        <v>79</v>
      </c>
      <c r="F290" t="s">
        <v>4</v>
      </c>
      <c r="G290" t="s">
        <v>65</v>
      </c>
      <c r="H290">
        <v>7</v>
      </c>
      <c r="I290" t="s">
        <v>7</v>
      </c>
      <c r="J290" t="s">
        <v>89</v>
      </c>
      <c r="K290">
        <v>1</v>
      </c>
      <c r="L290">
        <v>0</v>
      </c>
      <c r="M290">
        <v>0</v>
      </c>
      <c r="N290">
        <v>1</v>
      </c>
    </row>
    <row r="291" spans="1:14">
      <c r="A291" t="s">
        <v>25</v>
      </c>
      <c r="B291" t="s">
        <v>20</v>
      </c>
      <c r="C291" t="s">
        <v>16</v>
      </c>
      <c r="D291" s="9">
        <v>45776</v>
      </c>
      <c r="E291">
        <v>79</v>
      </c>
      <c r="F291" t="s">
        <v>6</v>
      </c>
      <c r="G291" t="s">
        <v>65</v>
      </c>
      <c r="H291">
        <v>1</v>
      </c>
      <c r="I291" t="s">
        <v>7</v>
      </c>
      <c r="J291" t="s">
        <v>88</v>
      </c>
      <c r="K291">
        <v>0</v>
      </c>
      <c r="L291">
        <v>1</v>
      </c>
      <c r="M291">
        <v>0</v>
      </c>
      <c r="N291">
        <v>1</v>
      </c>
    </row>
    <row r="292" spans="1:14">
      <c r="A292" t="s">
        <v>25</v>
      </c>
      <c r="B292" t="s">
        <v>20</v>
      </c>
      <c r="C292" t="s">
        <v>16</v>
      </c>
      <c r="D292" s="9">
        <v>45777</v>
      </c>
      <c r="E292">
        <v>80</v>
      </c>
      <c r="F292" t="s">
        <v>4</v>
      </c>
      <c r="G292" t="s">
        <v>65</v>
      </c>
      <c r="H292">
        <v>12</v>
      </c>
      <c r="I292" t="s">
        <v>5</v>
      </c>
      <c r="J292" t="s">
        <v>89</v>
      </c>
      <c r="K292">
        <v>1</v>
      </c>
      <c r="L292">
        <v>0</v>
      </c>
      <c r="M292">
        <v>0</v>
      </c>
      <c r="N292">
        <v>1</v>
      </c>
    </row>
    <row r="293" spans="1:14">
      <c r="A293" t="s">
        <v>25</v>
      </c>
      <c r="B293" t="s">
        <v>20</v>
      </c>
      <c r="C293" t="s">
        <v>16</v>
      </c>
      <c r="D293" s="9">
        <v>45777</v>
      </c>
      <c r="E293">
        <v>80</v>
      </c>
      <c r="F293" t="s">
        <v>4</v>
      </c>
      <c r="G293" t="s">
        <v>65</v>
      </c>
      <c r="H293">
        <v>12</v>
      </c>
      <c r="I293" t="s">
        <v>6</v>
      </c>
      <c r="J293" t="s">
        <v>89</v>
      </c>
      <c r="K293">
        <v>1</v>
      </c>
      <c r="L293">
        <v>0</v>
      </c>
      <c r="M293">
        <v>0</v>
      </c>
      <c r="N293">
        <v>1</v>
      </c>
    </row>
    <row r="294" spans="1:14">
      <c r="A294" t="s">
        <v>25</v>
      </c>
      <c r="B294" t="s">
        <v>20</v>
      </c>
      <c r="C294" t="s">
        <v>16</v>
      </c>
      <c r="D294" s="9">
        <v>45777</v>
      </c>
      <c r="E294">
        <v>80</v>
      </c>
      <c r="F294" t="s">
        <v>6</v>
      </c>
      <c r="G294" t="s">
        <v>102</v>
      </c>
      <c r="H294">
        <v>4</v>
      </c>
      <c r="I294" t="s">
        <v>4</v>
      </c>
      <c r="J294" t="s">
        <v>88</v>
      </c>
      <c r="K294">
        <v>0</v>
      </c>
      <c r="L294">
        <v>1</v>
      </c>
      <c r="M294">
        <v>0</v>
      </c>
      <c r="N294">
        <v>1</v>
      </c>
    </row>
    <row r="295" spans="1:14">
      <c r="A295" t="s">
        <v>25</v>
      </c>
      <c r="B295" t="s">
        <v>20</v>
      </c>
      <c r="C295" t="s">
        <v>16</v>
      </c>
      <c r="D295" s="9">
        <v>45777</v>
      </c>
      <c r="E295">
        <v>80</v>
      </c>
      <c r="F295" t="s">
        <v>6</v>
      </c>
      <c r="G295" t="s">
        <v>102</v>
      </c>
      <c r="H295">
        <v>4</v>
      </c>
      <c r="I295" t="s">
        <v>5</v>
      </c>
      <c r="J295" t="s">
        <v>89</v>
      </c>
      <c r="K295">
        <v>1</v>
      </c>
      <c r="L295">
        <v>0</v>
      </c>
      <c r="M295">
        <v>0</v>
      </c>
      <c r="N295">
        <v>1</v>
      </c>
    </row>
    <row r="296" spans="1:14">
      <c r="A296" t="s">
        <v>25</v>
      </c>
      <c r="B296" t="s">
        <v>20</v>
      </c>
      <c r="C296" t="s">
        <v>16</v>
      </c>
      <c r="D296" s="9">
        <v>45777</v>
      </c>
      <c r="E296">
        <v>80</v>
      </c>
      <c r="F296" t="s">
        <v>5</v>
      </c>
      <c r="G296" t="s">
        <v>102</v>
      </c>
      <c r="H296">
        <v>3</v>
      </c>
      <c r="I296" t="s">
        <v>4</v>
      </c>
      <c r="J296" t="s">
        <v>88</v>
      </c>
      <c r="K296">
        <v>0</v>
      </c>
      <c r="L296">
        <v>1</v>
      </c>
      <c r="M296">
        <v>0</v>
      </c>
      <c r="N296">
        <v>1</v>
      </c>
    </row>
    <row r="297" spans="1:14">
      <c r="A297" t="s">
        <v>25</v>
      </c>
      <c r="B297" t="s">
        <v>20</v>
      </c>
      <c r="C297" t="s">
        <v>16</v>
      </c>
      <c r="D297" s="9">
        <v>45777</v>
      </c>
      <c r="E297">
        <v>80</v>
      </c>
      <c r="F297" t="s">
        <v>5</v>
      </c>
      <c r="G297" t="s">
        <v>65</v>
      </c>
      <c r="H297">
        <v>3</v>
      </c>
      <c r="I297" t="s">
        <v>6</v>
      </c>
      <c r="J297" t="s">
        <v>88</v>
      </c>
      <c r="K297">
        <v>0</v>
      </c>
      <c r="L297">
        <v>1</v>
      </c>
      <c r="M297">
        <v>0</v>
      </c>
      <c r="N297">
        <v>1</v>
      </c>
    </row>
    <row r="298" spans="1:14">
      <c r="A298" t="s">
        <v>25</v>
      </c>
      <c r="B298" t="s">
        <v>19</v>
      </c>
      <c r="C298" t="s">
        <v>16</v>
      </c>
      <c r="D298" s="9">
        <v>45777</v>
      </c>
      <c r="E298">
        <v>81</v>
      </c>
      <c r="F298" t="s">
        <v>4</v>
      </c>
      <c r="G298" t="s">
        <v>65</v>
      </c>
      <c r="H298">
        <v>6</v>
      </c>
      <c r="I298" t="s">
        <v>5</v>
      </c>
      <c r="J298" t="s">
        <v>89</v>
      </c>
      <c r="K298">
        <v>1</v>
      </c>
      <c r="L298">
        <v>0</v>
      </c>
      <c r="M298">
        <v>0</v>
      </c>
      <c r="N298">
        <v>1</v>
      </c>
    </row>
    <row r="299" spans="1:14">
      <c r="A299" t="s">
        <v>25</v>
      </c>
      <c r="B299" t="s">
        <v>19</v>
      </c>
      <c r="C299" t="s">
        <v>16</v>
      </c>
      <c r="D299" s="9">
        <v>45777</v>
      </c>
      <c r="E299">
        <v>81</v>
      </c>
      <c r="F299" t="s">
        <v>5</v>
      </c>
      <c r="G299" t="s">
        <v>102</v>
      </c>
      <c r="H299">
        <v>0</v>
      </c>
      <c r="I299" t="s">
        <v>4</v>
      </c>
      <c r="J299" t="s">
        <v>88</v>
      </c>
      <c r="K299">
        <v>0</v>
      </c>
      <c r="L299">
        <v>1</v>
      </c>
      <c r="M299">
        <v>0</v>
      </c>
      <c r="N299">
        <v>1</v>
      </c>
    </row>
    <row r="300" spans="1:14">
      <c r="A300" t="s">
        <v>25</v>
      </c>
      <c r="B300" t="s">
        <v>21</v>
      </c>
      <c r="C300" t="s">
        <v>16</v>
      </c>
      <c r="D300" s="9">
        <v>45777</v>
      </c>
      <c r="E300">
        <v>82</v>
      </c>
      <c r="F300" t="s">
        <v>7</v>
      </c>
      <c r="G300" t="s">
        <v>102</v>
      </c>
      <c r="H300">
        <v>2</v>
      </c>
      <c r="I300" t="s">
        <v>5</v>
      </c>
      <c r="J300" t="s">
        <v>88</v>
      </c>
      <c r="K300">
        <v>0</v>
      </c>
      <c r="L300">
        <v>1</v>
      </c>
      <c r="M300">
        <v>0</v>
      </c>
      <c r="N300">
        <v>1</v>
      </c>
    </row>
    <row r="301" spans="1:14">
      <c r="A301" t="s">
        <v>25</v>
      </c>
      <c r="B301" t="s">
        <v>21</v>
      </c>
      <c r="C301" t="s">
        <v>16</v>
      </c>
      <c r="D301" s="9">
        <v>45777</v>
      </c>
      <c r="E301">
        <v>82</v>
      </c>
      <c r="F301" t="s">
        <v>4</v>
      </c>
      <c r="G301" t="s">
        <v>102</v>
      </c>
      <c r="H301">
        <v>12</v>
      </c>
      <c r="I301" t="s">
        <v>7</v>
      </c>
      <c r="J301" t="s">
        <v>89</v>
      </c>
      <c r="K301">
        <v>1</v>
      </c>
      <c r="L301">
        <v>0</v>
      </c>
      <c r="M301">
        <v>0</v>
      </c>
      <c r="N301">
        <v>1</v>
      </c>
    </row>
    <row r="302" spans="1:14">
      <c r="A302" t="s">
        <v>25</v>
      </c>
      <c r="B302" t="s">
        <v>21</v>
      </c>
      <c r="C302" t="s">
        <v>16</v>
      </c>
      <c r="D302" s="9">
        <v>45777</v>
      </c>
      <c r="E302">
        <v>82</v>
      </c>
      <c r="F302" t="s">
        <v>4</v>
      </c>
      <c r="G302" t="s">
        <v>102</v>
      </c>
      <c r="H302">
        <v>12</v>
      </c>
      <c r="I302" t="s">
        <v>5</v>
      </c>
      <c r="J302" t="s">
        <v>89</v>
      </c>
      <c r="K302">
        <v>1</v>
      </c>
      <c r="L302">
        <v>0</v>
      </c>
      <c r="M302">
        <v>0</v>
      </c>
      <c r="N302">
        <v>1</v>
      </c>
    </row>
    <row r="303" spans="1:14">
      <c r="A303" t="s">
        <v>25</v>
      </c>
      <c r="B303" t="s">
        <v>21</v>
      </c>
      <c r="C303" t="s">
        <v>16</v>
      </c>
      <c r="D303" s="9">
        <v>45777</v>
      </c>
      <c r="E303">
        <v>82</v>
      </c>
      <c r="F303" t="s">
        <v>7</v>
      </c>
      <c r="G303" t="s">
        <v>65</v>
      </c>
      <c r="H303">
        <v>2</v>
      </c>
      <c r="I303" t="s">
        <v>4</v>
      </c>
      <c r="J303" t="s">
        <v>88</v>
      </c>
      <c r="K303">
        <v>0</v>
      </c>
      <c r="L303">
        <v>1</v>
      </c>
      <c r="M303">
        <v>0</v>
      </c>
      <c r="N303">
        <v>1</v>
      </c>
    </row>
    <row r="304" spans="1:14">
      <c r="A304" t="s">
        <v>25</v>
      </c>
      <c r="B304" t="s">
        <v>21</v>
      </c>
      <c r="C304" t="s">
        <v>16</v>
      </c>
      <c r="D304" s="9">
        <v>45777</v>
      </c>
      <c r="E304">
        <v>82</v>
      </c>
      <c r="F304" t="s">
        <v>5</v>
      </c>
      <c r="G304" t="s">
        <v>65</v>
      </c>
      <c r="H304">
        <v>5</v>
      </c>
      <c r="I304" t="s">
        <v>4</v>
      </c>
      <c r="J304" t="s">
        <v>88</v>
      </c>
      <c r="K304">
        <v>0</v>
      </c>
      <c r="L304">
        <v>1</v>
      </c>
      <c r="M304">
        <v>0</v>
      </c>
      <c r="N304">
        <v>1</v>
      </c>
    </row>
    <row r="305" spans="1:14">
      <c r="A305" t="s">
        <v>25</v>
      </c>
      <c r="B305" t="s">
        <v>21</v>
      </c>
      <c r="C305" t="s">
        <v>16</v>
      </c>
      <c r="D305" s="9">
        <v>45777</v>
      </c>
      <c r="E305">
        <v>82</v>
      </c>
      <c r="F305" t="s">
        <v>5</v>
      </c>
      <c r="G305" t="s">
        <v>65</v>
      </c>
      <c r="H305">
        <v>5</v>
      </c>
      <c r="I305" t="s">
        <v>7</v>
      </c>
      <c r="J305" t="s">
        <v>89</v>
      </c>
      <c r="K305">
        <v>1</v>
      </c>
      <c r="L305">
        <v>0</v>
      </c>
      <c r="M305">
        <v>0</v>
      </c>
      <c r="N305">
        <v>1</v>
      </c>
    </row>
    <row r="306" spans="1:14">
      <c r="A306" t="s">
        <v>25</v>
      </c>
      <c r="B306" t="s">
        <v>20</v>
      </c>
      <c r="C306" t="s">
        <v>16</v>
      </c>
      <c r="D306" s="9">
        <v>45777</v>
      </c>
      <c r="E306">
        <v>83</v>
      </c>
      <c r="F306" t="s">
        <v>5</v>
      </c>
      <c r="G306" t="s">
        <v>102</v>
      </c>
      <c r="H306">
        <v>5</v>
      </c>
      <c r="I306" t="s">
        <v>4</v>
      </c>
      <c r="J306" t="s">
        <v>88</v>
      </c>
      <c r="K306">
        <v>0</v>
      </c>
      <c r="L306">
        <v>1</v>
      </c>
      <c r="M306">
        <v>0</v>
      </c>
      <c r="N306">
        <v>1</v>
      </c>
    </row>
    <row r="307" spans="1:14">
      <c r="A307" t="s">
        <v>25</v>
      </c>
      <c r="B307" t="s">
        <v>20</v>
      </c>
      <c r="C307" t="s">
        <v>16</v>
      </c>
      <c r="D307" s="9">
        <v>45777</v>
      </c>
      <c r="E307">
        <v>83</v>
      </c>
      <c r="F307" t="s">
        <v>4</v>
      </c>
      <c r="G307" t="s">
        <v>65</v>
      </c>
      <c r="H307">
        <v>12</v>
      </c>
      <c r="I307" t="s">
        <v>5</v>
      </c>
      <c r="J307" t="s">
        <v>89</v>
      </c>
      <c r="K307">
        <v>1</v>
      </c>
      <c r="L307">
        <v>0</v>
      </c>
      <c r="M307">
        <v>0</v>
      </c>
      <c r="N307">
        <v>1</v>
      </c>
    </row>
    <row r="308" spans="1:14">
      <c r="A308" t="s">
        <v>25</v>
      </c>
      <c r="B308" t="s">
        <v>20</v>
      </c>
      <c r="C308" t="s">
        <v>16</v>
      </c>
      <c r="D308" s="9">
        <v>45778</v>
      </c>
      <c r="E308">
        <v>84</v>
      </c>
      <c r="F308" t="s">
        <v>5</v>
      </c>
      <c r="G308" t="s">
        <v>65</v>
      </c>
      <c r="H308">
        <v>5</v>
      </c>
      <c r="I308" t="s">
        <v>4</v>
      </c>
      <c r="J308" t="s">
        <v>88</v>
      </c>
      <c r="K308">
        <v>0</v>
      </c>
      <c r="L308">
        <v>1</v>
      </c>
      <c r="M308">
        <v>0</v>
      </c>
      <c r="N308">
        <v>1</v>
      </c>
    </row>
    <row r="309" spans="1:14">
      <c r="A309" t="s">
        <v>25</v>
      </c>
      <c r="B309" t="s">
        <v>20</v>
      </c>
      <c r="C309" t="s">
        <v>16</v>
      </c>
      <c r="D309" s="9">
        <v>45778</v>
      </c>
      <c r="E309">
        <v>84</v>
      </c>
      <c r="F309" t="s">
        <v>4</v>
      </c>
      <c r="G309" t="s">
        <v>102</v>
      </c>
      <c r="H309">
        <v>10</v>
      </c>
      <c r="I309" t="s">
        <v>5</v>
      </c>
      <c r="J309" t="s">
        <v>89</v>
      </c>
      <c r="K309">
        <v>1</v>
      </c>
      <c r="L309">
        <v>0</v>
      </c>
      <c r="M309">
        <v>0</v>
      </c>
      <c r="N309">
        <v>1</v>
      </c>
    </row>
    <row r="310" spans="1:14">
      <c r="A310" t="s">
        <v>25</v>
      </c>
      <c r="B310" t="s">
        <v>19</v>
      </c>
      <c r="C310" t="s">
        <v>16</v>
      </c>
      <c r="D310" s="9">
        <v>45778</v>
      </c>
      <c r="E310">
        <v>85</v>
      </c>
      <c r="F310" t="s">
        <v>4</v>
      </c>
      <c r="G310" t="s">
        <v>102</v>
      </c>
      <c r="H310">
        <v>10</v>
      </c>
      <c r="I310" t="s">
        <v>5</v>
      </c>
      <c r="J310" t="s">
        <v>89</v>
      </c>
      <c r="K310">
        <v>1</v>
      </c>
      <c r="L310">
        <v>0</v>
      </c>
      <c r="M310">
        <v>0</v>
      </c>
      <c r="N310">
        <v>1</v>
      </c>
    </row>
    <row r="311" spans="1:14">
      <c r="A311" t="s">
        <v>25</v>
      </c>
      <c r="B311" t="s">
        <v>19</v>
      </c>
      <c r="C311" t="s">
        <v>16</v>
      </c>
      <c r="D311" s="9">
        <v>45778</v>
      </c>
      <c r="E311">
        <v>85</v>
      </c>
      <c r="F311" t="s">
        <v>5</v>
      </c>
      <c r="G311" t="s">
        <v>65</v>
      </c>
      <c r="H311">
        <v>6</v>
      </c>
      <c r="I311" t="s">
        <v>4</v>
      </c>
      <c r="J311" t="s">
        <v>88</v>
      </c>
      <c r="K311">
        <v>0</v>
      </c>
      <c r="L311">
        <v>1</v>
      </c>
      <c r="M311">
        <v>0</v>
      </c>
      <c r="N311">
        <v>1</v>
      </c>
    </row>
    <row r="312" spans="1:14">
      <c r="A312" t="s">
        <v>25</v>
      </c>
      <c r="B312" t="s">
        <v>21</v>
      </c>
      <c r="C312" t="s">
        <v>16</v>
      </c>
      <c r="D312" s="9">
        <v>45778</v>
      </c>
      <c r="E312">
        <v>86</v>
      </c>
      <c r="F312" t="s">
        <v>4</v>
      </c>
      <c r="G312" t="s">
        <v>65</v>
      </c>
      <c r="H312">
        <v>8</v>
      </c>
      <c r="I312" t="s">
        <v>5</v>
      </c>
      <c r="J312" t="s">
        <v>89</v>
      </c>
      <c r="K312">
        <v>1</v>
      </c>
      <c r="L312">
        <v>0</v>
      </c>
      <c r="M312">
        <v>0</v>
      </c>
      <c r="N312">
        <v>1</v>
      </c>
    </row>
    <row r="313" spans="1:14">
      <c r="A313" t="s">
        <v>25</v>
      </c>
      <c r="B313" t="s">
        <v>21</v>
      </c>
      <c r="C313" t="s">
        <v>16</v>
      </c>
      <c r="D313" s="9">
        <v>45778</v>
      </c>
      <c r="E313">
        <v>86</v>
      </c>
      <c r="F313" t="s">
        <v>5</v>
      </c>
      <c r="G313" t="s">
        <v>102</v>
      </c>
      <c r="H313">
        <v>4</v>
      </c>
      <c r="I313" t="s">
        <v>4</v>
      </c>
      <c r="J313" t="s">
        <v>88</v>
      </c>
      <c r="K313">
        <v>0</v>
      </c>
      <c r="L313">
        <v>1</v>
      </c>
      <c r="M313">
        <v>0</v>
      </c>
      <c r="N313">
        <v>1</v>
      </c>
    </row>
    <row r="314" spans="1:14">
      <c r="A314" t="s">
        <v>25</v>
      </c>
      <c r="B314" t="s">
        <v>21</v>
      </c>
      <c r="C314" t="s">
        <v>16</v>
      </c>
      <c r="D314" s="9">
        <v>45778</v>
      </c>
      <c r="E314">
        <v>87</v>
      </c>
      <c r="F314" t="s">
        <v>4</v>
      </c>
      <c r="G314" t="s">
        <v>102</v>
      </c>
      <c r="H314">
        <v>4</v>
      </c>
      <c r="I314" t="s">
        <v>5</v>
      </c>
      <c r="J314" t="s">
        <v>89</v>
      </c>
      <c r="K314">
        <v>1</v>
      </c>
      <c r="L314">
        <v>0</v>
      </c>
      <c r="M314">
        <v>0</v>
      </c>
      <c r="N314">
        <v>1</v>
      </c>
    </row>
    <row r="315" spans="1:14">
      <c r="A315" t="s">
        <v>25</v>
      </c>
      <c r="B315" t="s">
        <v>21</v>
      </c>
      <c r="C315" t="s">
        <v>16</v>
      </c>
      <c r="D315" s="9">
        <v>45778</v>
      </c>
      <c r="E315">
        <v>87</v>
      </c>
      <c r="F315" t="s">
        <v>5</v>
      </c>
      <c r="G315" t="s">
        <v>65</v>
      </c>
      <c r="H315">
        <v>3</v>
      </c>
      <c r="I315" t="s">
        <v>4</v>
      </c>
      <c r="J315" t="s">
        <v>88</v>
      </c>
      <c r="K315">
        <v>0</v>
      </c>
      <c r="L315">
        <v>1</v>
      </c>
      <c r="M315">
        <v>0</v>
      </c>
      <c r="N315">
        <v>1</v>
      </c>
    </row>
    <row r="316" spans="1:14">
      <c r="A316" t="s">
        <v>25</v>
      </c>
      <c r="B316" t="s">
        <v>20</v>
      </c>
      <c r="C316" t="s">
        <v>16</v>
      </c>
      <c r="D316" s="9">
        <v>45779</v>
      </c>
      <c r="E316">
        <v>88</v>
      </c>
      <c r="F316" t="s">
        <v>4</v>
      </c>
      <c r="G316" t="s">
        <v>65</v>
      </c>
      <c r="H316">
        <v>9</v>
      </c>
      <c r="I316" t="s">
        <v>5</v>
      </c>
      <c r="J316" t="s">
        <v>89</v>
      </c>
      <c r="K316">
        <v>1</v>
      </c>
      <c r="L316">
        <v>0</v>
      </c>
      <c r="M316">
        <v>0</v>
      </c>
      <c r="N316">
        <v>1</v>
      </c>
    </row>
    <row r="317" spans="1:14">
      <c r="A317" t="s">
        <v>25</v>
      </c>
      <c r="B317" t="s">
        <v>20</v>
      </c>
      <c r="C317" t="s">
        <v>16</v>
      </c>
      <c r="D317" s="9">
        <v>45779</v>
      </c>
      <c r="E317">
        <v>88</v>
      </c>
      <c r="F317" t="s">
        <v>5</v>
      </c>
      <c r="G317" t="s">
        <v>102</v>
      </c>
      <c r="H317">
        <v>8</v>
      </c>
      <c r="I317" t="s">
        <v>4</v>
      </c>
      <c r="J317" t="s">
        <v>88</v>
      </c>
      <c r="K317">
        <v>0</v>
      </c>
      <c r="L317">
        <v>1</v>
      </c>
      <c r="M317">
        <v>0</v>
      </c>
      <c r="N317">
        <v>1</v>
      </c>
    </row>
    <row r="318" spans="1:14">
      <c r="A318" t="s">
        <v>25</v>
      </c>
      <c r="B318" t="s">
        <v>19</v>
      </c>
      <c r="C318" t="s">
        <v>16</v>
      </c>
      <c r="D318" s="9">
        <v>45779</v>
      </c>
      <c r="E318">
        <v>89</v>
      </c>
      <c r="F318" t="s">
        <v>5</v>
      </c>
      <c r="G318" t="s">
        <v>65</v>
      </c>
      <c r="H318">
        <v>4</v>
      </c>
      <c r="I318" t="s">
        <v>23</v>
      </c>
      <c r="J318" t="s">
        <v>89</v>
      </c>
      <c r="K318">
        <v>1</v>
      </c>
      <c r="L318">
        <v>0</v>
      </c>
      <c r="M318">
        <v>0</v>
      </c>
      <c r="N318">
        <v>1</v>
      </c>
    </row>
    <row r="319" spans="1:14">
      <c r="A319" t="s">
        <v>25</v>
      </c>
      <c r="B319" t="s">
        <v>19</v>
      </c>
      <c r="C319" t="s">
        <v>16</v>
      </c>
      <c r="D319" s="9">
        <v>45779</v>
      </c>
      <c r="E319">
        <v>89</v>
      </c>
      <c r="F319" t="s">
        <v>4</v>
      </c>
      <c r="G319" t="s">
        <v>102</v>
      </c>
      <c r="H319">
        <v>2</v>
      </c>
      <c r="I319" t="s">
        <v>5</v>
      </c>
      <c r="J319" t="s">
        <v>88</v>
      </c>
      <c r="K319">
        <v>0</v>
      </c>
      <c r="L319">
        <v>1</v>
      </c>
      <c r="M319">
        <v>0</v>
      </c>
      <c r="N319">
        <v>1</v>
      </c>
    </row>
    <row r="320" spans="1:14">
      <c r="A320" t="s">
        <v>25</v>
      </c>
      <c r="B320" t="s">
        <v>19</v>
      </c>
      <c r="C320" t="s">
        <v>16</v>
      </c>
      <c r="D320" s="9">
        <v>45779</v>
      </c>
      <c r="E320">
        <v>89</v>
      </c>
      <c r="F320" t="s">
        <v>4</v>
      </c>
      <c r="G320" t="s">
        <v>102</v>
      </c>
      <c r="H320">
        <v>2</v>
      </c>
      <c r="I320" t="s">
        <v>23</v>
      </c>
      <c r="J320" t="s">
        <v>87</v>
      </c>
      <c r="K320">
        <v>0</v>
      </c>
      <c r="L320">
        <v>0</v>
      </c>
      <c r="M320">
        <v>1</v>
      </c>
      <c r="N320">
        <v>1</v>
      </c>
    </row>
    <row r="321" spans="1:14">
      <c r="A321" t="s">
        <v>25</v>
      </c>
      <c r="B321" t="s">
        <v>19</v>
      </c>
      <c r="C321" t="s">
        <v>16</v>
      </c>
      <c r="D321" s="9">
        <v>45779</v>
      </c>
      <c r="E321">
        <v>89</v>
      </c>
      <c r="F321" t="s">
        <v>5</v>
      </c>
      <c r="G321" t="s">
        <v>65</v>
      </c>
      <c r="H321">
        <v>4</v>
      </c>
      <c r="I321" t="s">
        <v>4</v>
      </c>
      <c r="J321" t="s">
        <v>89</v>
      </c>
      <c r="K321">
        <v>1</v>
      </c>
      <c r="L321">
        <v>0</v>
      </c>
      <c r="M321">
        <v>0</v>
      </c>
      <c r="N321">
        <v>1</v>
      </c>
    </row>
    <row r="322" spans="1:14">
      <c r="A322" t="s">
        <v>25</v>
      </c>
      <c r="B322" t="s">
        <v>19</v>
      </c>
      <c r="C322" t="s">
        <v>16</v>
      </c>
      <c r="D322" s="9">
        <v>45779</v>
      </c>
      <c r="E322">
        <v>89</v>
      </c>
      <c r="F322" t="s">
        <v>23</v>
      </c>
      <c r="G322" t="s">
        <v>65</v>
      </c>
      <c r="H322">
        <v>2</v>
      </c>
      <c r="I322" t="s">
        <v>4</v>
      </c>
      <c r="J322" t="s">
        <v>87</v>
      </c>
      <c r="K322">
        <v>0</v>
      </c>
      <c r="L322">
        <v>0</v>
      </c>
      <c r="M322">
        <v>1</v>
      </c>
      <c r="N322">
        <v>1</v>
      </c>
    </row>
    <row r="323" spans="1:14">
      <c r="A323" t="s">
        <v>25</v>
      </c>
      <c r="B323" t="s">
        <v>19</v>
      </c>
      <c r="C323" t="s">
        <v>16</v>
      </c>
      <c r="D323" s="9">
        <v>45779</v>
      </c>
      <c r="E323">
        <v>89</v>
      </c>
      <c r="F323" t="s">
        <v>23</v>
      </c>
      <c r="G323" t="s">
        <v>102</v>
      </c>
      <c r="H323">
        <v>2</v>
      </c>
      <c r="I323" t="s">
        <v>5</v>
      </c>
      <c r="J323" t="s">
        <v>88</v>
      </c>
      <c r="K323">
        <v>0</v>
      </c>
      <c r="L323">
        <v>1</v>
      </c>
      <c r="M323">
        <v>0</v>
      </c>
      <c r="N323">
        <v>1</v>
      </c>
    </row>
    <row r="324" spans="1:14">
      <c r="A324" t="s">
        <v>25</v>
      </c>
      <c r="B324" t="s">
        <v>20</v>
      </c>
      <c r="C324" t="s">
        <v>16</v>
      </c>
      <c r="D324" s="9">
        <v>45782</v>
      </c>
      <c r="E324">
        <v>90</v>
      </c>
      <c r="F324" t="s">
        <v>4</v>
      </c>
      <c r="G324" t="s">
        <v>102</v>
      </c>
      <c r="H324">
        <v>2</v>
      </c>
      <c r="I324" t="s">
        <v>5</v>
      </c>
      <c r="J324" t="s">
        <v>89</v>
      </c>
      <c r="K324">
        <v>1</v>
      </c>
      <c r="L324">
        <v>0</v>
      </c>
      <c r="M324">
        <v>0</v>
      </c>
      <c r="N324">
        <v>1</v>
      </c>
    </row>
    <row r="325" spans="1:14">
      <c r="A325" t="s">
        <v>25</v>
      </c>
      <c r="B325" t="s">
        <v>20</v>
      </c>
      <c r="C325" t="s">
        <v>16</v>
      </c>
      <c r="D325" s="9">
        <v>45782</v>
      </c>
      <c r="E325">
        <v>90</v>
      </c>
      <c r="F325" t="s">
        <v>5</v>
      </c>
      <c r="G325" t="s">
        <v>65</v>
      </c>
      <c r="H325">
        <v>1</v>
      </c>
      <c r="I325" t="s">
        <v>4</v>
      </c>
      <c r="J325" t="s">
        <v>88</v>
      </c>
      <c r="K325">
        <v>0</v>
      </c>
      <c r="L325">
        <v>1</v>
      </c>
      <c r="M325">
        <v>0</v>
      </c>
      <c r="N325">
        <v>1</v>
      </c>
    </row>
    <row r="326" spans="1:14">
      <c r="A326" t="s">
        <v>25</v>
      </c>
      <c r="B326" t="s">
        <v>20</v>
      </c>
      <c r="C326" t="s">
        <v>16</v>
      </c>
      <c r="D326" s="9">
        <v>45782</v>
      </c>
      <c r="E326">
        <v>91</v>
      </c>
      <c r="F326" t="s">
        <v>4</v>
      </c>
      <c r="G326" t="s">
        <v>102</v>
      </c>
      <c r="H326">
        <v>7</v>
      </c>
      <c r="I326" t="s">
        <v>5</v>
      </c>
      <c r="J326" t="s">
        <v>88</v>
      </c>
      <c r="K326">
        <v>0</v>
      </c>
      <c r="L326">
        <v>1</v>
      </c>
      <c r="M326">
        <v>0</v>
      </c>
      <c r="N326">
        <v>1</v>
      </c>
    </row>
    <row r="327" spans="1:14">
      <c r="A327" t="s">
        <v>25</v>
      </c>
      <c r="B327" t="s">
        <v>20</v>
      </c>
      <c r="C327" t="s">
        <v>16</v>
      </c>
      <c r="D327" s="9">
        <v>45782</v>
      </c>
      <c r="E327">
        <v>91</v>
      </c>
      <c r="F327" t="s">
        <v>5</v>
      </c>
      <c r="G327" t="s">
        <v>65</v>
      </c>
      <c r="H327">
        <v>11</v>
      </c>
      <c r="I327" t="s">
        <v>4</v>
      </c>
      <c r="J327" t="s">
        <v>89</v>
      </c>
      <c r="K327">
        <v>1</v>
      </c>
      <c r="L327">
        <v>0</v>
      </c>
      <c r="M327">
        <v>0</v>
      </c>
      <c r="N327">
        <v>1</v>
      </c>
    </row>
    <row r="328" spans="1:14">
      <c r="A328" t="s">
        <v>25</v>
      </c>
      <c r="B328" t="s">
        <v>20</v>
      </c>
      <c r="C328" t="s">
        <v>16</v>
      </c>
      <c r="D328" s="9">
        <v>45783</v>
      </c>
      <c r="E328">
        <v>92</v>
      </c>
      <c r="F328" t="s">
        <v>4</v>
      </c>
      <c r="G328" t="s">
        <v>65</v>
      </c>
      <c r="H328">
        <v>7</v>
      </c>
      <c r="I328" t="s">
        <v>5</v>
      </c>
      <c r="J328" t="s">
        <v>89</v>
      </c>
      <c r="K328">
        <v>1</v>
      </c>
      <c r="L328">
        <v>0</v>
      </c>
      <c r="M328">
        <v>0</v>
      </c>
      <c r="N328">
        <v>1</v>
      </c>
    </row>
    <row r="329" spans="1:14">
      <c r="A329" t="s">
        <v>25</v>
      </c>
      <c r="B329" t="s">
        <v>20</v>
      </c>
      <c r="C329" t="s">
        <v>16</v>
      </c>
      <c r="D329" s="9">
        <v>45783</v>
      </c>
      <c r="E329">
        <v>92</v>
      </c>
      <c r="F329" t="s">
        <v>5</v>
      </c>
      <c r="G329" t="s">
        <v>102</v>
      </c>
      <c r="H329">
        <v>3</v>
      </c>
      <c r="I329" t="s">
        <v>4</v>
      </c>
      <c r="J329" t="s">
        <v>88</v>
      </c>
      <c r="K329">
        <v>0</v>
      </c>
      <c r="L329">
        <v>1</v>
      </c>
      <c r="M329">
        <v>0</v>
      </c>
      <c r="N329">
        <v>1</v>
      </c>
    </row>
    <row r="330" spans="1:14">
      <c r="A330" t="s">
        <v>25</v>
      </c>
      <c r="B330" t="s">
        <v>20</v>
      </c>
      <c r="C330" t="s">
        <v>16</v>
      </c>
      <c r="D330" s="9">
        <v>45784</v>
      </c>
      <c r="E330">
        <v>93</v>
      </c>
      <c r="F330" t="s">
        <v>4</v>
      </c>
      <c r="G330" t="s">
        <v>65</v>
      </c>
      <c r="H330">
        <v>14</v>
      </c>
      <c r="I330" t="s">
        <v>5</v>
      </c>
      <c r="J330" t="s">
        <v>89</v>
      </c>
      <c r="K330">
        <v>1</v>
      </c>
      <c r="L330">
        <v>0</v>
      </c>
      <c r="M330">
        <v>0</v>
      </c>
      <c r="N330">
        <v>1</v>
      </c>
    </row>
    <row r="331" spans="1:14">
      <c r="A331" t="s">
        <v>25</v>
      </c>
      <c r="B331" t="s">
        <v>20</v>
      </c>
      <c r="C331" t="s">
        <v>16</v>
      </c>
      <c r="D331" s="9">
        <v>45784</v>
      </c>
      <c r="E331">
        <v>93</v>
      </c>
      <c r="F331" t="s">
        <v>5</v>
      </c>
      <c r="G331" t="s">
        <v>102</v>
      </c>
      <c r="H331">
        <v>1</v>
      </c>
      <c r="I331" t="s">
        <v>4</v>
      </c>
      <c r="J331" t="s">
        <v>88</v>
      </c>
      <c r="K331">
        <v>0</v>
      </c>
      <c r="L331">
        <v>1</v>
      </c>
      <c r="M331">
        <v>0</v>
      </c>
      <c r="N331">
        <v>1</v>
      </c>
    </row>
    <row r="332" spans="1:14">
      <c r="A332" t="s">
        <v>25</v>
      </c>
      <c r="B332" t="s">
        <v>19</v>
      </c>
      <c r="C332" t="s">
        <v>16</v>
      </c>
      <c r="D332" s="9">
        <v>45784</v>
      </c>
      <c r="E332">
        <v>94</v>
      </c>
      <c r="F332" t="s">
        <v>5</v>
      </c>
      <c r="G332" t="s">
        <v>65</v>
      </c>
      <c r="H332">
        <v>8</v>
      </c>
      <c r="I332" t="s">
        <v>4</v>
      </c>
      <c r="J332" t="s">
        <v>89</v>
      </c>
      <c r="K332">
        <v>1</v>
      </c>
      <c r="L332">
        <v>0</v>
      </c>
      <c r="M332">
        <v>0</v>
      </c>
      <c r="N332">
        <v>1</v>
      </c>
    </row>
    <row r="333" spans="1:14">
      <c r="A333" t="s">
        <v>25</v>
      </c>
      <c r="B333" t="s">
        <v>19</v>
      </c>
      <c r="C333" t="s">
        <v>16</v>
      </c>
      <c r="D333" s="9">
        <v>45784</v>
      </c>
      <c r="E333">
        <v>94</v>
      </c>
      <c r="F333" t="s">
        <v>4</v>
      </c>
      <c r="G333" t="s">
        <v>102</v>
      </c>
      <c r="H333">
        <v>7</v>
      </c>
      <c r="I333" t="s">
        <v>5</v>
      </c>
      <c r="J333" t="s">
        <v>88</v>
      </c>
      <c r="K333">
        <v>0</v>
      </c>
      <c r="L333">
        <v>1</v>
      </c>
      <c r="M333">
        <v>0</v>
      </c>
      <c r="N333">
        <v>1</v>
      </c>
    </row>
    <row r="334" spans="1:14">
      <c r="A334" t="s">
        <v>25</v>
      </c>
      <c r="B334" t="s">
        <v>21</v>
      </c>
      <c r="C334" t="s">
        <v>16</v>
      </c>
      <c r="D334" s="9">
        <v>45784</v>
      </c>
      <c r="E334">
        <v>95</v>
      </c>
      <c r="F334" t="s">
        <v>5</v>
      </c>
      <c r="G334" t="s">
        <v>65</v>
      </c>
      <c r="H334">
        <v>1</v>
      </c>
      <c r="I334" t="s">
        <v>4</v>
      </c>
      <c r="J334" t="s">
        <v>88</v>
      </c>
      <c r="K334">
        <v>0</v>
      </c>
      <c r="L334">
        <v>1</v>
      </c>
      <c r="M334">
        <v>0</v>
      </c>
      <c r="N334">
        <v>1</v>
      </c>
    </row>
    <row r="335" spans="1:14">
      <c r="A335" t="s">
        <v>25</v>
      </c>
      <c r="B335" t="s">
        <v>21</v>
      </c>
      <c r="C335" t="s">
        <v>16</v>
      </c>
      <c r="D335" s="9">
        <v>45784</v>
      </c>
      <c r="E335">
        <v>95</v>
      </c>
      <c r="F335" t="s">
        <v>4</v>
      </c>
      <c r="G335" t="s">
        <v>102</v>
      </c>
      <c r="H335">
        <v>2</v>
      </c>
      <c r="I335" t="s">
        <v>5</v>
      </c>
      <c r="J335" t="s">
        <v>89</v>
      </c>
      <c r="K335">
        <v>1</v>
      </c>
      <c r="L335">
        <v>0</v>
      </c>
      <c r="M335">
        <v>0</v>
      </c>
      <c r="N335">
        <v>1</v>
      </c>
    </row>
    <row r="336" spans="1:14">
      <c r="A336" t="s">
        <v>25</v>
      </c>
      <c r="B336" t="s">
        <v>20</v>
      </c>
      <c r="C336" t="s">
        <v>16</v>
      </c>
      <c r="D336" s="9">
        <v>45790</v>
      </c>
      <c r="E336">
        <v>96</v>
      </c>
      <c r="F336" t="s">
        <v>5</v>
      </c>
      <c r="G336" t="s">
        <v>65</v>
      </c>
      <c r="H336">
        <v>3</v>
      </c>
      <c r="I336" t="s">
        <v>4</v>
      </c>
      <c r="J336" t="s">
        <v>88</v>
      </c>
      <c r="K336">
        <v>0</v>
      </c>
      <c r="L336">
        <v>1</v>
      </c>
      <c r="M336">
        <v>0</v>
      </c>
      <c r="N336">
        <v>1</v>
      </c>
    </row>
    <row r="337" spans="1:14">
      <c r="A337" t="s">
        <v>25</v>
      </c>
      <c r="B337" t="s">
        <v>20</v>
      </c>
      <c r="C337" t="s">
        <v>16</v>
      </c>
      <c r="D337" s="9">
        <v>45790</v>
      </c>
      <c r="E337">
        <v>96</v>
      </c>
      <c r="F337" t="s">
        <v>4</v>
      </c>
      <c r="G337" t="s">
        <v>102</v>
      </c>
      <c r="H337">
        <v>5</v>
      </c>
      <c r="I337" t="s">
        <v>5</v>
      </c>
      <c r="J337" t="s">
        <v>89</v>
      </c>
      <c r="K337">
        <v>1</v>
      </c>
      <c r="L337">
        <v>0</v>
      </c>
      <c r="M337">
        <v>0</v>
      </c>
      <c r="N337">
        <v>1</v>
      </c>
    </row>
    <row r="338" spans="1:14">
      <c r="A338" t="s">
        <v>25</v>
      </c>
      <c r="B338" t="s">
        <v>20</v>
      </c>
      <c r="C338" t="s">
        <v>16</v>
      </c>
      <c r="D338" s="9">
        <v>45790</v>
      </c>
      <c r="E338">
        <v>97</v>
      </c>
      <c r="F338" t="s">
        <v>5</v>
      </c>
      <c r="G338" t="s">
        <v>102</v>
      </c>
      <c r="H338">
        <v>5</v>
      </c>
      <c r="I338" t="s">
        <v>4</v>
      </c>
      <c r="J338" t="s">
        <v>88</v>
      </c>
      <c r="K338">
        <v>0</v>
      </c>
      <c r="L338">
        <v>1</v>
      </c>
      <c r="M338">
        <v>0</v>
      </c>
      <c r="N338">
        <v>1</v>
      </c>
    </row>
    <row r="339" spans="1:14">
      <c r="A339" t="s">
        <v>25</v>
      </c>
      <c r="B339" t="s">
        <v>20</v>
      </c>
      <c r="C339" t="s">
        <v>16</v>
      </c>
      <c r="D339" s="9">
        <v>45790</v>
      </c>
      <c r="E339">
        <v>97</v>
      </c>
      <c r="F339" t="s">
        <v>4</v>
      </c>
      <c r="G339" t="s">
        <v>65</v>
      </c>
      <c r="H339">
        <v>6</v>
      </c>
      <c r="I339" t="s">
        <v>5</v>
      </c>
      <c r="J339" t="s">
        <v>89</v>
      </c>
      <c r="K339">
        <v>1</v>
      </c>
      <c r="L339">
        <v>0</v>
      </c>
      <c r="M339">
        <v>0</v>
      </c>
      <c r="N339">
        <v>1</v>
      </c>
    </row>
    <row r="340" spans="1:14">
      <c r="A340" t="s">
        <v>25</v>
      </c>
      <c r="B340" t="s">
        <v>20</v>
      </c>
      <c r="C340" t="s">
        <v>16</v>
      </c>
      <c r="D340" s="9">
        <v>45791</v>
      </c>
      <c r="E340">
        <v>98</v>
      </c>
      <c r="F340" t="s">
        <v>4</v>
      </c>
      <c r="G340" t="s">
        <v>65</v>
      </c>
      <c r="H340">
        <v>11</v>
      </c>
      <c r="I340" t="s">
        <v>5</v>
      </c>
      <c r="J340" t="s">
        <v>89</v>
      </c>
      <c r="K340">
        <v>1</v>
      </c>
      <c r="L340">
        <v>0</v>
      </c>
      <c r="M340">
        <v>0</v>
      </c>
      <c r="N340">
        <v>1</v>
      </c>
    </row>
    <row r="341" spans="1:14">
      <c r="A341" t="s">
        <v>25</v>
      </c>
      <c r="B341" t="s">
        <v>20</v>
      </c>
      <c r="C341" t="s">
        <v>16</v>
      </c>
      <c r="D341" s="9">
        <v>45791</v>
      </c>
      <c r="E341">
        <v>98</v>
      </c>
      <c r="F341" t="s">
        <v>4</v>
      </c>
      <c r="G341" t="s">
        <v>65</v>
      </c>
      <c r="H341">
        <v>11</v>
      </c>
      <c r="I341" t="s">
        <v>6</v>
      </c>
      <c r="J341" t="s">
        <v>89</v>
      </c>
      <c r="K341">
        <v>1</v>
      </c>
      <c r="L341">
        <v>0</v>
      </c>
      <c r="M341">
        <v>0</v>
      </c>
      <c r="N341">
        <v>1</v>
      </c>
    </row>
    <row r="342" spans="1:14">
      <c r="A342" t="s">
        <v>25</v>
      </c>
      <c r="B342" t="s">
        <v>20</v>
      </c>
      <c r="C342" t="s">
        <v>16</v>
      </c>
      <c r="D342" s="9">
        <v>45791</v>
      </c>
      <c r="E342">
        <v>98</v>
      </c>
      <c r="F342" t="s">
        <v>5</v>
      </c>
      <c r="G342" t="s">
        <v>102</v>
      </c>
      <c r="H342">
        <v>2</v>
      </c>
      <c r="I342" t="s">
        <v>4</v>
      </c>
      <c r="J342" t="s">
        <v>88</v>
      </c>
      <c r="K342">
        <v>0</v>
      </c>
      <c r="L342">
        <v>1</v>
      </c>
      <c r="M342">
        <v>0</v>
      </c>
      <c r="N342">
        <v>1</v>
      </c>
    </row>
    <row r="343" spans="1:14">
      <c r="A343" t="s">
        <v>25</v>
      </c>
      <c r="B343" t="s">
        <v>20</v>
      </c>
      <c r="C343" t="s">
        <v>16</v>
      </c>
      <c r="D343" s="9">
        <v>45791</v>
      </c>
      <c r="E343">
        <v>98</v>
      </c>
      <c r="F343" t="s">
        <v>5</v>
      </c>
      <c r="G343" t="s">
        <v>65</v>
      </c>
      <c r="H343">
        <v>2</v>
      </c>
      <c r="I343" t="s">
        <v>6</v>
      </c>
      <c r="J343" t="s">
        <v>88</v>
      </c>
      <c r="K343">
        <v>0</v>
      </c>
      <c r="L343">
        <v>1</v>
      </c>
      <c r="M343">
        <v>0</v>
      </c>
      <c r="N343">
        <v>1</v>
      </c>
    </row>
    <row r="344" spans="1:14">
      <c r="A344" t="s">
        <v>25</v>
      </c>
      <c r="B344" t="s">
        <v>20</v>
      </c>
      <c r="C344" t="s">
        <v>16</v>
      </c>
      <c r="D344" s="9">
        <v>45791</v>
      </c>
      <c r="E344">
        <v>98</v>
      </c>
      <c r="F344" t="s">
        <v>6</v>
      </c>
      <c r="G344" t="s">
        <v>102</v>
      </c>
      <c r="H344">
        <v>3</v>
      </c>
      <c r="I344" t="s">
        <v>4</v>
      </c>
      <c r="J344" t="s">
        <v>88</v>
      </c>
      <c r="K344">
        <v>0</v>
      </c>
      <c r="L344">
        <v>1</v>
      </c>
      <c r="M344">
        <v>0</v>
      </c>
      <c r="N344">
        <v>1</v>
      </c>
    </row>
    <row r="345" spans="1:14">
      <c r="A345" t="s">
        <v>25</v>
      </c>
      <c r="B345" t="s">
        <v>20</v>
      </c>
      <c r="C345" t="s">
        <v>16</v>
      </c>
      <c r="D345" s="9">
        <v>45791</v>
      </c>
      <c r="E345">
        <v>98</v>
      </c>
      <c r="F345" t="s">
        <v>6</v>
      </c>
      <c r="G345" t="s">
        <v>102</v>
      </c>
      <c r="H345">
        <v>3</v>
      </c>
      <c r="I345" t="s">
        <v>5</v>
      </c>
      <c r="J345" t="s">
        <v>89</v>
      </c>
      <c r="K345">
        <v>1</v>
      </c>
      <c r="L345">
        <v>0</v>
      </c>
      <c r="M345">
        <v>0</v>
      </c>
      <c r="N345">
        <v>1</v>
      </c>
    </row>
    <row r="346" spans="1:14">
      <c r="A346" t="s">
        <v>25</v>
      </c>
      <c r="B346" t="s">
        <v>20</v>
      </c>
      <c r="C346" t="s">
        <v>16</v>
      </c>
      <c r="D346" s="9">
        <v>45791</v>
      </c>
      <c r="E346">
        <v>99</v>
      </c>
      <c r="F346" t="s">
        <v>5</v>
      </c>
      <c r="G346" t="s">
        <v>65</v>
      </c>
      <c r="H346">
        <v>7</v>
      </c>
      <c r="I346" t="s">
        <v>7</v>
      </c>
      <c r="J346" t="s">
        <v>89</v>
      </c>
      <c r="K346">
        <v>1</v>
      </c>
      <c r="L346">
        <v>0</v>
      </c>
      <c r="M346">
        <v>0</v>
      </c>
      <c r="N346">
        <v>1</v>
      </c>
    </row>
    <row r="347" spans="1:14">
      <c r="A347" t="s">
        <v>25</v>
      </c>
      <c r="B347" t="s">
        <v>20</v>
      </c>
      <c r="C347" t="s">
        <v>16</v>
      </c>
      <c r="D347" s="9">
        <v>45791</v>
      </c>
      <c r="E347">
        <v>99</v>
      </c>
      <c r="F347" t="s">
        <v>6</v>
      </c>
      <c r="G347" t="s">
        <v>102</v>
      </c>
      <c r="H347">
        <v>9</v>
      </c>
      <c r="I347" t="s">
        <v>7</v>
      </c>
      <c r="J347" t="s">
        <v>89</v>
      </c>
      <c r="K347">
        <v>1</v>
      </c>
      <c r="L347">
        <v>0</v>
      </c>
      <c r="M347">
        <v>0</v>
      </c>
      <c r="N347">
        <v>1</v>
      </c>
    </row>
    <row r="348" spans="1:14">
      <c r="A348" t="s">
        <v>25</v>
      </c>
      <c r="B348" t="s">
        <v>20</v>
      </c>
      <c r="C348" t="s">
        <v>16</v>
      </c>
      <c r="D348" s="9">
        <v>45791</v>
      </c>
      <c r="E348">
        <v>99</v>
      </c>
      <c r="F348" t="s">
        <v>6</v>
      </c>
      <c r="G348" t="s">
        <v>102</v>
      </c>
      <c r="H348">
        <v>9</v>
      </c>
      <c r="I348" t="s">
        <v>5</v>
      </c>
      <c r="J348" t="s">
        <v>89</v>
      </c>
      <c r="K348">
        <v>1</v>
      </c>
      <c r="L348">
        <v>0</v>
      </c>
      <c r="M348">
        <v>0</v>
      </c>
      <c r="N348">
        <v>1</v>
      </c>
    </row>
    <row r="349" spans="1:14">
      <c r="A349" t="s">
        <v>25</v>
      </c>
      <c r="B349" t="s">
        <v>20</v>
      </c>
      <c r="C349" t="s">
        <v>16</v>
      </c>
      <c r="D349" s="9">
        <v>45791</v>
      </c>
      <c r="E349">
        <v>99</v>
      </c>
      <c r="F349" t="s">
        <v>6</v>
      </c>
      <c r="G349" t="s">
        <v>102</v>
      </c>
      <c r="H349">
        <v>9</v>
      </c>
      <c r="I349" t="s">
        <v>4</v>
      </c>
      <c r="J349" t="s">
        <v>89</v>
      </c>
      <c r="K349">
        <v>1</v>
      </c>
      <c r="L349">
        <v>0</v>
      </c>
      <c r="M349">
        <v>0</v>
      </c>
      <c r="N349">
        <v>1</v>
      </c>
    </row>
    <row r="350" spans="1:14">
      <c r="A350" t="s">
        <v>25</v>
      </c>
      <c r="B350" t="s">
        <v>20</v>
      </c>
      <c r="C350" t="s">
        <v>16</v>
      </c>
      <c r="D350" s="9">
        <v>45791</v>
      </c>
      <c r="E350">
        <v>99</v>
      </c>
      <c r="F350" t="s">
        <v>5</v>
      </c>
      <c r="G350" t="s">
        <v>65</v>
      </c>
      <c r="H350">
        <v>7</v>
      </c>
      <c r="I350" t="s">
        <v>6</v>
      </c>
      <c r="J350" t="s">
        <v>88</v>
      </c>
      <c r="K350">
        <v>0</v>
      </c>
      <c r="L350">
        <v>1</v>
      </c>
      <c r="M350">
        <v>0</v>
      </c>
      <c r="N350">
        <v>1</v>
      </c>
    </row>
    <row r="351" spans="1:14">
      <c r="A351" t="s">
        <v>25</v>
      </c>
      <c r="B351" t="s">
        <v>20</v>
      </c>
      <c r="C351" t="s">
        <v>16</v>
      </c>
      <c r="D351" s="9">
        <v>45791</v>
      </c>
      <c r="E351">
        <v>99</v>
      </c>
      <c r="F351" t="s">
        <v>5</v>
      </c>
      <c r="G351" t="s">
        <v>65</v>
      </c>
      <c r="H351">
        <v>7</v>
      </c>
      <c r="I351" t="s">
        <v>4</v>
      </c>
      <c r="J351" t="s">
        <v>89</v>
      </c>
      <c r="K351">
        <v>1</v>
      </c>
      <c r="L351">
        <v>0</v>
      </c>
      <c r="M351">
        <v>0</v>
      </c>
      <c r="N351">
        <v>1</v>
      </c>
    </row>
    <row r="352" spans="1:14">
      <c r="A352" t="s">
        <v>25</v>
      </c>
      <c r="B352" t="s">
        <v>20</v>
      </c>
      <c r="C352" t="s">
        <v>16</v>
      </c>
      <c r="D352" s="9">
        <v>45791</v>
      </c>
      <c r="E352">
        <v>99</v>
      </c>
      <c r="F352" t="s">
        <v>7</v>
      </c>
      <c r="G352" t="s">
        <v>65</v>
      </c>
      <c r="H352">
        <v>5</v>
      </c>
      <c r="I352" t="s">
        <v>6</v>
      </c>
      <c r="J352" t="s">
        <v>88</v>
      </c>
      <c r="K352">
        <v>0</v>
      </c>
      <c r="L352">
        <v>1</v>
      </c>
      <c r="M352">
        <v>0</v>
      </c>
      <c r="N352">
        <v>1</v>
      </c>
    </row>
    <row r="353" spans="1:14">
      <c r="A353" t="s">
        <v>25</v>
      </c>
      <c r="B353" t="s">
        <v>20</v>
      </c>
      <c r="C353" t="s">
        <v>16</v>
      </c>
      <c r="D353" s="9">
        <v>45791</v>
      </c>
      <c r="E353">
        <v>99</v>
      </c>
      <c r="F353" t="s">
        <v>7</v>
      </c>
      <c r="G353" t="s">
        <v>102</v>
      </c>
      <c r="H353">
        <v>5</v>
      </c>
      <c r="I353" t="s">
        <v>4</v>
      </c>
      <c r="J353" t="s">
        <v>89</v>
      </c>
      <c r="K353">
        <v>1</v>
      </c>
      <c r="L353">
        <v>0</v>
      </c>
      <c r="M353">
        <v>0</v>
      </c>
      <c r="N353">
        <v>1</v>
      </c>
    </row>
    <row r="354" spans="1:14">
      <c r="A354" t="s">
        <v>25</v>
      </c>
      <c r="B354" t="s">
        <v>20</v>
      </c>
      <c r="C354" t="s">
        <v>16</v>
      </c>
      <c r="D354" s="9">
        <v>45791</v>
      </c>
      <c r="E354">
        <v>99</v>
      </c>
      <c r="F354" t="s">
        <v>4</v>
      </c>
      <c r="G354" t="s">
        <v>65</v>
      </c>
      <c r="H354">
        <v>3</v>
      </c>
      <c r="I354" t="s">
        <v>7</v>
      </c>
      <c r="J354" t="s">
        <v>88</v>
      </c>
      <c r="K354">
        <v>0</v>
      </c>
      <c r="L354">
        <v>1</v>
      </c>
      <c r="M354">
        <v>0</v>
      </c>
      <c r="N354">
        <v>1</v>
      </c>
    </row>
    <row r="355" spans="1:14">
      <c r="A355" t="s">
        <v>25</v>
      </c>
      <c r="B355" t="s">
        <v>20</v>
      </c>
      <c r="C355" t="s">
        <v>16</v>
      </c>
      <c r="D355" s="9">
        <v>45791</v>
      </c>
      <c r="E355">
        <v>99</v>
      </c>
      <c r="F355" t="s">
        <v>4</v>
      </c>
      <c r="G355" t="s">
        <v>65</v>
      </c>
      <c r="H355">
        <v>3</v>
      </c>
      <c r="I355" t="s">
        <v>6</v>
      </c>
      <c r="J355" t="s">
        <v>88</v>
      </c>
      <c r="K355">
        <v>0</v>
      </c>
      <c r="L355">
        <v>1</v>
      </c>
      <c r="M355">
        <v>0</v>
      </c>
      <c r="N355">
        <v>1</v>
      </c>
    </row>
    <row r="356" spans="1:14">
      <c r="A356" t="s">
        <v>25</v>
      </c>
      <c r="B356" t="s">
        <v>20</v>
      </c>
      <c r="C356" t="s">
        <v>16</v>
      </c>
      <c r="D356" s="9">
        <v>45791</v>
      </c>
      <c r="E356">
        <v>99</v>
      </c>
      <c r="F356" t="s">
        <v>4</v>
      </c>
      <c r="G356" t="s">
        <v>102</v>
      </c>
      <c r="H356">
        <v>3</v>
      </c>
      <c r="I356" t="s">
        <v>5</v>
      </c>
      <c r="J356" t="s">
        <v>88</v>
      </c>
      <c r="K356">
        <v>0</v>
      </c>
      <c r="L356">
        <v>1</v>
      </c>
      <c r="M356">
        <v>0</v>
      </c>
      <c r="N356">
        <v>1</v>
      </c>
    </row>
    <row r="357" spans="1:14">
      <c r="A357" t="s">
        <v>25</v>
      </c>
      <c r="B357" t="s">
        <v>20</v>
      </c>
      <c r="C357" t="s">
        <v>16</v>
      </c>
      <c r="D357" s="9">
        <v>45791</v>
      </c>
      <c r="E357">
        <v>99</v>
      </c>
      <c r="F357" t="s">
        <v>7</v>
      </c>
      <c r="G357" t="s">
        <v>102</v>
      </c>
      <c r="H357">
        <v>5</v>
      </c>
      <c r="I357" t="s">
        <v>5</v>
      </c>
      <c r="J357" t="s">
        <v>88</v>
      </c>
      <c r="K357">
        <v>0</v>
      </c>
      <c r="L357">
        <v>1</v>
      </c>
      <c r="M357">
        <v>0</v>
      </c>
      <c r="N357">
        <v>1</v>
      </c>
    </row>
    <row r="358" spans="1:14">
      <c r="A358" t="s">
        <v>25</v>
      </c>
      <c r="B358" t="s">
        <v>19</v>
      </c>
      <c r="C358" t="s">
        <v>16</v>
      </c>
      <c r="D358" s="9">
        <v>45791</v>
      </c>
      <c r="E358">
        <v>100</v>
      </c>
      <c r="F358" t="s">
        <v>4</v>
      </c>
      <c r="G358" t="s">
        <v>65</v>
      </c>
      <c r="H358">
        <v>9</v>
      </c>
      <c r="I358" t="s">
        <v>5</v>
      </c>
      <c r="J358" t="s">
        <v>89</v>
      </c>
      <c r="K358">
        <v>1</v>
      </c>
      <c r="L358">
        <v>0</v>
      </c>
      <c r="M358">
        <v>0</v>
      </c>
      <c r="N358">
        <v>1</v>
      </c>
    </row>
    <row r="359" spans="1:14">
      <c r="A359" t="s">
        <v>25</v>
      </c>
      <c r="B359" t="s">
        <v>19</v>
      </c>
      <c r="C359" t="s">
        <v>16</v>
      </c>
      <c r="D359" s="9">
        <v>45791</v>
      </c>
      <c r="E359">
        <v>100</v>
      </c>
      <c r="F359" t="s">
        <v>5</v>
      </c>
      <c r="G359" t="s">
        <v>102</v>
      </c>
      <c r="H359">
        <v>7</v>
      </c>
      <c r="I359" t="s">
        <v>4</v>
      </c>
      <c r="J359" t="s">
        <v>88</v>
      </c>
      <c r="K359">
        <v>0</v>
      </c>
      <c r="L359">
        <v>1</v>
      </c>
      <c r="M359">
        <v>0</v>
      </c>
      <c r="N359">
        <v>1</v>
      </c>
    </row>
    <row r="360" spans="1:14">
      <c r="A360" t="s">
        <v>25</v>
      </c>
      <c r="B360" t="s">
        <v>20</v>
      </c>
      <c r="C360" t="s">
        <v>16</v>
      </c>
      <c r="D360" s="9">
        <v>45797</v>
      </c>
      <c r="E360">
        <v>101</v>
      </c>
      <c r="F360" t="s">
        <v>5</v>
      </c>
      <c r="G360" t="s">
        <v>65</v>
      </c>
      <c r="H360">
        <v>9</v>
      </c>
      <c r="I360" t="s">
        <v>6</v>
      </c>
      <c r="J360" t="s">
        <v>89</v>
      </c>
      <c r="K360">
        <v>1</v>
      </c>
      <c r="L360">
        <v>0</v>
      </c>
      <c r="M360">
        <v>0</v>
      </c>
      <c r="N360">
        <v>1</v>
      </c>
    </row>
    <row r="361" spans="1:14">
      <c r="A361" t="s">
        <v>25</v>
      </c>
      <c r="B361" t="s">
        <v>20</v>
      </c>
      <c r="C361" t="s">
        <v>16</v>
      </c>
      <c r="D361" s="9">
        <v>45797</v>
      </c>
      <c r="E361">
        <v>101</v>
      </c>
      <c r="F361" t="s">
        <v>6</v>
      </c>
      <c r="G361" t="s">
        <v>102</v>
      </c>
      <c r="H361">
        <v>6</v>
      </c>
      <c r="I361" t="s">
        <v>5</v>
      </c>
      <c r="J361" t="s">
        <v>88</v>
      </c>
      <c r="K361">
        <v>0</v>
      </c>
      <c r="L361">
        <v>1</v>
      </c>
      <c r="M361">
        <v>0</v>
      </c>
      <c r="N361">
        <v>1</v>
      </c>
    </row>
    <row r="362" spans="1:14">
      <c r="A362" t="s">
        <v>25</v>
      </c>
      <c r="B362" t="s">
        <v>20</v>
      </c>
      <c r="C362" t="s">
        <v>16</v>
      </c>
      <c r="D362" s="9">
        <v>45797</v>
      </c>
      <c r="E362">
        <v>102</v>
      </c>
      <c r="F362" t="s">
        <v>7</v>
      </c>
      <c r="G362" t="s">
        <v>102</v>
      </c>
      <c r="H362">
        <v>1</v>
      </c>
      <c r="I362" t="s">
        <v>5</v>
      </c>
      <c r="J362" t="s">
        <v>88</v>
      </c>
      <c r="K362">
        <v>0</v>
      </c>
      <c r="L362">
        <v>1</v>
      </c>
      <c r="M362">
        <v>0</v>
      </c>
      <c r="N362">
        <v>1</v>
      </c>
    </row>
    <row r="363" spans="1:14">
      <c r="A363" t="s">
        <v>25</v>
      </c>
      <c r="B363" t="s">
        <v>20</v>
      </c>
      <c r="C363" t="s">
        <v>16</v>
      </c>
      <c r="D363" s="9">
        <v>45797</v>
      </c>
      <c r="E363">
        <v>102</v>
      </c>
      <c r="F363" t="s">
        <v>5</v>
      </c>
      <c r="G363" t="s">
        <v>65</v>
      </c>
      <c r="H363">
        <v>8</v>
      </c>
      <c r="I363" t="s">
        <v>7</v>
      </c>
      <c r="J363" t="s">
        <v>89</v>
      </c>
      <c r="K363">
        <v>1</v>
      </c>
      <c r="L363">
        <v>0</v>
      </c>
      <c r="M363">
        <v>0</v>
      </c>
      <c r="N363">
        <v>1</v>
      </c>
    </row>
    <row r="364" spans="1:14">
      <c r="A364" t="s">
        <v>25</v>
      </c>
      <c r="B364" t="s">
        <v>20</v>
      </c>
      <c r="C364" t="s">
        <v>16</v>
      </c>
      <c r="D364" s="9">
        <v>45798</v>
      </c>
      <c r="E364">
        <v>103</v>
      </c>
      <c r="F364" t="s">
        <v>5</v>
      </c>
      <c r="G364" t="s">
        <v>65</v>
      </c>
      <c r="H364">
        <v>12</v>
      </c>
      <c r="I364" t="s">
        <v>6</v>
      </c>
      <c r="J364" t="s">
        <v>89</v>
      </c>
      <c r="K364">
        <v>1</v>
      </c>
      <c r="L364">
        <v>0</v>
      </c>
      <c r="M364">
        <v>0</v>
      </c>
      <c r="N364">
        <v>1</v>
      </c>
    </row>
    <row r="365" spans="1:14">
      <c r="A365" t="s">
        <v>25</v>
      </c>
      <c r="B365" t="s">
        <v>20</v>
      </c>
      <c r="C365" t="s">
        <v>16</v>
      </c>
      <c r="D365" s="9">
        <v>45798</v>
      </c>
      <c r="E365">
        <v>103</v>
      </c>
      <c r="F365" t="s">
        <v>6</v>
      </c>
      <c r="G365" t="s">
        <v>102</v>
      </c>
      <c r="H365">
        <v>5</v>
      </c>
      <c r="I365" t="s">
        <v>5</v>
      </c>
      <c r="J365" t="s">
        <v>88</v>
      </c>
      <c r="K365">
        <v>0</v>
      </c>
      <c r="L365">
        <v>1</v>
      </c>
      <c r="M365">
        <v>0</v>
      </c>
      <c r="N365">
        <v>1</v>
      </c>
    </row>
    <row r="366" spans="1:14">
      <c r="A366" t="s">
        <v>25</v>
      </c>
      <c r="B366" t="s">
        <v>20</v>
      </c>
      <c r="C366" t="s">
        <v>16</v>
      </c>
      <c r="D366" s="9">
        <v>45799</v>
      </c>
      <c r="E366">
        <v>104</v>
      </c>
      <c r="F366" t="s">
        <v>5</v>
      </c>
      <c r="G366" t="s">
        <v>65</v>
      </c>
      <c r="H366">
        <v>4</v>
      </c>
      <c r="I366" t="s">
        <v>6</v>
      </c>
      <c r="J366" t="s">
        <v>89</v>
      </c>
      <c r="K366">
        <v>1</v>
      </c>
      <c r="L366">
        <v>0</v>
      </c>
      <c r="M366">
        <v>0</v>
      </c>
      <c r="N366">
        <v>1</v>
      </c>
    </row>
    <row r="367" spans="1:14">
      <c r="A367" t="s">
        <v>25</v>
      </c>
      <c r="B367" t="s">
        <v>20</v>
      </c>
      <c r="C367" t="s">
        <v>16</v>
      </c>
      <c r="D367" s="9">
        <v>45799</v>
      </c>
      <c r="E367">
        <v>104</v>
      </c>
      <c r="F367" t="s">
        <v>6</v>
      </c>
      <c r="G367" t="s">
        <v>102</v>
      </c>
      <c r="H367">
        <v>1</v>
      </c>
      <c r="I367" t="s">
        <v>5</v>
      </c>
      <c r="J367" t="s">
        <v>88</v>
      </c>
      <c r="K367">
        <v>0</v>
      </c>
      <c r="L367">
        <v>1</v>
      </c>
      <c r="M367">
        <v>0</v>
      </c>
      <c r="N367">
        <v>1</v>
      </c>
    </row>
    <row r="368" spans="1:14">
      <c r="A368" t="s">
        <v>25</v>
      </c>
      <c r="B368" t="s">
        <v>20</v>
      </c>
      <c r="C368" t="s">
        <v>16</v>
      </c>
      <c r="D368" s="9">
        <v>45811</v>
      </c>
      <c r="E368">
        <v>105</v>
      </c>
      <c r="F368" t="s">
        <v>6</v>
      </c>
      <c r="G368" t="s">
        <v>102</v>
      </c>
      <c r="H368">
        <v>1</v>
      </c>
      <c r="I368" t="s">
        <v>5</v>
      </c>
      <c r="J368" t="s">
        <v>88</v>
      </c>
      <c r="K368">
        <v>0</v>
      </c>
      <c r="L368">
        <v>1</v>
      </c>
      <c r="M368">
        <v>0</v>
      </c>
      <c r="N368">
        <v>1</v>
      </c>
    </row>
    <row r="369" spans="1:14">
      <c r="A369" t="s">
        <v>25</v>
      </c>
      <c r="B369" t="s">
        <v>20</v>
      </c>
      <c r="C369" t="s">
        <v>16</v>
      </c>
      <c r="D369" s="9">
        <v>45811</v>
      </c>
      <c r="E369">
        <v>105</v>
      </c>
      <c r="F369" t="s">
        <v>5</v>
      </c>
      <c r="G369" t="s">
        <v>65</v>
      </c>
      <c r="H369">
        <v>3</v>
      </c>
      <c r="I369" t="s">
        <v>6</v>
      </c>
      <c r="J369" t="s">
        <v>89</v>
      </c>
      <c r="K369">
        <v>1</v>
      </c>
      <c r="L369">
        <v>0</v>
      </c>
      <c r="M369">
        <v>0</v>
      </c>
      <c r="N369">
        <v>1</v>
      </c>
    </row>
    <row r="370" spans="1:14">
      <c r="A370" t="s">
        <v>25</v>
      </c>
      <c r="B370" t="s">
        <v>20</v>
      </c>
      <c r="C370" t="s">
        <v>16</v>
      </c>
      <c r="D370" s="9">
        <v>45811</v>
      </c>
      <c r="E370">
        <v>106</v>
      </c>
      <c r="F370" t="s">
        <v>6</v>
      </c>
      <c r="G370" t="s">
        <v>65</v>
      </c>
      <c r="H370">
        <v>2</v>
      </c>
      <c r="I370" t="s">
        <v>5</v>
      </c>
      <c r="J370" t="s">
        <v>88</v>
      </c>
      <c r="K370">
        <v>0</v>
      </c>
      <c r="L370">
        <v>1</v>
      </c>
      <c r="M370">
        <v>0</v>
      </c>
      <c r="N370">
        <v>1</v>
      </c>
    </row>
    <row r="371" spans="1:14">
      <c r="A371" t="s">
        <v>25</v>
      </c>
      <c r="B371" t="s">
        <v>20</v>
      </c>
      <c r="C371" t="s">
        <v>16</v>
      </c>
      <c r="D371" s="9">
        <v>45811</v>
      </c>
      <c r="E371">
        <v>106</v>
      </c>
      <c r="F371" t="s">
        <v>5</v>
      </c>
      <c r="G371" t="s">
        <v>102</v>
      </c>
      <c r="H371">
        <v>3</v>
      </c>
      <c r="I371" t="s">
        <v>6</v>
      </c>
      <c r="J371" t="s">
        <v>89</v>
      </c>
      <c r="K371">
        <v>1</v>
      </c>
      <c r="L371">
        <v>0</v>
      </c>
      <c r="M371">
        <v>0</v>
      </c>
      <c r="N371">
        <v>1</v>
      </c>
    </row>
    <row r="372" spans="1:14">
      <c r="A372" t="s">
        <v>25</v>
      </c>
      <c r="B372" t="s">
        <v>20</v>
      </c>
      <c r="C372" t="s">
        <v>16</v>
      </c>
      <c r="D372" s="9">
        <v>45818</v>
      </c>
      <c r="E372">
        <v>107</v>
      </c>
      <c r="F372" t="s">
        <v>4</v>
      </c>
      <c r="G372" t="s">
        <v>65</v>
      </c>
      <c r="H372">
        <v>6</v>
      </c>
      <c r="I372" t="s">
        <v>5</v>
      </c>
      <c r="J372" t="s">
        <v>89</v>
      </c>
      <c r="K372">
        <v>1</v>
      </c>
      <c r="L372">
        <v>0</v>
      </c>
      <c r="M372">
        <v>0</v>
      </c>
      <c r="N372">
        <v>1</v>
      </c>
    </row>
    <row r="373" spans="1:14">
      <c r="A373" t="s">
        <v>25</v>
      </c>
      <c r="B373" t="s">
        <v>20</v>
      </c>
      <c r="C373" t="s">
        <v>16</v>
      </c>
      <c r="D373" s="9">
        <v>45818</v>
      </c>
      <c r="E373">
        <v>107</v>
      </c>
      <c r="F373" t="s">
        <v>5</v>
      </c>
      <c r="G373" t="s">
        <v>102</v>
      </c>
      <c r="H373">
        <v>5</v>
      </c>
      <c r="I373" t="s">
        <v>4</v>
      </c>
      <c r="J373" t="s">
        <v>88</v>
      </c>
      <c r="K373">
        <v>0</v>
      </c>
      <c r="L373">
        <v>1</v>
      </c>
      <c r="M373">
        <v>0</v>
      </c>
      <c r="N373">
        <v>1</v>
      </c>
    </row>
    <row r="374" spans="1:14">
      <c r="A374" t="s">
        <v>25</v>
      </c>
      <c r="B374" t="s">
        <v>20</v>
      </c>
      <c r="C374" t="s">
        <v>16</v>
      </c>
      <c r="D374" s="9">
        <v>45819</v>
      </c>
      <c r="E374">
        <v>108</v>
      </c>
      <c r="F374" t="s">
        <v>5</v>
      </c>
      <c r="G374" t="s">
        <v>65</v>
      </c>
      <c r="H374">
        <v>6</v>
      </c>
      <c r="I374" t="s">
        <v>4</v>
      </c>
      <c r="J374" t="s">
        <v>88</v>
      </c>
      <c r="K374">
        <v>0</v>
      </c>
      <c r="L374">
        <v>1</v>
      </c>
      <c r="M374">
        <v>0</v>
      </c>
      <c r="N374">
        <v>1</v>
      </c>
    </row>
    <row r="375" spans="1:14">
      <c r="A375" t="s">
        <v>25</v>
      </c>
      <c r="B375" t="s">
        <v>20</v>
      </c>
      <c r="C375" t="s">
        <v>16</v>
      </c>
      <c r="D375" s="9">
        <v>45819</v>
      </c>
      <c r="E375">
        <v>108</v>
      </c>
      <c r="F375" t="s">
        <v>4</v>
      </c>
      <c r="G375" t="s">
        <v>102</v>
      </c>
      <c r="H375">
        <v>8</v>
      </c>
      <c r="I375" t="s">
        <v>5</v>
      </c>
      <c r="J375" t="s">
        <v>89</v>
      </c>
      <c r="K375">
        <v>1</v>
      </c>
      <c r="L375">
        <v>0</v>
      </c>
      <c r="M375">
        <v>0</v>
      </c>
      <c r="N375">
        <v>1</v>
      </c>
    </row>
    <row r="376" spans="1:14">
      <c r="A376" t="s">
        <v>25</v>
      </c>
      <c r="B376" t="s">
        <v>20</v>
      </c>
      <c r="C376" t="s">
        <v>16</v>
      </c>
      <c r="D376" s="9">
        <v>45820</v>
      </c>
      <c r="E376">
        <v>109</v>
      </c>
      <c r="F376" t="s">
        <v>5</v>
      </c>
      <c r="G376" t="s">
        <v>102</v>
      </c>
      <c r="H376">
        <v>8</v>
      </c>
      <c r="I376" t="s">
        <v>4</v>
      </c>
      <c r="J376" t="s">
        <v>89</v>
      </c>
      <c r="K376">
        <v>1</v>
      </c>
      <c r="L376">
        <v>0</v>
      </c>
      <c r="M376">
        <v>0</v>
      </c>
      <c r="N376">
        <v>1</v>
      </c>
    </row>
    <row r="377" spans="1:14">
      <c r="A377" t="s">
        <v>25</v>
      </c>
      <c r="B377" t="s">
        <v>20</v>
      </c>
      <c r="C377" t="s">
        <v>16</v>
      </c>
      <c r="D377" s="9">
        <v>45820</v>
      </c>
      <c r="E377">
        <v>109</v>
      </c>
      <c r="F377" t="s">
        <v>4</v>
      </c>
      <c r="G377" t="s">
        <v>65</v>
      </c>
      <c r="H377">
        <v>5</v>
      </c>
      <c r="I377" t="s">
        <v>5</v>
      </c>
      <c r="J377" t="s">
        <v>88</v>
      </c>
      <c r="K377">
        <v>0</v>
      </c>
      <c r="L377">
        <v>1</v>
      </c>
      <c r="M377">
        <v>0</v>
      </c>
      <c r="N377">
        <v>1</v>
      </c>
    </row>
    <row r="378" spans="1:14">
      <c r="A378" t="s">
        <v>25</v>
      </c>
      <c r="B378" t="s">
        <v>20</v>
      </c>
      <c r="C378" t="s">
        <v>16</v>
      </c>
      <c r="D378" s="9">
        <v>45821</v>
      </c>
      <c r="E378">
        <v>110</v>
      </c>
      <c r="F378" t="s">
        <v>5</v>
      </c>
      <c r="G378" t="s">
        <v>102</v>
      </c>
      <c r="H378">
        <v>3</v>
      </c>
      <c r="I378" t="s">
        <v>4</v>
      </c>
      <c r="J378" t="s">
        <v>88</v>
      </c>
      <c r="K378">
        <v>0</v>
      </c>
      <c r="L378">
        <v>1</v>
      </c>
      <c r="M378">
        <v>0</v>
      </c>
      <c r="N378">
        <v>1</v>
      </c>
    </row>
    <row r="379" spans="1:14">
      <c r="A379" t="s">
        <v>25</v>
      </c>
      <c r="B379" t="s">
        <v>20</v>
      </c>
      <c r="C379" t="s">
        <v>16</v>
      </c>
      <c r="D379" s="9">
        <v>45821</v>
      </c>
      <c r="E379">
        <v>110</v>
      </c>
      <c r="F379" t="s">
        <v>4</v>
      </c>
      <c r="G379" t="s">
        <v>65</v>
      </c>
      <c r="H379">
        <v>5</v>
      </c>
      <c r="I379" t="s">
        <v>5</v>
      </c>
      <c r="J379" t="s">
        <v>89</v>
      </c>
      <c r="K379">
        <v>1</v>
      </c>
      <c r="L379">
        <v>0</v>
      </c>
      <c r="M379">
        <v>0</v>
      </c>
      <c r="N379">
        <v>1</v>
      </c>
    </row>
    <row r="380" spans="1:14">
      <c r="A380" t="s">
        <v>25</v>
      </c>
      <c r="B380" t="s">
        <v>20</v>
      </c>
      <c r="C380" t="s">
        <v>16</v>
      </c>
      <c r="D380" s="9">
        <v>45824</v>
      </c>
      <c r="E380">
        <v>111</v>
      </c>
      <c r="F380" t="s">
        <v>5</v>
      </c>
      <c r="G380" t="s">
        <v>65</v>
      </c>
      <c r="H380">
        <v>4</v>
      </c>
      <c r="I380" t="s">
        <v>4</v>
      </c>
      <c r="J380" t="s">
        <v>88</v>
      </c>
      <c r="K380">
        <v>0</v>
      </c>
      <c r="L380">
        <v>1</v>
      </c>
      <c r="M380">
        <v>0</v>
      </c>
      <c r="N380">
        <v>1</v>
      </c>
    </row>
    <row r="381" spans="1:14">
      <c r="A381" t="s">
        <v>25</v>
      </c>
      <c r="B381" t="s">
        <v>20</v>
      </c>
      <c r="C381" t="s">
        <v>16</v>
      </c>
      <c r="D381" s="9">
        <v>45824</v>
      </c>
      <c r="E381">
        <v>111</v>
      </c>
      <c r="F381" t="s">
        <v>4</v>
      </c>
      <c r="G381" t="s">
        <v>102</v>
      </c>
      <c r="H381">
        <v>7</v>
      </c>
      <c r="I381" t="s">
        <v>5</v>
      </c>
      <c r="J381" t="s">
        <v>89</v>
      </c>
      <c r="K381">
        <v>1</v>
      </c>
      <c r="L381">
        <v>0</v>
      </c>
      <c r="M381">
        <v>0</v>
      </c>
      <c r="N381">
        <v>1</v>
      </c>
    </row>
    <row r="382" spans="1:14">
      <c r="A382" t="s">
        <v>25</v>
      </c>
      <c r="B382" t="s">
        <v>20</v>
      </c>
      <c r="C382" t="s">
        <v>16</v>
      </c>
      <c r="D382" s="9">
        <v>45824</v>
      </c>
      <c r="E382">
        <v>112</v>
      </c>
      <c r="F382" t="s">
        <v>7</v>
      </c>
      <c r="G382" t="s">
        <v>102</v>
      </c>
      <c r="H382">
        <v>6</v>
      </c>
      <c r="I382" t="s">
        <v>4</v>
      </c>
      <c r="J382" t="s">
        <v>89</v>
      </c>
      <c r="K382">
        <v>1</v>
      </c>
      <c r="L382">
        <v>0</v>
      </c>
      <c r="M382">
        <v>0</v>
      </c>
      <c r="N382">
        <v>1</v>
      </c>
    </row>
    <row r="383" spans="1:14">
      <c r="A383" t="s">
        <v>25</v>
      </c>
      <c r="B383" t="s">
        <v>20</v>
      </c>
      <c r="C383" t="s">
        <v>16</v>
      </c>
      <c r="D383" s="9">
        <v>45824</v>
      </c>
      <c r="E383">
        <v>112</v>
      </c>
      <c r="F383" t="s">
        <v>5</v>
      </c>
      <c r="G383" t="s">
        <v>102</v>
      </c>
      <c r="H383">
        <v>1</v>
      </c>
      <c r="I383" t="s">
        <v>4</v>
      </c>
      <c r="J383" t="s">
        <v>88</v>
      </c>
      <c r="K383">
        <v>0</v>
      </c>
      <c r="L383">
        <v>1</v>
      </c>
      <c r="M383">
        <v>0</v>
      </c>
      <c r="N383">
        <v>1</v>
      </c>
    </row>
    <row r="384" spans="1:14">
      <c r="A384" t="s">
        <v>25</v>
      </c>
      <c r="B384" t="s">
        <v>20</v>
      </c>
      <c r="C384" t="s">
        <v>16</v>
      </c>
      <c r="D384" s="9">
        <v>45824</v>
      </c>
      <c r="E384">
        <v>112</v>
      </c>
      <c r="F384" t="s">
        <v>4</v>
      </c>
      <c r="G384" t="s">
        <v>65</v>
      </c>
      <c r="H384">
        <v>3</v>
      </c>
      <c r="I384" t="s">
        <v>5</v>
      </c>
      <c r="J384" t="s">
        <v>89</v>
      </c>
      <c r="K384">
        <v>1</v>
      </c>
      <c r="L384">
        <v>0</v>
      </c>
      <c r="M384">
        <v>0</v>
      </c>
      <c r="N384">
        <v>1</v>
      </c>
    </row>
    <row r="385" spans="1:14">
      <c r="A385" t="s">
        <v>25</v>
      </c>
      <c r="B385" t="s">
        <v>20</v>
      </c>
      <c r="C385" t="s">
        <v>16</v>
      </c>
      <c r="D385" s="9">
        <v>45824</v>
      </c>
      <c r="E385">
        <v>112</v>
      </c>
      <c r="F385" t="s">
        <v>4</v>
      </c>
      <c r="G385" t="s">
        <v>65</v>
      </c>
      <c r="H385">
        <v>3</v>
      </c>
      <c r="I385" t="s">
        <v>6</v>
      </c>
      <c r="J385" t="s">
        <v>88</v>
      </c>
      <c r="K385">
        <v>0</v>
      </c>
      <c r="L385">
        <v>1</v>
      </c>
      <c r="M385">
        <v>0</v>
      </c>
      <c r="N385">
        <v>1</v>
      </c>
    </row>
    <row r="386" spans="1:14">
      <c r="A386" t="s">
        <v>25</v>
      </c>
      <c r="B386" t="s">
        <v>20</v>
      </c>
      <c r="C386" t="s">
        <v>16</v>
      </c>
      <c r="D386" s="9">
        <v>45824</v>
      </c>
      <c r="E386">
        <v>112</v>
      </c>
      <c r="F386" t="s">
        <v>4</v>
      </c>
      <c r="G386" t="s">
        <v>65</v>
      </c>
      <c r="H386">
        <v>3</v>
      </c>
      <c r="I386" t="s">
        <v>7</v>
      </c>
      <c r="J386" t="s">
        <v>88</v>
      </c>
      <c r="K386">
        <v>0</v>
      </c>
      <c r="L386">
        <v>1</v>
      </c>
      <c r="M386">
        <v>0</v>
      </c>
      <c r="N386">
        <v>1</v>
      </c>
    </row>
    <row r="387" spans="1:14">
      <c r="A387" t="s">
        <v>25</v>
      </c>
      <c r="B387" t="s">
        <v>20</v>
      </c>
      <c r="C387" t="s">
        <v>16</v>
      </c>
      <c r="D387" s="9">
        <v>45824</v>
      </c>
      <c r="E387">
        <v>112</v>
      </c>
      <c r="F387" t="s">
        <v>7</v>
      </c>
      <c r="G387" t="s">
        <v>102</v>
      </c>
      <c r="H387">
        <v>6</v>
      </c>
      <c r="I387" t="s">
        <v>5</v>
      </c>
      <c r="J387" t="s">
        <v>89</v>
      </c>
      <c r="K387">
        <v>1</v>
      </c>
      <c r="L387">
        <v>0</v>
      </c>
      <c r="M387">
        <v>0</v>
      </c>
      <c r="N387">
        <v>1</v>
      </c>
    </row>
    <row r="388" spans="1:14">
      <c r="A388" t="s">
        <v>25</v>
      </c>
      <c r="B388" t="s">
        <v>20</v>
      </c>
      <c r="C388" t="s">
        <v>16</v>
      </c>
      <c r="D388" s="9">
        <v>45824</v>
      </c>
      <c r="E388">
        <v>112</v>
      </c>
      <c r="F388" t="s">
        <v>7</v>
      </c>
      <c r="G388" t="s">
        <v>102</v>
      </c>
      <c r="H388">
        <v>6</v>
      </c>
      <c r="I388" t="s">
        <v>6</v>
      </c>
      <c r="J388" t="s">
        <v>89</v>
      </c>
      <c r="K388">
        <v>1</v>
      </c>
      <c r="L388">
        <v>0</v>
      </c>
      <c r="M388">
        <v>0</v>
      </c>
      <c r="N388">
        <v>1</v>
      </c>
    </row>
    <row r="389" spans="1:14">
      <c r="A389" t="s">
        <v>25</v>
      </c>
      <c r="B389" t="s">
        <v>20</v>
      </c>
      <c r="C389" t="s">
        <v>16</v>
      </c>
      <c r="D389" s="9">
        <v>45824</v>
      </c>
      <c r="E389">
        <v>112</v>
      </c>
      <c r="F389" t="s">
        <v>5</v>
      </c>
      <c r="G389" t="s">
        <v>65</v>
      </c>
      <c r="H389">
        <v>1</v>
      </c>
      <c r="I389" t="s">
        <v>6</v>
      </c>
      <c r="J389" t="s">
        <v>88</v>
      </c>
      <c r="K389">
        <v>0</v>
      </c>
      <c r="L389">
        <v>1</v>
      </c>
      <c r="M389">
        <v>0</v>
      </c>
      <c r="N389">
        <v>1</v>
      </c>
    </row>
    <row r="390" spans="1:14">
      <c r="A390" t="s">
        <v>25</v>
      </c>
      <c r="B390" t="s">
        <v>20</v>
      </c>
      <c r="C390" t="s">
        <v>16</v>
      </c>
      <c r="D390" s="9">
        <v>45824</v>
      </c>
      <c r="E390">
        <v>112</v>
      </c>
      <c r="F390" t="s">
        <v>5</v>
      </c>
      <c r="G390" t="s">
        <v>65</v>
      </c>
      <c r="H390">
        <v>1</v>
      </c>
      <c r="I390" t="s">
        <v>7</v>
      </c>
      <c r="J390" t="s">
        <v>88</v>
      </c>
      <c r="K390">
        <v>0</v>
      </c>
      <c r="L390">
        <v>1</v>
      </c>
      <c r="M390">
        <v>0</v>
      </c>
      <c r="N390">
        <v>1</v>
      </c>
    </row>
    <row r="391" spans="1:14">
      <c r="A391" t="s">
        <v>25</v>
      </c>
      <c r="B391" t="s">
        <v>20</v>
      </c>
      <c r="C391" t="s">
        <v>16</v>
      </c>
      <c r="D391" s="9">
        <v>45824</v>
      </c>
      <c r="E391">
        <v>112</v>
      </c>
      <c r="F391" t="s">
        <v>6</v>
      </c>
      <c r="G391" t="s">
        <v>65</v>
      </c>
      <c r="H391">
        <v>4</v>
      </c>
      <c r="I391" t="s">
        <v>7</v>
      </c>
      <c r="J391" t="s">
        <v>88</v>
      </c>
      <c r="K391">
        <v>0</v>
      </c>
      <c r="L391">
        <v>1</v>
      </c>
      <c r="M391">
        <v>0</v>
      </c>
      <c r="N391">
        <v>1</v>
      </c>
    </row>
    <row r="392" spans="1:14">
      <c r="A392" t="s">
        <v>25</v>
      </c>
      <c r="B392" t="s">
        <v>20</v>
      </c>
      <c r="C392" t="s">
        <v>16</v>
      </c>
      <c r="D392" s="9">
        <v>45824</v>
      </c>
      <c r="E392">
        <v>112</v>
      </c>
      <c r="F392" t="s">
        <v>6</v>
      </c>
      <c r="G392" t="s">
        <v>102</v>
      </c>
      <c r="H392">
        <v>4</v>
      </c>
      <c r="I392" t="s">
        <v>5</v>
      </c>
      <c r="J392" t="s">
        <v>89</v>
      </c>
      <c r="K392">
        <v>1</v>
      </c>
      <c r="L392">
        <v>0</v>
      </c>
      <c r="M392">
        <v>0</v>
      </c>
      <c r="N392">
        <v>1</v>
      </c>
    </row>
    <row r="393" spans="1:14">
      <c r="A393" t="s">
        <v>25</v>
      </c>
      <c r="B393" t="s">
        <v>20</v>
      </c>
      <c r="C393" t="s">
        <v>16</v>
      </c>
      <c r="D393" s="9">
        <v>45824</v>
      </c>
      <c r="E393">
        <v>112</v>
      </c>
      <c r="F393" t="s">
        <v>6</v>
      </c>
      <c r="G393" t="s">
        <v>102</v>
      </c>
      <c r="H393">
        <v>4</v>
      </c>
      <c r="I393" t="s">
        <v>4</v>
      </c>
      <c r="J393" t="s">
        <v>89</v>
      </c>
      <c r="K393">
        <v>1</v>
      </c>
      <c r="L393">
        <v>0</v>
      </c>
      <c r="M393">
        <v>0</v>
      </c>
      <c r="N393">
        <v>1</v>
      </c>
    </row>
    <row r="394" spans="1:14">
      <c r="A394" t="s">
        <v>25</v>
      </c>
      <c r="B394" t="s">
        <v>20</v>
      </c>
      <c r="C394" t="s">
        <v>16</v>
      </c>
      <c r="D394" s="9">
        <v>45825</v>
      </c>
      <c r="E394">
        <v>113</v>
      </c>
      <c r="F394" t="s">
        <v>5</v>
      </c>
      <c r="G394" t="s">
        <v>102</v>
      </c>
      <c r="H394">
        <v>7</v>
      </c>
      <c r="I394" t="s">
        <v>4</v>
      </c>
      <c r="J394" t="s">
        <v>88</v>
      </c>
      <c r="K394">
        <v>0</v>
      </c>
      <c r="L394">
        <v>1</v>
      </c>
      <c r="M394">
        <v>0</v>
      </c>
      <c r="N394">
        <v>1</v>
      </c>
    </row>
    <row r="395" spans="1:14">
      <c r="A395" t="s">
        <v>25</v>
      </c>
      <c r="B395" t="s">
        <v>20</v>
      </c>
      <c r="C395" t="s">
        <v>16</v>
      </c>
      <c r="D395" s="9">
        <v>45825</v>
      </c>
      <c r="E395">
        <v>113</v>
      </c>
      <c r="F395" t="s">
        <v>4</v>
      </c>
      <c r="G395" t="s">
        <v>65</v>
      </c>
      <c r="H395">
        <v>12</v>
      </c>
      <c r="I395" t="s">
        <v>5</v>
      </c>
      <c r="J395" t="s">
        <v>89</v>
      </c>
      <c r="K395">
        <v>1</v>
      </c>
      <c r="L395">
        <v>0</v>
      </c>
      <c r="M395">
        <v>0</v>
      </c>
      <c r="N395">
        <v>1</v>
      </c>
    </row>
    <row r="396" spans="1:14">
      <c r="A396" t="s">
        <v>25</v>
      </c>
      <c r="B396" t="s">
        <v>20</v>
      </c>
      <c r="C396" t="s">
        <v>16</v>
      </c>
      <c r="D396" s="9">
        <v>45825</v>
      </c>
      <c r="E396">
        <v>114</v>
      </c>
      <c r="F396" t="s">
        <v>4</v>
      </c>
      <c r="G396" t="s">
        <v>65</v>
      </c>
      <c r="H396">
        <v>0</v>
      </c>
      <c r="I396" t="s">
        <v>5</v>
      </c>
      <c r="J396" t="s">
        <v>88</v>
      </c>
      <c r="K396">
        <v>0</v>
      </c>
      <c r="L396">
        <v>1</v>
      </c>
      <c r="M396">
        <v>0</v>
      </c>
      <c r="N396">
        <v>1</v>
      </c>
    </row>
    <row r="397" spans="1:14">
      <c r="A397" t="s">
        <v>25</v>
      </c>
      <c r="B397" t="s">
        <v>20</v>
      </c>
      <c r="C397" t="s">
        <v>16</v>
      </c>
      <c r="D397" s="9">
        <v>45825</v>
      </c>
      <c r="E397">
        <v>114</v>
      </c>
      <c r="F397" t="s">
        <v>4</v>
      </c>
      <c r="G397" t="s">
        <v>65</v>
      </c>
      <c r="H397">
        <v>0</v>
      </c>
      <c r="I397" t="s">
        <v>6</v>
      </c>
      <c r="J397" t="s">
        <v>88</v>
      </c>
      <c r="K397">
        <v>0</v>
      </c>
      <c r="L397">
        <v>1</v>
      </c>
      <c r="M397">
        <v>0</v>
      </c>
      <c r="N397">
        <v>1</v>
      </c>
    </row>
    <row r="398" spans="1:14">
      <c r="A398" t="s">
        <v>25</v>
      </c>
      <c r="B398" t="s">
        <v>20</v>
      </c>
      <c r="C398" t="s">
        <v>16</v>
      </c>
      <c r="D398" s="9">
        <v>45825</v>
      </c>
      <c r="E398">
        <v>114</v>
      </c>
      <c r="F398" t="s">
        <v>6</v>
      </c>
      <c r="G398" t="s">
        <v>102</v>
      </c>
      <c r="H398">
        <v>1</v>
      </c>
      <c r="I398" t="s">
        <v>5</v>
      </c>
      <c r="J398" t="s">
        <v>88</v>
      </c>
      <c r="K398">
        <v>0</v>
      </c>
      <c r="L398">
        <v>1</v>
      </c>
      <c r="M398">
        <v>0</v>
      </c>
      <c r="N398">
        <v>1</v>
      </c>
    </row>
    <row r="399" spans="1:14">
      <c r="A399" t="s">
        <v>25</v>
      </c>
      <c r="B399" t="s">
        <v>20</v>
      </c>
      <c r="C399" t="s">
        <v>16</v>
      </c>
      <c r="D399" s="9">
        <v>45825</v>
      </c>
      <c r="E399">
        <v>114</v>
      </c>
      <c r="F399" t="s">
        <v>6</v>
      </c>
      <c r="G399" t="s">
        <v>102</v>
      </c>
      <c r="H399">
        <v>1</v>
      </c>
      <c r="I399" t="s">
        <v>4</v>
      </c>
      <c r="J399" t="s">
        <v>89</v>
      </c>
      <c r="K399">
        <v>1</v>
      </c>
      <c r="L399">
        <v>0</v>
      </c>
      <c r="M399">
        <v>0</v>
      </c>
      <c r="N399">
        <v>1</v>
      </c>
    </row>
    <row r="400" spans="1:14">
      <c r="A400" t="s">
        <v>25</v>
      </c>
      <c r="B400" t="s">
        <v>20</v>
      </c>
      <c r="C400" t="s">
        <v>16</v>
      </c>
      <c r="D400" s="9">
        <v>45825</v>
      </c>
      <c r="E400">
        <v>114</v>
      </c>
      <c r="F400" t="s">
        <v>5</v>
      </c>
      <c r="G400" t="s">
        <v>65</v>
      </c>
      <c r="H400">
        <v>11</v>
      </c>
      <c r="I400" t="s">
        <v>6</v>
      </c>
      <c r="J400" t="s">
        <v>89</v>
      </c>
      <c r="K400">
        <v>1</v>
      </c>
      <c r="L400">
        <v>0</v>
      </c>
      <c r="M400">
        <v>0</v>
      </c>
      <c r="N400">
        <v>1</v>
      </c>
    </row>
    <row r="401" spans="1:14">
      <c r="A401" t="s">
        <v>25</v>
      </c>
      <c r="B401" t="s">
        <v>20</v>
      </c>
      <c r="C401" t="s">
        <v>16</v>
      </c>
      <c r="D401" s="9">
        <v>45825</v>
      </c>
      <c r="E401">
        <v>114</v>
      </c>
      <c r="F401" t="s">
        <v>5</v>
      </c>
      <c r="G401" t="s">
        <v>102</v>
      </c>
      <c r="H401">
        <v>11</v>
      </c>
      <c r="I401" t="s">
        <v>4</v>
      </c>
      <c r="J401" t="s">
        <v>89</v>
      </c>
      <c r="K401">
        <v>1</v>
      </c>
      <c r="L401">
        <v>0</v>
      </c>
      <c r="M401">
        <v>0</v>
      </c>
      <c r="N401">
        <v>1</v>
      </c>
    </row>
    <row r="402" spans="1:14">
      <c r="A402" t="s">
        <v>25</v>
      </c>
      <c r="B402" t="s">
        <v>19</v>
      </c>
      <c r="C402" t="s">
        <v>16</v>
      </c>
      <c r="D402" s="9">
        <v>45825</v>
      </c>
      <c r="E402">
        <v>115</v>
      </c>
      <c r="F402" t="s">
        <v>4</v>
      </c>
      <c r="G402" t="s">
        <v>65</v>
      </c>
      <c r="H402">
        <v>14</v>
      </c>
      <c r="I402" t="s">
        <v>6</v>
      </c>
      <c r="J402" t="s">
        <v>89</v>
      </c>
      <c r="K402">
        <v>1</v>
      </c>
      <c r="L402">
        <v>0</v>
      </c>
      <c r="M402">
        <v>0</v>
      </c>
      <c r="N402">
        <v>1</v>
      </c>
    </row>
    <row r="403" spans="1:14">
      <c r="A403" t="s">
        <v>25</v>
      </c>
      <c r="B403" t="s">
        <v>19</v>
      </c>
      <c r="C403" t="s">
        <v>16</v>
      </c>
      <c r="D403" s="9">
        <v>45825</v>
      </c>
      <c r="E403">
        <v>115</v>
      </c>
      <c r="F403" t="s">
        <v>4</v>
      </c>
      <c r="G403" t="s">
        <v>65</v>
      </c>
      <c r="H403">
        <v>14</v>
      </c>
      <c r="I403" t="s">
        <v>5</v>
      </c>
      <c r="J403" t="s">
        <v>89</v>
      </c>
      <c r="K403">
        <v>1</v>
      </c>
      <c r="L403">
        <v>0</v>
      </c>
      <c r="M403">
        <v>0</v>
      </c>
      <c r="N403">
        <v>1</v>
      </c>
    </row>
    <row r="404" spans="1:14">
      <c r="A404" t="s">
        <v>25</v>
      </c>
      <c r="B404" t="s">
        <v>19</v>
      </c>
      <c r="C404" t="s">
        <v>16</v>
      </c>
      <c r="D404" s="9">
        <v>45825</v>
      </c>
      <c r="E404">
        <v>115</v>
      </c>
      <c r="F404" t="s">
        <v>5</v>
      </c>
      <c r="G404" t="s">
        <v>102</v>
      </c>
      <c r="H404">
        <v>10</v>
      </c>
      <c r="I404" t="s">
        <v>4</v>
      </c>
      <c r="J404" t="s">
        <v>88</v>
      </c>
      <c r="K404">
        <v>0</v>
      </c>
      <c r="L404">
        <v>1</v>
      </c>
      <c r="M404">
        <v>0</v>
      </c>
      <c r="N404">
        <v>1</v>
      </c>
    </row>
    <row r="405" spans="1:14">
      <c r="A405" t="s">
        <v>25</v>
      </c>
      <c r="B405" t="s">
        <v>19</v>
      </c>
      <c r="C405" t="s">
        <v>16</v>
      </c>
      <c r="D405" s="9">
        <v>45825</v>
      </c>
      <c r="E405">
        <v>115</v>
      </c>
      <c r="F405" t="s">
        <v>5</v>
      </c>
      <c r="G405" t="s">
        <v>65</v>
      </c>
      <c r="H405">
        <v>10</v>
      </c>
      <c r="I405" t="s">
        <v>6</v>
      </c>
      <c r="J405" t="s">
        <v>89</v>
      </c>
      <c r="K405">
        <v>1</v>
      </c>
      <c r="L405">
        <v>0</v>
      </c>
      <c r="M405">
        <v>0</v>
      </c>
      <c r="N405">
        <v>1</v>
      </c>
    </row>
    <row r="406" spans="1:14">
      <c r="A406" t="s">
        <v>25</v>
      </c>
      <c r="B406" t="s">
        <v>19</v>
      </c>
      <c r="C406" t="s">
        <v>16</v>
      </c>
      <c r="D406" s="9">
        <v>45825</v>
      </c>
      <c r="E406">
        <v>115</v>
      </c>
      <c r="F406" t="s">
        <v>6</v>
      </c>
      <c r="G406" t="s">
        <v>102</v>
      </c>
      <c r="H406">
        <v>2</v>
      </c>
      <c r="I406" t="s">
        <v>4</v>
      </c>
      <c r="J406" t="s">
        <v>88</v>
      </c>
      <c r="K406">
        <v>0</v>
      </c>
      <c r="L406">
        <v>1</v>
      </c>
      <c r="M406">
        <v>0</v>
      </c>
      <c r="N406">
        <v>1</v>
      </c>
    </row>
    <row r="407" spans="1:14">
      <c r="A407" t="s">
        <v>25</v>
      </c>
      <c r="B407" t="s">
        <v>19</v>
      </c>
      <c r="C407" t="s">
        <v>16</v>
      </c>
      <c r="D407" s="9">
        <v>45825</v>
      </c>
      <c r="E407">
        <v>115</v>
      </c>
      <c r="F407" t="s">
        <v>6</v>
      </c>
      <c r="G407" t="s">
        <v>102</v>
      </c>
      <c r="H407">
        <v>2</v>
      </c>
      <c r="I407" t="s">
        <v>5</v>
      </c>
      <c r="J407" t="s">
        <v>88</v>
      </c>
      <c r="K407">
        <v>0</v>
      </c>
      <c r="L407">
        <v>1</v>
      </c>
      <c r="M407">
        <v>0</v>
      </c>
      <c r="N407">
        <v>1</v>
      </c>
    </row>
    <row r="408" spans="1:14">
      <c r="A408" t="s">
        <v>25</v>
      </c>
      <c r="B408" t="s">
        <v>20</v>
      </c>
      <c r="C408" t="s">
        <v>16</v>
      </c>
      <c r="D408" s="9">
        <v>45826</v>
      </c>
      <c r="E408">
        <v>116</v>
      </c>
      <c r="F408" t="s">
        <v>5</v>
      </c>
      <c r="G408" t="s">
        <v>65</v>
      </c>
      <c r="H408">
        <v>10</v>
      </c>
      <c r="I408" t="s">
        <v>4</v>
      </c>
      <c r="J408" t="s">
        <v>89</v>
      </c>
      <c r="K408">
        <v>1</v>
      </c>
      <c r="L408">
        <v>0</v>
      </c>
      <c r="M408">
        <v>0</v>
      </c>
      <c r="N408">
        <v>1</v>
      </c>
    </row>
    <row r="409" spans="1:14">
      <c r="A409" t="s">
        <v>25</v>
      </c>
      <c r="B409" t="s">
        <v>20</v>
      </c>
      <c r="C409" t="s">
        <v>16</v>
      </c>
      <c r="D409" s="9">
        <v>45826</v>
      </c>
      <c r="E409">
        <v>116</v>
      </c>
      <c r="F409" t="s">
        <v>4</v>
      </c>
      <c r="G409" t="s">
        <v>102</v>
      </c>
      <c r="H409">
        <v>7</v>
      </c>
      <c r="I409" t="s">
        <v>5</v>
      </c>
      <c r="J409" t="s">
        <v>88</v>
      </c>
      <c r="K409">
        <v>0</v>
      </c>
      <c r="L409">
        <v>1</v>
      </c>
      <c r="M409">
        <v>0</v>
      </c>
      <c r="N409">
        <v>1</v>
      </c>
    </row>
    <row r="410" spans="1:14">
      <c r="A410" t="s">
        <v>25</v>
      </c>
      <c r="B410" t="s">
        <v>21</v>
      </c>
      <c r="C410" t="s">
        <v>16</v>
      </c>
      <c r="D410" s="9">
        <v>45826</v>
      </c>
      <c r="E410">
        <v>117</v>
      </c>
      <c r="F410" t="s">
        <v>5</v>
      </c>
      <c r="G410" t="s">
        <v>102</v>
      </c>
      <c r="H410">
        <v>2</v>
      </c>
      <c r="I410" t="s">
        <v>4</v>
      </c>
      <c r="J410" t="s">
        <v>88</v>
      </c>
      <c r="K410">
        <v>0</v>
      </c>
      <c r="L410">
        <v>1</v>
      </c>
      <c r="M410">
        <v>0</v>
      </c>
      <c r="N410">
        <v>1</v>
      </c>
    </row>
    <row r="411" spans="1:14">
      <c r="A411" t="s">
        <v>25</v>
      </c>
      <c r="B411" t="s">
        <v>21</v>
      </c>
      <c r="C411" t="s">
        <v>16</v>
      </c>
      <c r="D411" s="9">
        <v>45826</v>
      </c>
      <c r="E411">
        <v>117</v>
      </c>
      <c r="F411" t="s">
        <v>4</v>
      </c>
      <c r="G411" t="s">
        <v>65</v>
      </c>
      <c r="H411">
        <v>14</v>
      </c>
      <c r="I411" t="s">
        <v>5</v>
      </c>
      <c r="J411" t="s">
        <v>89</v>
      </c>
      <c r="K411">
        <v>1</v>
      </c>
      <c r="L411">
        <v>0</v>
      </c>
      <c r="M411">
        <v>0</v>
      </c>
      <c r="N411">
        <v>1</v>
      </c>
    </row>
    <row r="412" spans="1:14">
      <c r="A412" t="s">
        <v>25</v>
      </c>
      <c r="B412" t="s">
        <v>19</v>
      </c>
      <c r="C412" t="s">
        <v>16</v>
      </c>
      <c r="D412" s="9">
        <v>45826</v>
      </c>
      <c r="E412">
        <v>118</v>
      </c>
      <c r="F412" t="s">
        <v>5</v>
      </c>
      <c r="G412" t="s">
        <v>65</v>
      </c>
      <c r="H412">
        <v>5</v>
      </c>
      <c r="I412" t="s">
        <v>4</v>
      </c>
      <c r="J412" t="s">
        <v>88</v>
      </c>
      <c r="K412">
        <v>0</v>
      </c>
      <c r="L412">
        <v>1</v>
      </c>
      <c r="M412">
        <v>0</v>
      </c>
      <c r="N412">
        <v>1</v>
      </c>
    </row>
    <row r="413" spans="1:14">
      <c r="A413" t="s">
        <v>25</v>
      </c>
      <c r="B413" t="s">
        <v>19</v>
      </c>
      <c r="C413" t="s">
        <v>16</v>
      </c>
      <c r="D413" s="9">
        <v>45826</v>
      </c>
      <c r="E413">
        <v>118</v>
      </c>
      <c r="F413" t="s">
        <v>4</v>
      </c>
      <c r="G413" t="s">
        <v>102</v>
      </c>
      <c r="H413">
        <v>9</v>
      </c>
      <c r="I413" t="s">
        <v>5</v>
      </c>
      <c r="J413" t="s">
        <v>89</v>
      </c>
      <c r="K413">
        <v>1</v>
      </c>
      <c r="L413">
        <v>0</v>
      </c>
      <c r="M413">
        <v>0</v>
      </c>
      <c r="N413">
        <v>1</v>
      </c>
    </row>
    <row r="414" spans="1:14">
      <c r="A414" t="s">
        <v>25</v>
      </c>
      <c r="B414" t="s">
        <v>20</v>
      </c>
      <c r="C414" t="s">
        <v>16</v>
      </c>
      <c r="D414" s="9">
        <v>45827</v>
      </c>
      <c r="E414">
        <v>119</v>
      </c>
      <c r="F414" t="s">
        <v>5</v>
      </c>
      <c r="G414" t="s">
        <v>65</v>
      </c>
      <c r="H414">
        <v>13</v>
      </c>
      <c r="I414" t="s">
        <v>4</v>
      </c>
      <c r="J414" t="s">
        <v>89</v>
      </c>
      <c r="K414">
        <v>1</v>
      </c>
      <c r="L414">
        <v>0</v>
      </c>
      <c r="M414">
        <v>0</v>
      </c>
      <c r="N414">
        <v>1</v>
      </c>
    </row>
    <row r="415" spans="1:14">
      <c r="A415" t="s">
        <v>25</v>
      </c>
      <c r="B415" t="s">
        <v>20</v>
      </c>
      <c r="C415" t="s">
        <v>16</v>
      </c>
      <c r="D415" s="9">
        <v>45827</v>
      </c>
      <c r="E415">
        <v>119</v>
      </c>
      <c r="F415" t="s">
        <v>4</v>
      </c>
      <c r="G415" t="s">
        <v>102</v>
      </c>
      <c r="H415">
        <v>8</v>
      </c>
      <c r="I415" t="s">
        <v>5</v>
      </c>
      <c r="J415" t="s">
        <v>88</v>
      </c>
      <c r="K415">
        <v>0</v>
      </c>
      <c r="L415">
        <v>1</v>
      </c>
      <c r="M415">
        <v>0</v>
      </c>
      <c r="N415">
        <v>1</v>
      </c>
    </row>
    <row r="416" spans="1:14">
      <c r="A416" t="s">
        <v>25</v>
      </c>
      <c r="B416" t="s">
        <v>20</v>
      </c>
      <c r="C416" t="s">
        <v>16</v>
      </c>
      <c r="D416" s="9">
        <v>45827</v>
      </c>
      <c r="E416">
        <v>120</v>
      </c>
      <c r="F416" t="s">
        <v>5</v>
      </c>
      <c r="G416" t="s">
        <v>102</v>
      </c>
      <c r="H416">
        <v>8</v>
      </c>
      <c r="I416" t="s">
        <v>4</v>
      </c>
      <c r="J416" t="s">
        <v>88</v>
      </c>
      <c r="K416">
        <v>0</v>
      </c>
      <c r="L416">
        <v>1</v>
      </c>
      <c r="M416">
        <v>0</v>
      </c>
      <c r="N416">
        <v>1</v>
      </c>
    </row>
    <row r="417" spans="1:14">
      <c r="A417" t="s">
        <v>25</v>
      </c>
      <c r="B417" t="s">
        <v>20</v>
      </c>
      <c r="C417" t="s">
        <v>16</v>
      </c>
      <c r="D417" s="9">
        <v>45827</v>
      </c>
      <c r="E417">
        <v>120</v>
      </c>
      <c r="F417" t="s">
        <v>4</v>
      </c>
      <c r="G417" t="s">
        <v>65</v>
      </c>
      <c r="H417">
        <v>12</v>
      </c>
      <c r="I417" t="s">
        <v>5</v>
      </c>
      <c r="J417" t="s">
        <v>89</v>
      </c>
      <c r="K417">
        <v>1</v>
      </c>
      <c r="L417">
        <v>0</v>
      </c>
      <c r="M417">
        <v>0</v>
      </c>
      <c r="N417">
        <v>1</v>
      </c>
    </row>
    <row r="418" spans="1:14">
      <c r="A418" t="s">
        <v>25</v>
      </c>
      <c r="B418" t="s">
        <v>20</v>
      </c>
      <c r="C418" t="s">
        <v>16</v>
      </c>
      <c r="D418" s="9">
        <v>45828</v>
      </c>
      <c r="E418">
        <v>121</v>
      </c>
      <c r="F418" t="s">
        <v>4</v>
      </c>
      <c r="G418" t="s">
        <v>102</v>
      </c>
      <c r="H418">
        <v>10</v>
      </c>
      <c r="I418" t="s">
        <v>5</v>
      </c>
      <c r="J418" t="s">
        <v>89</v>
      </c>
      <c r="K418">
        <v>1</v>
      </c>
      <c r="L418">
        <v>0</v>
      </c>
      <c r="M418">
        <v>0</v>
      </c>
      <c r="N418">
        <v>1</v>
      </c>
    </row>
    <row r="419" spans="1:14">
      <c r="A419" t="s">
        <v>25</v>
      </c>
      <c r="B419" t="s">
        <v>20</v>
      </c>
      <c r="C419" t="s">
        <v>16</v>
      </c>
      <c r="D419" s="9">
        <v>45828</v>
      </c>
      <c r="E419">
        <v>121</v>
      </c>
      <c r="F419" t="s">
        <v>5</v>
      </c>
      <c r="G419" t="s">
        <v>65</v>
      </c>
      <c r="H419">
        <v>6</v>
      </c>
      <c r="I419" t="s">
        <v>4</v>
      </c>
      <c r="J419" t="s">
        <v>88</v>
      </c>
      <c r="K419">
        <v>0</v>
      </c>
      <c r="L419">
        <v>1</v>
      </c>
      <c r="M419">
        <v>0</v>
      </c>
      <c r="N419">
        <v>1</v>
      </c>
    </row>
    <row r="420" spans="1:14">
      <c r="A420" t="s">
        <v>25</v>
      </c>
      <c r="B420" t="s">
        <v>19</v>
      </c>
      <c r="C420" t="s">
        <v>16</v>
      </c>
      <c r="D420" s="9">
        <v>45828</v>
      </c>
      <c r="E420">
        <v>122</v>
      </c>
      <c r="F420" t="s">
        <v>4</v>
      </c>
      <c r="G420" t="s">
        <v>65</v>
      </c>
      <c r="H420">
        <v>7</v>
      </c>
      <c r="I420" t="s">
        <v>5</v>
      </c>
      <c r="J420" t="s">
        <v>88</v>
      </c>
      <c r="K420">
        <v>0</v>
      </c>
      <c r="L420">
        <v>1</v>
      </c>
      <c r="M420">
        <v>0</v>
      </c>
      <c r="N420">
        <v>1</v>
      </c>
    </row>
    <row r="421" spans="1:14">
      <c r="A421" t="s">
        <v>25</v>
      </c>
      <c r="B421" t="s">
        <v>19</v>
      </c>
      <c r="C421" t="s">
        <v>16</v>
      </c>
      <c r="D421" s="9">
        <v>45828</v>
      </c>
      <c r="E421">
        <v>122</v>
      </c>
      <c r="F421" t="s">
        <v>5</v>
      </c>
      <c r="G421" t="s">
        <v>102</v>
      </c>
      <c r="H421">
        <v>11</v>
      </c>
      <c r="I421" t="s">
        <v>4</v>
      </c>
      <c r="J421" t="s">
        <v>89</v>
      </c>
      <c r="K421">
        <v>1</v>
      </c>
      <c r="L421">
        <v>0</v>
      </c>
      <c r="M421">
        <v>0</v>
      </c>
      <c r="N421">
        <v>1</v>
      </c>
    </row>
    <row r="422" spans="1:14">
      <c r="A422" t="s">
        <v>25</v>
      </c>
      <c r="B422" t="s">
        <v>21</v>
      </c>
      <c r="C422" t="s">
        <v>16</v>
      </c>
      <c r="D422" s="9">
        <v>45828</v>
      </c>
      <c r="E422">
        <v>123</v>
      </c>
      <c r="F422" t="s">
        <v>5</v>
      </c>
      <c r="G422" t="s">
        <v>65</v>
      </c>
      <c r="H422">
        <v>3</v>
      </c>
      <c r="I422" t="s">
        <v>4</v>
      </c>
      <c r="J422" t="s">
        <v>88</v>
      </c>
      <c r="K422">
        <v>0</v>
      </c>
      <c r="L422">
        <v>1</v>
      </c>
      <c r="M422">
        <v>0</v>
      </c>
      <c r="N422">
        <v>1</v>
      </c>
    </row>
    <row r="423" spans="1:14">
      <c r="A423" t="s">
        <v>25</v>
      </c>
      <c r="B423" t="s">
        <v>21</v>
      </c>
      <c r="C423" t="s">
        <v>16</v>
      </c>
      <c r="D423" s="9">
        <v>45828</v>
      </c>
      <c r="E423">
        <v>123</v>
      </c>
      <c r="F423" t="s">
        <v>4</v>
      </c>
      <c r="G423" t="s">
        <v>102</v>
      </c>
      <c r="H423">
        <v>11</v>
      </c>
      <c r="I423" t="s">
        <v>5</v>
      </c>
      <c r="J423" t="s">
        <v>89</v>
      </c>
      <c r="K423">
        <v>1</v>
      </c>
      <c r="L423">
        <v>0</v>
      </c>
      <c r="M423">
        <v>0</v>
      </c>
      <c r="N423">
        <v>1</v>
      </c>
    </row>
    <row r="424" spans="1:14">
      <c r="A424" t="s">
        <v>25</v>
      </c>
      <c r="B424" t="s">
        <v>20</v>
      </c>
      <c r="C424" t="s">
        <v>16</v>
      </c>
      <c r="D424" s="9">
        <v>45831</v>
      </c>
      <c r="E424">
        <v>124</v>
      </c>
      <c r="F424" t="s">
        <v>78</v>
      </c>
      <c r="G424" t="s">
        <v>102</v>
      </c>
      <c r="H424">
        <v>2</v>
      </c>
      <c r="I424" t="s">
        <v>5</v>
      </c>
      <c r="J424" t="s">
        <v>88</v>
      </c>
      <c r="K424">
        <v>0</v>
      </c>
      <c r="L424">
        <v>1</v>
      </c>
      <c r="M424">
        <v>0</v>
      </c>
      <c r="N424">
        <v>1</v>
      </c>
    </row>
    <row r="425" spans="1:14">
      <c r="A425" t="s">
        <v>25</v>
      </c>
      <c r="B425" t="s">
        <v>20</v>
      </c>
      <c r="C425" t="s">
        <v>16</v>
      </c>
      <c r="D425" s="9">
        <v>45831</v>
      </c>
      <c r="E425">
        <v>124</v>
      </c>
      <c r="F425" t="s">
        <v>5</v>
      </c>
      <c r="G425" t="s">
        <v>65</v>
      </c>
      <c r="H425">
        <v>12</v>
      </c>
      <c r="I425" t="s">
        <v>78</v>
      </c>
      <c r="J425" t="s">
        <v>89</v>
      </c>
      <c r="K425">
        <v>1</v>
      </c>
      <c r="L425">
        <v>0</v>
      </c>
      <c r="M425">
        <v>0</v>
      </c>
      <c r="N425">
        <v>1</v>
      </c>
    </row>
    <row r="426" spans="1:14">
      <c r="A426" t="s">
        <v>25</v>
      </c>
      <c r="B426" t="s">
        <v>20</v>
      </c>
      <c r="C426" t="s">
        <v>16</v>
      </c>
      <c r="D426" s="9">
        <v>45831</v>
      </c>
      <c r="E426">
        <v>125</v>
      </c>
      <c r="F426" t="s">
        <v>4</v>
      </c>
      <c r="G426" t="s">
        <v>65</v>
      </c>
      <c r="H426">
        <v>9</v>
      </c>
      <c r="I426" t="s">
        <v>5</v>
      </c>
      <c r="J426" t="s">
        <v>88</v>
      </c>
      <c r="K426">
        <v>0</v>
      </c>
      <c r="L426">
        <v>1</v>
      </c>
      <c r="M426">
        <v>0</v>
      </c>
      <c r="N426">
        <v>1</v>
      </c>
    </row>
    <row r="427" spans="1:14">
      <c r="A427" t="s">
        <v>25</v>
      </c>
      <c r="B427" t="s">
        <v>20</v>
      </c>
      <c r="C427" t="s">
        <v>16</v>
      </c>
      <c r="D427" s="9">
        <v>45831</v>
      </c>
      <c r="E427">
        <v>125</v>
      </c>
      <c r="F427" t="s">
        <v>5</v>
      </c>
      <c r="G427" t="s">
        <v>102</v>
      </c>
      <c r="H427">
        <v>10</v>
      </c>
      <c r="I427" t="s">
        <v>4</v>
      </c>
      <c r="J427" t="s">
        <v>89</v>
      </c>
      <c r="K427">
        <v>1</v>
      </c>
      <c r="L427">
        <v>0</v>
      </c>
      <c r="M427">
        <v>0</v>
      </c>
      <c r="N427">
        <v>1</v>
      </c>
    </row>
    <row r="428" spans="1:14">
      <c r="A428" t="s">
        <v>25</v>
      </c>
      <c r="B428" t="s">
        <v>20</v>
      </c>
      <c r="C428" t="s">
        <v>16</v>
      </c>
      <c r="D428" s="9">
        <v>45832</v>
      </c>
      <c r="E428">
        <v>126</v>
      </c>
      <c r="F428" t="s">
        <v>4</v>
      </c>
      <c r="G428" t="s">
        <v>102</v>
      </c>
      <c r="H428">
        <v>9</v>
      </c>
      <c r="I428" t="s">
        <v>5</v>
      </c>
      <c r="J428" t="s">
        <v>89</v>
      </c>
      <c r="K428">
        <v>1</v>
      </c>
      <c r="L428">
        <v>0</v>
      </c>
      <c r="M428">
        <v>0</v>
      </c>
      <c r="N428">
        <v>1</v>
      </c>
    </row>
    <row r="429" spans="1:14">
      <c r="A429" t="s">
        <v>25</v>
      </c>
      <c r="B429" t="s">
        <v>20</v>
      </c>
      <c r="C429" t="s">
        <v>16</v>
      </c>
      <c r="D429" s="9">
        <v>45832</v>
      </c>
      <c r="E429">
        <v>126</v>
      </c>
      <c r="F429" t="s">
        <v>5</v>
      </c>
      <c r="G429" t="s">
        <v>65</v>
      </c>
      <c r="H429">
        <v>5</v>
      </c>
      <c r="I429" t="s">
        <v>4</v>
      </c>
      <c r="J429" t="s">
        <v>88</v>
      </c>
      <c r="K429">
        <v>0</v>
      </c>
      <c r="L429">
        <v>1</v>
      </c>
      <c r="M429">
        <v>0</v>
      </c>
      <c r="N429">
        <v>1</v>
      </c>
    </row>
    <row r="430" spans="1:14">
      <c r="A430" t="s">
        <v>25</v>
      </c>
      <c r="B430" t="s">
        <v>20</v>
      </c>
      <c r="C430" t="s">
        <v>16</v>
      </c>
      <c r="D430" s="9">
        <v>45832</v>
      </c>
      <c r="E430">
        <v>127</v>
      </c>
      <c r="F430" t="s">
        <v>4</v>
      </c>
      <c r="G430" t="s">
        <v>65</v>
      </c>
      <c r="H430">
        <v>2</v>
      </c>
      <c r="I430" t="s">
        <v>5</v>
      </c>
      <c r="J430" t="s">
        <v>88</v>
      </c>
      <c r="K430">
        <v>0</v>
      </c>
      <c r="L430">
        <v>1</v>
      </c>
      <c r="M430">
        <v>0</v>
      </c>
      <c r="N430">
        <v>1</v>
      </c>
    </row>
    <row r="431" spans="1:14">
      <c r="A431" t="s">
        <v>25</v>
      </c>
      <c r="B431" t="s">
        <v>20</v>
      </c>
      <c r="C431" t="s">
        <v>16</v>
      </c>
      <c r="D431" s="9">
        <v>45832</v>
      </c>
      <c r="E431">
        <v>127</v>
      </c>
      <c r="F431" t="s">
        <v>6</v>
      </c>
      <c r="G431" t="s">
        <v>65</v>
      </c>
      <c r="H431">
        <v>4</v>
      </c>
      <c r="I431" t="s">
        <v>5</v>
      </c>
      <c r="J431" t="s">
        <v>88</v>
      </c>
      <c r="K431">
        <v>0</v>
      </c>
      <c r="L431">
        <v>1</v>
      </c>
      <c r="M431">
        <v>0</v>
      </c>
      <c r="N431">
        <v>1</v>
      </c>
    </row>
    <row r="432" spans="1:14">
      <c r="A432" t="s">
        <v>25</v>
      </c>
      <c r="B432" t="s">
        <v>20</v>
      </c>
      <c r="C432" t="s">
        <v>16</v>
      </c>
      <c r="D432" s="9">
        <v>45832</v>
      </c>
      <c r="E432">
        <v>127</v>
      </c>
      <c r="F432" t="s">
        <v>6</v>
      </c>
      <c r="G432" t="s">
        <v>102</v>
      </c>
      <c r="H432">
        <v>4</v>
      </c>
      <c r="I432" t="s">
        <v>4</v>
      </c>
      <c r="J432" t="s">
        <v>89</v>
      </c>
      <c r="K432">
        <v>1</v>
      </c>
      <c r="L432">
        <v>0</v>
      </c>
      <c r="M432">
        <v>0</v>
      </c>
      <c r="N432">
        <v>1</v>
      </c>
    </row>
    <row r="433" spans="1:14">
      <c r="A433" t="s">
        <v>25</v>
      </c>
      <c r="B433" t="s">
        <v>20</v>
      </c>
      <c r="C433" t="s">
        <v>16</v>
      </c>
      <c r="D433" s="9">
        <v>45832</v>
      </c>
      <c r="E433">
        <v>127</v>
      </c>
      <c r="F433" t="s">
        <v>4</v>
      </c>
      <c r="G433" t="s">
        <v>65</v>
      </c>
      <c r="H433">
        <v>2</v>
      </c>
      <c r="I433" t="s">
        <v>6</v>
      </c>
      <c r="J433" t="s">
        <v>88</v>
      </c>
      <c r="K433">
        <v>0</v>
      </c>
      <c r="L433">
        <v>1</v>
      </c>
      <c r="M433">
        <v>0</v>
      </c>
      <c r="N433">
        <v>1</v>
      </c>
    </row>
    <row r="434" spans="1:14">
      <c r="A434" t="s">
        <v>25</v>
      </c>
      <c r="B434" t="s">
        <v>20</v>
      </c>
      <c r="C434" t="s">
        <v>16</v>
      </c>
      <c r="D434" s="9">
        <v>45832</v>
      </c>
      <c r="E434">
        <v>127</v>
      </c>
      <c r="F434" t="s">
        <v>5</v>
      </c>
      <c r="G434" t="s">
        <v>102</v>
      </c>
      <c r="H434">
        <v>11</v>
      </c>
      <c r="I434" t="s">
        <v>4</v>
      </c>
      <c r="J434" t="s">
        <v>89</v>
      </c>
      <c r="K434">
        <v>1</v>
      </c>
      <c r="L434">
        <v>0</v>
      </c>
      <c r="M434">
        <v>0</v>
      </c>
      <c r="N434">
        <v>1</v>
      </c>
    </row>
    <row r="435" spans="1:14">
      <c r="A435" t="s">
        <v>25</v>
      </c>
      <c r="B435" t="s">
        <v>20</v>
      </c>
      <c r="C435" t="s">
        <v>16</v>
      </c>
      <c r="D435" s="9">
        <v>45832</v>
      </c>
      <c r="E435">
        <v>127</v>
      </c>
      <c r="F435" t="s">
        <v>5</v>
      </c>
      <c r="G435" t="s">
        <v>102</v>
      </c>
      <c r="H435">
        <v>11</v>
      </c>
      <c r="I435" t="s">
        <v>6</v>
      </c>
      <c r="J435" t="s">
        <v>89</v>
      </c>
      <c r="K435">
        <v>1</v>
      </c>
      <c r="L435">
        <v>0</v>
      </c>
      <c r="M435">
        <v>0</v>
      </c>
      <c r="N435">
        <v>1</v>
      </c>
    </row>
    <row r="436" spans="1:14">
      <c r="A436" t="s">
        <v>25</v>
      </c>
      <c r="B436" t="s">
        <v>20</v>
      </c>
      <c r="C436" t="s">
        <v>16</v>
      </c>
      <c r="D436" s="9">
        <v>45832</v>
      </c>
      <c r="E436">
        <v>128</v>
      </c>
      <c r="F436" t="s">
        <v>4</v>
      </c>
      <c r="G436" t="s">
        <v>102</v>
      </c>
      <c r="H436">
        <v>7</v>
      </c>
      <c r="I436" t="s">
        <v>5</v>
      </c>
      <c r="J436" t="s">
        <v>89</v>
      </c>
      <c r="K436">
        <v>1</v>
      </c>
      <c r="L436">
        <v>0</v>
      </c>
      <c r="M436">
        <v>0</v>
      </c>
      <c r="N436">
        <v>1</v>
      </c>
    </row>
    <row r="437" spans="1:14">
      <c r="A437" t="s">
        <v>25</v>
      </c>
      <c r="B437" t="s">
        <v>20</v>
      </c>
      <c r="C437" t="s">
        <v>16</v>
      </c>
      <c r="D437" s="9">
        <v>45832</v>
      </c>
      <c r="E437">
        <v>128</v>
      </c>
      <c r="F437" t="s">
        <v>5</v>
      </c>
      <c r="G437" t="s">
        <v>65</v>
      </c>
      <c r="H437">
        <v>2</v>
      </c>
      <c r="I437" t="s">
        <v>4</v>
      </c>
      <c r="J437" t="s">
        <v>88</v>
      </c>
      <c r="K437">
        <v>0</v>
      </c>
      <c r="L437">
        <v>1</v>
      </c>
      <c r="M437">
        <v>0</v>
      </c>
      <c r="N437">
        <v>1</v>
      </c>
    </row>
    <row r="438" spans="1:14">
      <c r="A438" t="s">
        <v>25</v>
      </c>
      <c r="B438" t="s">
        <v>20</v>
      </c>
      <c r="C438" t="s">
        <v>16</v>
      </c>
      <c r="D438" s="9">
        <v>45833</v>
      </c>
      <c r="E438">
        <v>129</v>
      </c>
      <c r="F438" t="s">
        <v>4</v>
      </c>
      <c r="G438" t="s">
        <v>65</v>
      </c>
      <c r="H438">
        <v>0</v>
      </c>
      <c r="I438" t="s">
        <v>5</v>
      </c>
      <c r="J438" t="s">
        <v>88</v>
      </c>
      <c r="K438">
        <v>0</v>
      </c>
      <c r="L438">
        <v>1</v>
      </c>
      <c r="M438">
        <v>0</v>
      </c>
      <c r="N438">
        <v>1</v>
      </c>
    </row>
    <row r="439" spans="1:14">
      <c r="A439" t="s">
        <v>25</v>
      </c>
      <c r="B439" t="s">
        <v>20</v>
      </c>
      <c r="C439" t="s">
        <v>16</v>
      </c>
      <c r="D439" s="9">
        <v>45833</v>
      </c>
      <c r="E439">
        <v>129</v>
      </c>
      <c r="F439" t="s">
        <v>5</v>
      </c>
      <c r="G439" t="s">
        <v>102</v>
      </c>
      <c r="H439">
        <v>7</v>
      </c>
      <c r="I439" t="s">
        <v>4</v>
      </c>
      <c r="J439" t="s">
        <v>89</v>
      </c>
      <c r="K439">
        <v>1</v>
      </c>
      <c r="L439">
        <v>0</v>
      </c>
      <c r="M439">
        <v>0</v>
      </c>
      <c r="N439">
        <v>1</v>
      </c>
    </row>
    <row r="440" spans="1:14">
      <c r="A440" t="s">
        <v>25</v>
      </c>
      <c r="B440" t="s">
        <v>20</v>
      </c>
      <c r="C440" t="s">
        <v>16</v>
      </c>
      <c r="D440" s="9">
        <v>45833</v>
      </c>
      <c r="E440">
        <v>130</v>
      </c>
      <c r="F440" t="s">
        <v>5</v>
      </c>
      <c r="G440" t="s">
        <v>65</v>
      </c>
      <c r="H440">
        <v>0</v>
      </c>
      <c r="I440" t="s">
        <v>4</v>
      </c>
      <c r="J440" t="s">
        <v>88</v>
      </c>
      <c r="K440">
        <v>0</v>
      </c>
      <c r="L440">
        <v>1</v>
      </c>
      <c r="M440">
        <v>0</v>
      </c>
      <c r="N440">
        <v>1</v>
      </c>
    </row>
    <row r="441" spans="1:14">
      <c r="A441" t="s">
        <v>25</v>
      </c>
      <c r="B441" t="s">
        <v>20</v>
      </c>
      <c r="C441" t="s">
        <v>16</v>
      </c>
      <c r="D441" s="9">
        <v>45833</v>
      </c>
      <c r="E441">
        <v>130</v>
      </c>
      <c r="F441" t="s">
        <v>5</v>
      </c>
      <c r="G441" t="s">
        <v>102</v>
      </c>
      <c r="H441">
        <v>0</v>
      </c>
      <c r="I441" t="s">
        <v>78</v>
      </c>
      <c r="J441" t="s">
        <v>88</v>
      </c>
      <c r="K441">
        <v>0</v>
      </c>
      <c r="L441">
        <v>1</v>
      </c>
      <c r="M441">
        <v>0</v>
      </c>
      <c r="N441">
        <v>1</v>
      </c>
    </row>
    <row r="442" spans="1:14">
      <c r="A442" t="s">
        <v>25</v>
      </c>
      <c r="B442" t="s">
        <v>20</v>
      </c>
      <c r="C442" t="s">
        <v>16</v>
      </c>
      <c r="D442" s="9">
        <v>45833</v>
      </c>
      <c r="E442">
        <v>130</v>
      </c>
      <c r="F442" t="s">
        <v>78</v>
      </c>
      <c r="G442" t="s">
        <v>65</v>
      </c>
      <c r="H442">
        <v>1</v>
      </c>
      <c r="I442" t="s">
        <v>5</v>
      </c>
      <c r="J442" t="s">
        <v>89</v>
      </c>
      <c r="K442">
        <v>1</v>
      </c>
      <c r="L442">
        <v>0</v>
      </c>
      <c r="M442">
        <v>0</v>
      </c>
      <c r="N442">
        <v>1</v>
      </c>
    </row>
    <row r="443" spans="1:14">
      <c r="A443" t="s">
        <v>25</v>
      </c>
      <c r="B443" t="s">
        <v>20</v>
      </c>
      <c r="C443" t="s">
        <v>16</v>
      </c>
      <c r="D443" s="9">
        <v>45833</v>
      </c>
      <c r="E443">
        <v>130</v>
      </c>
      <c r="F443" t="s">
        <v>4</v>
      </c>
      <c r="G443" t="s">
        <v>102</v>
      </c>
      <c r="H443">
        <v>14</v>
      </c>
      <c r="I443" t="s">
        <v>78</v>
      </c>
      <c r="J443" t="s">
        <v>89</v>
      </c>
      <c r="K443">
        <v>1</v>
      </c>
      <c r="L443">
        <v>0</v>
      </c>
      <c r="M443">
        <v>0</v>
      </c>
      <c r="N443">
        <v>1</v>
      </c>
    </row>
    <row r="444" spans="1:14">
      <c r="A444" t="s">
        <v>25</v>
      </c>
      <c r="B444" t="s">
        <v>20</v>
      </c>
      <c r="C444" t="s">
        <v>16</v>
      </c>
      <c r="D444" s="9">
        <v>45833</v>
      </c>
      <c r="E444">
        <v>130</v>
      </c>
      <c r="F444" t="s">
        <v>78</v>
      </c>
      <c r="G444" t="s">
        <v>65</v>
      </c>
      <c r="H444">
        <v>1</v>
      </c>
      <c r="I444" t="s">
        <v>4</v>
      </c>
      <c r="J444" t="s">
        <v>88</v>
      </c>
      <c r="K444">
        <v>0</v>
      </c>
      <c r="L444">
        <v>1</v>
      </c>
      <c r="M444">
        <v>0</v>
      </c>
      <c r="N444">
        <v>1</v>
      </c>
    </row>
    <row r="445" spans="1:14">
      <c r="A445" t="s">
        <v>25</v>
      </c>
      <c r="B445" t="s">
        <v>20</v>
      </c>
      <c r="C445" t="s">
        <v>16</v>
      </c>
      <c r="D445" s="9">
        <v>45833</v>
      </c>
      <c r="E445">
        <v>130</v>
      </c>
      <c r="F445" t="s">
        <v>4</v>
      </c>
      <c r="G445" t="s">
        <v>102</v>
      </c>
      <c r="H445">
        <v>14</v>
      </c>
      <c r="I445" t="s">
        <v>5</v>
      </c>
      <c r="J445" t="s">
        <v>89</v>
      </c>
      <c r="K445">
        <v>1</v>
      </c>
      <c r="L445">
        <v>0</v>
      </c>
      <c r="M445">
        <v>0</v>
      </c>
      <c r="N445">
        <v>1</v>
      </c>
    </row>
    <row r="446" spans="1:14">
      <c r="A446" t="s">
        <v>25</v>
      </c>
      <c r="B446" t="s">
        <v>20</v>
      </c>
      <c r="C446" t="s">
        <v>16</v>
      </c>
      <c r="D446" s="9">
        <v>45833</v>
      </c>
      <c r="E446">
        <v>131</v>
      </c>
      <c r="F446" t="s">
        <v>4</v>
      </c>
      <c r="G446" t="s">
        <v>102</v>
      </c>
      <c r="H446">
        <v>9</v>
      </c>
      <c r="I446" t="s">
        <v>5</v>
      </c>
      <c r="J446" t="s">
        <v>89</v>
      </c>
      <c r="K446">
        <v>1</v>
      </c>
      <c r="L446">
        <v>0</v>
      </c>
      <c r="M446">
        <v>0</v>
      </c>
      <c r="N446">
        <v>1</v>
      </c>
    </row>
    <row r="447" spans="1:14">
      <c r="A447" t="s">
        <v>25</v>
      </c>
      <c r="B447" t="s">
        <v>20</v>
      </c>
      <c r="C447" t="s">
        <v>16</v>
      </c>
      <c r="D447" s="9">
        <v>45833</v>
      </c>
      <c r="E447">
        <v>131</v>
      </c>
      <c r="F447" t="s">
        <v>5</v>
      </c>
      <c r="G447" t="s">
        <v>65</v>
      </c>
      <c r="H447">
        <v>7</v>
      </c>
      <c r="I447" t="s">
        <v>4</v>
      </c>
      <c r="J447" t="s">
        <v>88</v>
      </c>
      <c r="K447">
        <v>0</v>
      </c>
      <c r="L447">
        <v>1</v>
      </c>
      <c r="M447">
        <v>0</v>
      </c>
      <c r="N447">
        <v>1</v>
      </c>
    </row>
    <row r="448" spans="1:14">
      <c r="A448" t="s">
        <v>25</v>
      </c>
      <c r="B448" t="s">
        <v>20</v>
      </c>
      <c r="C448" t="s">
        <v>16</v>
      </c>
      <c r="D448" s="9">
        <v>45834</v>
      </c>
      <c r="E448">
        <v>132</v>
      </c>
      <c r="F448" t="s">
        <v>5</v>
      </c>
      <c r="G448" t="s">
        <v>65</v>
      </c>
      <c r="H448">
        <v>4</v>
      </c>
      <c r="I448" t="s">
        <v>4</v>
      </c>
      <c r="J448" t="s">
        <v>88</v>
      </c>
      <c r="K448">
        <v>0</v>
      </c>
      <c r="L448">
        <v>1</v>
      </c>
      <c r="M448">
        <v>0</v>
      </c>
      <c r="N448">
        <v>1</v>
      </c>
    </row>
    <row r="449" spans="1:14">
      <c r="A449" t="s">
        <v>25</v>
      </c>
      <c r="B449" t="s">
        <v>20</v>
      </c>
      <c r="C449" t="s">
        <v>16</v>
      </c>
      <c r="D449" s="9">
        <v>45834</v>
      </c>
      <c r="E449">
        <v>132</v>
      </c>
      <c r="F449" t="s">
        <v>4</v>
      </c>
      <c r="G449" t="s">
        <v>102</v>
      </c>
      <c r="H449">
        <v>10</v>
      </c>
      <c r="I449" t="s">
        <v>5</v>
      </c>
      <c r="J449" t="s">
        <v>89</v>
      </c>
      <c r="K449">
        <v>1</v>
      </c>
      <c r="L449">
        <v>0</v>
      </c>
      <c r="M449">
        <v>0</v>
      </c>
      <c r="N449">
        <v>1</v>
      </c>
    </row>
    <row r="450" spans="1:14">
      <c r="A450" t="s">
        <v>25</v>
      </c>
      <c r="B450" t="s">
        <v>20</v>
      </c>
      <c r="C450" t="s">
        <v>16</v>
      </c>
      <c r="D450" s="9">
        <v>45834</v>
      </c>
      <c r="E450">
        <v>132</v>
      </c>
      <c r="F450" t="s">
        <v>4</v>
      </c>
      <c r="G450" t="s">
        <v>102</v>
      </c>
      <c r="H450">
        <v>10</v>
      </c>
      <c r="I450" t="s">
        <v>78</v>
      </c>
      <c r="J450" t="s">
        <v>89</v>
      </c>
      <c r="K450">
        <v>1</v>
      </c>
      <c r="L450">
        <v>0</v>
      </c>
      <c r="M450">
        <v>0</v>
      </c>
      <c r="N450">
        <v>1</v>
      </c>
    </row>
    <row r="451" spans="1:14">
      <c r="A451" t="s">
        <v>25</v>
      </c>
      <c r="B451" t="s">
        <v>20</v>
      </c>
      <c r="C451" t="s">
        <v>16</v>
      </c>
      <c r="D451" s="9">
        <v>45834</v>
      </c>
      <c r="E451">
        <v>132</v>
      </c>
      <c r="F451" t="s">
        <v>78</v>
      </c>
      <c r="G451" t="s">
        <v>65</v>
      </c>
      <c r="H451">
        <v>4</v>
      </c>
      <c r="I451" t="s">
        <v>4</v>
      </c>
      <c r="J451" t="s">
        <v>88</v>
      </c>
      <c r="K451">
        <v>0</v>
      </c>
      <c r="L451">
        <v>1</v>
      </c>
      <c r="M451">
        <v>0</v>
      </c>
      <c r="N451">
        <v>1</v>
      </c>
    </row>
    <row r="452" spans="1:14">
      <c r="A452" t="s">
        <v>25</v>
      </c>
      <c r="B452" t="s">
        <v>20</v>
      </c>
      <c r="C452" t="s">
        <v>16</v>
      </c>
      <c r="D452" s="9">
        <v>45834</v>
      </c>
      <c r="E452">
        <v>132</v>
      </c>
      <c r="F452" t="s">
        <v>78</v>
      </c>
      <c r="G452" t="s">
        <v>102</v>
      </c>
      <c r="H452">
        <v>4</v>
      </c>
      <c r="I452" t="s">
        <v>5</v>
      </c>
      <c r="J452" t="s">
        <v>87</v>
      </c>
      <c r="K452">
        <v>0</v>
      </c>
      <c r="L452">
        <v>0</v>
      </c>
      <c r="M452">
        <v>1</v>
      </c>
      <c r="N452">
        <v>1</v>
      </c>
    </row>
    <row r="453" spans="1:14">
      <c r="A453" t="s">
        <v>25</v>
      </c>
      <c r="B453" t="s">
        <v>20</v>
      </c>
      <c r="C453" t="s">
        <v>16</v>
      </c>
      <c r="D453" s="9">
        <v>45834</v>
      </c>
      <c r="E453">
        <v>132</v>
      </c>
      <c r="F453" t="s">
        <v>5</v>
      </c>
      <c r="G453" t="s">
        <v>65</v>
      </c>
      <c r="H453">
        <v>4</v>
      </c>
      <c r="I453" t="s">
        <v>78</v>
      </c>
      <c r="J453" t="s">
        <v>87</v>
      </c>
      <c r="K453">
        <v>0</v>
      </c>
      <c r="L453">
        <v>0</v>
      </c>
      <c r="M453">
        <v>1</v>
      </c>
      <c r="N453">
        <v>1</v>
      </c>
    </row>
    <row r="454" spans="1:14">
      <c r="A454" t="s">
        <v>25</v>
      </c>
      <c r="B454" t="s">
        <v>20</v>
      </c>
      <c r="C454" t="s">
        <v>16</v>
      </c>
      <c r="D454" s="9">
        <v>45834</v>
      </c>
      <c r="E454">
        <v>133</v>
      </c>
      <c r="F454" t="s">
        <v>4</v>
      </c>
      <c r="G454" t="s">
        <v>65</v>
      </c>
      <c r="H454">
        <v>10</v>
      </c>
      <c r="I454" t="s">
        <v>5</v>
      </c>
      <c r="J454" t="s">
        <v>89</v>
      </c>
      <c r="K454">
        <v>1</v>
      </c>
      <c r="L454">
        <v>0</v>
      </c>
      <c r="M454">
        <v>0</v>
      </c>
      <c r="N454">
        <v>1</v>
      </c>
    </row>
    <row r="455" spans="1:14">
      <c r="A455" t="s">
        <v>25</v>
      </c>
      <c r="B455" t="s">
        <v>20</v>
      </c>
      <c r="C455" t="s">
        <v>16</v>
      </c>
      <c r="D455" s="9">
        <v>45834</v>
      </c>
      <c r="E455">
        <v>133</v>
      </c>
      <c r="F455" t="s">
        <v>5</v>
      </c>
      <c r="G455" t="s">
        <v>102</v>
      </c>
      <c r="H455">
        <v>4</v>
      </c>
      <c r="I455" t="s">
        <v>4</v>
      </c>
      <c r="J455" t="s">
        <v>88</v>
      </c>
      <c r="K455">
        <v>0</v>
      </c>
      <c r="L455">
        <v>1</v>
      </c>
      <c r="M455">
        <v>0</v>
      </c>
      <c r="N455">
        <v>1</v>
      </c>
    </row>
    <row r="456" spans="1:14">
      <c r="A456" t="s">
        <v>25</v>
      </c>
      <c r="B456" t="s">
        <v>20</v>
      </c>
      <c r="C456" t="s">
        <v>16</v>
      </c>
      <c r="D456" s="9">
        <v>45835</v>
      </c>
      <c r="E456">
        <v>134</v>
      </c>
      <c r="F456" t="s">
        <v>4</v>
      </c>
      <c r="G456" t="s">
        <v>102</v>
      </c>
      <c r="H456">
        <v>6</v>
      </c>
      <c r="I456" t="s">
        <v>78</v>
      </c>
      <c r="J456" t="s">
        <v>89</v>
      </c>
      <c r="K456">
        <v>1</v>
      </c>
      <c r="L456">
        <v>0</v>
      </c>
      <c r="M456">
        <v>0</v>
      </c>
      <c r="N456">
        <v>1</v>
      </c>
    </row>
    <row r="457" spans="1:14">
      <c r="A457" t="s">
        <v>25</v>
      </c>
      <c r="B457" t="s">
        <v>20</v>
      </c>
      <c r="C457" t="s">
        <v>16</v>
      </c>
      <c r="D457" s="9">
        <v>45835</v>
      </c>
      <c r="E457">
        <v>134</v>
      </c>
      <c r="F457" t="s">
        <v>78</v>
      </c>
      <c r="G457" t="s">
        <v>65</v>
      </c>
      <c r="H457">
        <v>3</v>
      </c>
      <c r="I457" t="s">
        <v>4</v>
      </c>
      <c r="J457" t="s">
        <v>88</v>
      </c>
      <c r="K457">
        <v>0</v>
      </c>
      <c r="L457">
        <v>1</v>
      </c>
      <c r="M457">
        <v>0</v>
      </c>
      <c r="N457">
        <v>1</v>
      </c>
    </row>
    <row r="458" spans="1:14">
      <c r="A458" t="s">
        <v>25</v>
      </c>
      <c r="B458" t="s">
        <v>20</v>
      </c>
      <c r="C458" t="s">
        <v>16</v>
      </c>
      <c r="D458" s="9">
        <v>45835</v>
      </c>
      <c r="E458">
        <v>135</v>
      </c>
      <c r="F458" t="s">
        <v>4</v>
      </c>
      <c r="G458" t="s">
        <v>65</v>
      </c>
      <c r="H458">
        <v>16</v>
      </c>
      <c r="I458" t="s">
        <v>5</v>
      </c>
      <c r="J458" t="s">
        <v>89</v>
      </c>
      <c r="K458">
        <v>1</v>
      </c>
      <c r="L458">
        <v>0</v>
      </c>
      <c r="M458">
        <v>0</v>
      </c>
      <c r="N458">
        <v>1</v>
      </c>
    </row>
    <row r="459" spans="1:14">
      <c r="A459" t="s">
        <v>25</v>
      </c>
      <c r="B459" t="s">
        <v>20</v>
      </c>
      <c r="C459" t="s">
        <v>16</v>
      </c>
      <c r="D459" s="9">
        <v>45835</v>
      </c>
      <c r="E459">
        <v>135</v>
      </c>
      <c r="F459" t="s">
        <v>5</v>
      </c>
      <c r="G459" t="s">
        <v>102</v>
      </c>
      <c r="H459">
        <v>0</v>
      </c>
      <c r="I459" t="s">
        <v>4</v>
      </c>
      <c r="J459" t="s">
        <v>88</v>
      </c>
      <c r="K459">
        <v>0</v>
      </c>
      <c r="L459">
        <v>1</v>
      </c>
      <c r="M459">
        <v>0</v>
      </c>
      <c r="N459">
        <v>1</v>
      </c>
    </row>
    <row r="460" spans="1:14">
      <c r="A460" t="s">
        <v>25</v>
      </c>
      <c r="B460" t="s">
        <v>19</v>
      </c>
      <c r="C460" t="s">
        <v>16</v>
      </c>
      <c r="D460" s="9">
        <v>45835</v>
      </c>
      <c r="E460">
        <v>136</v>
      </c>
      <c r="F460" t="s">
        <v>5</v>
      </c>
      <c r="G460" t="s">
        <v>65</v>
      </c>
      <c r="H460">
        <v>9</v>
      </c>
      <c r="I460" t="s">
        <v>4</v>
      </c>
      <c r="J460" t="s">
        <v>89</v>
      </c>
      <c r="K460">
        <v>1</v>
      </c>
      <c r="L460">
        <v>0</v>
      </c>
      <c r="M460">
        <v>0</v>
      </c>
      <c r="N460">
        <v>1</v>
      </c>
    </row>
    <row r="461" spans="1:14">
      <c r="A461" t="s">
        <v>25</v>
      </c>
      <c r="B461" t="s">
        <v>19</v>
      </c>
      <c r="C461" t="s">
        <v>16</v>
      </c>
      <c r="D461" s="9">
        <v>45835</v>
      </c>
      <c r="E461">
        <v>136</v>
      </c>
      <c r="F461" t="s">
        <v>4</v>
      </c>
      <c r="G461" t="s">
        <v>102</v>
      </c>
      <c r="H461">
        <v>4</v>
      </c>
      <c r="I461" t="s">
        <v>5</v>
      </c>
      <c r="J461" t="s">
        <v>88</v>
      </c>
      <c r="K461">
        <v>0</v>
      </c>
      <c r="L461">
        <v>1</v>
      </c>
      <c r="M461">
        <v>0</v>
      </c>
      <c r="N461">
        <v>1</v>
      </c>
    </row>
    <row r="462" spans="1:14">
      <c r="A462" t="s">
        <v>25</v>
      </c>
      <c r="B462" t="s">
        <v>20</v>
      </c>
      <c r="C462" t="s">
        <v>16</v>
      </c>
      <c r="D462" s="9">
        <v>45838</v>
      </c>
      <c r="E462">
        <v>137</v>
      </c>
      <c r="F462" t="s">
        <v>4</v>
      </c>
      <c r="G462" t="s">
        <v>65</v>
      </c>
      <c r="H462">
        <v>5</v>
      </c>
      <c r="I462" t="s">
        <v>5</v>
      </c>
      <c r="J462" t="s">
        <v>88</v>
      </c>
      <c r="K462">
        <v>0</v>
      </c>
      <c r="L462">
        <v>1</v>
      </c>
      <c r="M462">
        <v>0</v>
      </c>
      <c r="N462">
        <v>1</v>
      </c>
    </row>
    <row r="463" spans="1:14">
      <c r="A463" t="s">
        <v>25</v>
      </c>
      <c r="B463" t="s">
        <v>20</v>
      </c>
      <c r="C463" t="s">
        <v>16</v>
      </c>
      <c r="D463" s="9">
        <v>45838</v>
      </c>
      <c r="E463">
        <v>137</v>
      </c>
      <c r="F463" t="s">
        <v>78</v>
      </c>
      <c r="G463" t="s">
        <v>65</v>
      </c>
      <c r="H463">
        <v>1</v>
      </c>
      <c r="I463" t="s">
        <v>4</v>
      </c>
      <c r="J463" t="s">
        <v>88</v>
      </c>
      <c r="K463">
        <v>0</v>
      </c>
      <c r="L463">
        <v>1</v>
      </c>
      <c r="M463">
        <v>0</v>
      </c>
      <c r="N463">
        <v>1</v>
      </c>
    </row>
    <row r="464" spans="1:14">
      <c r="A464" t="s">
        <v>25</v>
      </c>
      <c r="B464" t="s">
        <v>20</v>
      </c>
      <c r="C464" t="s">
        <v>16</v>
      </c>
      <c r="D464" s="9">
        <v>45838</v>
      </c>
      <c r="E464">
        <v>137</v>
      </c>
      <c r="F464" t="s">
        <v>78</v>
      </c>
      <c r="G464" t="s">
        <v>65</v>
      </c>
      <c r="H464">
        <v>1</v>
      </c>
      <c r="I464" t="s">
        <v>5</v>
      </c>
      <c r="J464" t="s">
        <v>88</v>
      </c>
      <c r="K464">
        <v>0</v>
      </c>
      <c r="L464">
        <v>1</v>
      </c>
      <c r="M464">
        <v>0</v>
      </c>
      <c r="N464">
        <v>1</v>
      </c>
    </row>
    <row r="465" spans="1:14">
      <c r="A465" t="s">
        <v>25</v>
      </c>
      <c r="B465" t="s">
        <v>20</v>
      </c>
      <c r="C465" t="s">
        <v>16</v>
      </c>
      <c r="D465" s="9">
        <v>45838</v>
      </c>
      <c r="E465">
        <v>137</v>
      </c>
      <c r="F465" t="s">
        <v>5</v>
      </c>
      <c r="G465" t="s">
        <v>102</v>
      </c>
      <c r="H465">
        <v>9</v>
      </c>
      <c r="I465" t="s">
        <v>4</v>
      </c>
      <c r="J465" t="s">
        <v>89</v>
      </c>
      <c r="K465">
        <v>1</v>
      </c>
      <c r="L465">
        <v>0</v>
      </c>
      <c r="M465">
        <v>0</v>
      </c>
      <c r="N465">
        <v>1</v>
      </c>
    </row>
    <row r="466" spans="1:14">
      <c r="A466" t="s">
        <v>25</v>
      </c>
      <c r="B466" t="s">
        <v>20</v>
      </c>
      <c r="C466" t="s">
        <v>16</v>
      </c>
      <c r="D466" s="9">
        <v>45838</v>
      </c>
      <c r="E466">
        <v>137</v>
      </c>
      <c r="F466" t="s">
        <v>5</v>
      </c>
      <c r="G466" t="s">
        <v>102</v>
      </c>
      <c r="H466">
        <v>9</v>
      </c>
      <c r="I466" t="s">
        <v>78</v>
      </c>
      <c r="J466" t="s">
        <v>89</v>
      </c>
      <c r="K466">
        <v>1</v>
      </c>
      <c r="L466">
        <v>0</v>
      </c>
      <c r="M466">
        <v>0</v>
      </c>
      <c r="N466">
        <v>1</v>
      </c>
    </row>
    <row r="467" spans="1:14">
      <c r="A467" t="s">
        <v>25</v>
      </c>
      <c r="B467" t="s">
        <v>20</v>
      </c>
      <c r="C467" t="s">
        <v>16</v>
      </c>
      <c r="D467" s="9">
        <v>45838</v>
      </c>
      <c r="E467">
        <v>137</v>
      </c>
      <c r="F467" t="s">
        <v>4</v>
      </c>
      <c r="G467" t="s">
        <v>102</v>
      </c>
      <c r="H467">
        <v>5</v>
      </c>
      <c r="I467" t="s">
        <v>78</v>
      </c>
      <c r="J467" t="s">
        <v>89</v>
      </c>
      <c r="K467">
        <v>1</v>
      </c>
      <c r="L467">
        <v>0</v>
      </c>
      <c r="M467">
        <v>0</v>
      </c>
      <c r="N467">
        <v>1</v>
      </c>
    </row>
    <row r="468" spans="1:14">
      <c r="A468" t="s">
        <v>25</v>
      </c>
      <c r="B468" t="s">
        <v>19</v>
      </c>
      <c r="C468" t="s">
        <v>16</v>
      </c>
      <c r="D468" s="9">
        <v>45838</v>
      </c>
      <c r="E468">
        <v>138</v>
      </c>
      <c r="F468" t="s">
        <v>78</v>
      </c>
      <c r="G468" t="s">
        <v>65</v>
      </c>
      <c r="H468">
        <v>3</v>
      </c>
      <c r="I468" t="s">
        <v>4</v>
      </c>
      <c r="J468" t="s">
        <v>88</v>
      </c>
      <c r="K468">
        <v>0</v>
      </c>
      <c r="L468">
        <v>1</v>
      </c>
      <c r="M468">
        <v>0</v>
      </c>
      <c r="N468">
        <v>1</v>
      </c>
    </row>
    <row r="469" spans="1:14">
      <c r="A469" t="s">
        <v>25</v>
      </c>
      <c r="B469" t="s">
        <v>19</v>
      </c>
      <c r="C469" t="s">
        <v>16</v>
      </c>
      <c r="D469" s="9">
        <v>45838</v>
      </c>
      <c r="E469">
        <v>138</v>
      </c>
      <c r="F469" t="s">
        <v>78</v>
      </c>
      <c r="G469" t="s">
        <v>65</v>
      </c>
      <c r="H469">
        <v>3</v>
      </c>
      <c r="I469" t="s">
        <v>5</v>
      </c>
      <c r="J469" t="s">
        <v>87</v>
      </c>
      <c r="K469">
        <v>0</v>
      </c>
      <c r="L469">
        <v>0</v>
      </c>
      <c r="M469">
        <v>1</v>
      </c>
      <c r="N469">
        <v>1</v>
      </c>
    </row>
    <row r="470" spans="1:14">
      <c r="A470" t="s">
        <v>25</v>
      </c>
      <c r="B470" t="s">
        <v>19</v>
      </c>
      <c r="C470" t="s">
        <v>16</v>
      </c>
      <c r="D470" s="9">
        <v>45838</v>
      </c>
      <c r="E470">
        <v>138</v>
      </c>
      <c r="F470" t="s">
        <v>4</v>
      </c>
      <c r="G470" t="s">
        <v>102</v>
      </c>
      <c r="H470">
        <v>13</v>
      </c>
      <c r="I470" t="s">
        <v>5</v>
      </c>
      <c r="J470" t="s">
        <v>89</v>
      </c>
      <c r="K470">
        <v>1</v>
      </c>
      <c r="L470">
        <v>0</v>
      </c>
      <c r="M470">
        <v>0</v>
      </c>
      <c r="N470">
        <v>1</v>
      </c>
    </row>
    <row r="471" spans="1:14">
      <c r="A471" t="s">
        <v>25</v>
      </c>
      <c r="B471" t="s">
        <v>19</v>
      </c>
      <c r="C471" t="s">
        <v>16</v>
      </c>
      <c r="D471" s="9">
        <v>45838</v>
      </c>
      <c r="E471">
        <v>138</v>
      </c>
      <c r="F471" t="s">
        <v>5</v>
      </c>
      <c r="G471" t="s">
        <v>65</v>
      </c>
      <c r="H471">
        <v>3</v>
      </c>
      <c r="I471" t="s">
        <v>4</v>
      </c>
      <c r="J471" t="s">
        <v>88</v>
      </c>
      <c r="K471">
        <v>0</v>
      </c>
      <c r="L471">
        <v>1</v>
      </c>
      <c r="M471">
        <v>0</v>
      </c>
      <c r="N471">
        <v>1</v>
      </c>
    </row>
    <row r="472" spans="1:14">
      <c r="A472" t="s">
        <v>25</v>
      </c>
      <c r="B472" t="s">
        <v>19</v>
      </c>
      <c r="C472" t="s">
        <v>16</v>
      </c>
      <c r="D472" s="9">
        <v>45838</v>
      </c>
      <c r="E472">
        <v>138</v>
      </c>
      <c r="F472" t="s">
        <v>5</v>
      </c>
      <c r="G472" t="s">
        <v>102</v>
      </c>
      <c r="H472">
        <v>3</v>
      </c>
      <c r="I472" t="s">
        <v>78</v>
      </c>
      <c r="J472" t="s">
        <v>87</v>
      </c>
      <c r="K472">
        <v>0</v>
      </c>
      <c r="L472">
        <v>0</v>
      </c>
      <c r="M472">
        <v>1</v>
      </c>
      <c r="N472">
        <v>1</v>
      </c>
    </row>
    <row r="473" spans="1:14">
      <c r="A473" t="s">
        <v>25</v>
      </c>
      <c r="B473" t="s">
        <v>19</v>
      </c>
      <c r="C473" t="s">
        <v>16</v>
      </c>
      <c r="D473" s="9">
        <v>45838</v>
      </c>
      <c r="E473">
        <v>138</v>
      </c>
      <c r="F473" t="s">
        <v>4</v>
      </c>
      <c r="G473" t="s">
        <v>102</v>
      </c>
      <c r="H473">
        <v>13</v>
      </c>
      <c r="I473" t="s">
        <v>78</v>
      </c>
      <c r="J473" t="s">
        <v>89</v>
      </c>
      <c r="K473">
        <v>1</v>
      </c>
      <c r="L473">
        <v>0</v>
      </c>
      <c r="M473">
        <v>0</v>
      </c>
      <c r="N473">
        <v>1</v>
      </c>
    </row>
    <row r="474" spans="1:14">
      <c r="A474" t="s">
        <v>25</v>
      </c>
      <c r="B474" t="s">
        <v>20</v>
      </c>
      <c r="C474" t="s">
        <v>16</v>
      </c>
      <c r="D474" s="9">
        <v>45838</v>
      </c>
      <c r="E474">
        <v>139</v>
      </c>
      <c r="F474" t="s">
        <v>4</v>
      </c>
      <c r="G474" t="s">
        <v>65</v>
      </c>
      <c r="H474">
        <v>4</v>
      </c>
      <c r="I474" t="s">
        <v>5</v>
      </c>
      <c r="J474" t="s">
        <v>87</v>
      </c>
      <c r="K474">
        <v>0</v>
      </c>
      <c r="L474">
        <v>0</v>
      </c>
      <c r="M474">
        <v>1</v>
      </c>
      <c r="N474">
        <v>1</v>
      </c>
    </row>
    <row r="475" spans="1:14">
      <c r="A475" t="s">
        <v>25</v>
      </c>
      <c r="B475" t="s">
        <v>20</v>
      </c>
      <c r="C475" t="s">
        <v>16</v>
      </c>
      <c r="D475" s="9">
        <v>45838</v>
      </c>
      <c r="E475">
        <v>139</v>
      </c>
      <c r="F475" t="s">
        <v>4</v>
      </c>
      <c r="G475" t="s">
        <v>65</v>
      </c>
      <c r="H475">
        <v>4</v>
      </c>
      <c r="I475" t="s">
        <v>6</v>
      </c>
      <c r="J475" t="s">
        <v>88</v>
      </c>
      <c r="K475">
        <v>0</v>
      </c>
      <c r="L475">
        <v>1</v>
      </c>
      <c r="M475">
        <v>0</v>
      </c>
      <c r="N475">
        <v>1</v>
      </c>
    </row>
    <row r="476" spans="1:14">
      <c r="A476" t="s">
        <v>25</v>
      </c>
      <c r="B476" t="s">
        <v>20</v>
      </c>
      <c r="C476" t="s">
        <v>16</v>
      </c>
      <c r="D476" s="9">
        <v>45838</v>
      </c>
      <c r="E476">
        <v>139</v>
      </c>
      <c r="F476" t="s">
        <v>6</v>
      </c>
      <c r="G476" t="s">
        <v>102</v>
      </c>
      <c r="H476">
        <v>5</v>
      </c>
      <c r="I476" t="s">
        <v>5</v>
      </c>
      <c r="J476" t="s">
        <v>89</v>
      </c>
      <c r="K476">
        <v>1</v>
      </c>
      <c r="L476">
        <v>0</v>
      </c>
      <c r="M476">
        <v>0</v>
      </c>
      <c r="N476">
        <v>1</v>
      </c>
    </row>
    <row r="477" spans="1:14">
      <c r="A477" t="s">
        <v>25</v>
      </c>
      <c r="B477" t="s">
        <v>20</v>
      </c>
      <c r="C477" t="s">
        <v>16</v>
      </c>
      <c r="D477" s="9">
        <v>45838</v>
      </c>
      <c r="E477">
        <v>139</v>
      </c>
      <c r="F477" t="s">
        <v>6</v>
      </c>
      <c r="G477" t="s">
        <v>102</v>
      </c>
      <c r="H477">
        <v>5</v>
      </c>
      <c r="I477" t="s">
        <v>4</v>
      </c>
      <c r="J477" t="s">
        <v>89</v>
      </c>
      <c r="K477">
        <v>1</v>
      </c>
      <c r="L477">
        <v>0</v>
      </c>
      <c r="M477">
        <v>0</v>
      </c>
      <c r="N477">
        <v>1</v>
      </c>
    </row>
    <row r="478" spans="1:14">
      <c r="A478" t="s">
        <v>25</v>
      </c>
      <c r="B478" t="s">
        <v>20</v>
      </c>
      <c r="C478" t="s">
        <v>16</v>
      </c>
      <c r="D478" s="9">
        <v>45838</v>
      </c>
      <c r="E478">
        <v>139</v>
      </c>
      <c r="F478" t="s">
        <v>5</v>
      </c>
      <c r="G478" t="s">
        <v>65</v>
      </c>
      <c r="H478">
        <v>4</v>
      </c>
      <c r="I478" t="s">
        <v>6</v>
      </c>
      <c r="J478" t="s">
        <v>88</v>
      </c>
      <c r="K478">
        <v>0</v>
      </c>
      <c r="L478">
        <v>1</v>
      </c>
      <c r="M478">
        <v>0</v>
      </c>
      <c r="N478">
        <v>1</v>
      </c>
    </row>
    <row r="479" spans="1:14">
      <c r="A479" t="s">
        <v>25</v>
      </c>
      <c r="B479" t="s">
        <v>20</v>
      </c>
      <c r="C479" t="s">
        <v>16</v>
      </c>
      <c r="D479" s="9">
        <v>45838</v>
      </c>
      <c r="E479">
        <v>139</v>
      </c>
      <c r="F479" t="s">
        <v>5</v>
      </c>
      <c r="G479" t="s">
        <v>102</v>
      </c>
      <c r="H479">
        <v>4</v>
      </c>
      <c r="I479" t="s">
        <v>4</v>
      </c>
      <c r="J479" t="s">
        <v>87</v>
      </c>
      <c r="K479">
        <v>0</v>
      </c>
      <c r="L479">
        <v>0</v>
      </c>
      <c r="M479">
        <v>1</v>
      </c>
      <c r="N479">
        <v>1</v>
      </c>
    </row>
    <row r="480" spans="1:14">
      <c r="A480" t="s">
        <v>25</v>
      </c>
      <c r="B480" t="s">
        <v>20</v>
      </c>
      <c r="C480" t="s">
        <v>16</v>
      </c>
      <c r="D480" s="9">
        <v>45839</v>
      </c>
      <c r="E480">
        <v>140</v>
      </c>
      <c r="F480" t="s">
        <v>78</v>
      </c>
      <c r="G480" t="s">
        <v>65</v>
      </c>
      <c r="H480">
        <v>2</v>
      </c>
      <c r="I480" t="s">
        <v>4</v>
      </c>
      <c r="J480" t="s">
        <v>88</v>
      </c>
      <c r="K480">
        <v>0</v>
      </c>
      <c r="L480">
        <v>1</v>
      </c>
      <c r="M480">
        <v>0</v>
      </c>
      <c r="N480">
        <v>1</v>
      </c>
    </row>
    <row r="481" spans="1:14">
      <c r="A481" t="s">
        <v>25</v>
      </c>
      <c r="B481" t="s">
        <v>20</v>
      </c>
      <c r="C481" t="s">
        <v>16</v>
      </c>
      <c r="D481" s="9">
        <v>45839</v>
      </c>
      <c r="E481">
        <v>140</v>
      </c>
      <c r="F481" t="s">
        <v>78</v>
      </c>
      <c r="G481" t="s">
        <v>102</v>
      </c>
      <c r="H481">
        <v>2</v>
      </c>
      <c r="I481" t="s">
        <v>5</v>
      </c>
      <c r="J481" t="s">
        <v>88</v>
      </c>
      <c r="K481">
        <v>0</v>
      </c>
      <c r="L481">
        <v>1</v>
      </c>
      <c r="M481">
        <v>0</v>
      </c>
      <c r="N481">
        <v>1</v>
      </c>
    </row>
    <row r="482" spans="1:14">
      <c r="A482" t="s">
        <v>25</v>
      </c>
      <c r="B482" t="s">
        <v>20</v>
      </c>
      <c r="C482" t="s">
        <v>16</v>
      </c>
      <c r="D482" s="9">
        <v>45839</v>
      </c>
      <c r="E482">
        <v>140</v>
      </c>
      <c r="F482" t="s">
        <v>5</v>
      </c>
      <c r="G482" t="s">
        <v>65</v>
      </c>
      <c r="H482">
        <v>14</v>
      </c>
      <c r="I482" t="s">
        <v>78</v>
      </c>
      <c r="J482" t="s">
        <v>89</v>
      </c>
      <c r="K482">
        <v>1</v>
      </c>
      <c r="L482">
        <v>0</v>
      </c>
      <c r="M482">
        <v>0</v>
      </c>
      <c r="N482">
        <v>1</v>
      </c>
    </row>
    <row r="483" spans="1:14">
      <c r="A483" t="s">
        <v>25</v>
      </c>
      <c r="B483" t="s">
        <v>20</v>
      </c>
      <c r="C483" t="s">
        <v>16</v>
      </c>
      <c r="D483" s="9">
        <v>45839</v>
      </c>
      <c r="E483">
        <v>140</v>
      </c>
      <c r="F483" t="s">
        <v>5</v>
      </c>
      <c r="G483" t="s">
        <v>65</v>
      </c>
      <c r="H483">
        <v>14</v>
      </c>
      <c r="I483" t="s">
        <v>4</v>
      </c>
      <c r="J483" t="s">
        <v>89</v>
      </c>
      <c r="K483">
        <v>1</v>
      </c>
      <c r="L483">
        <v>0</v>
      </c>
      <c r="M483">
        <v>0</v>
      </c>
      <c r="N483">
        <v>1</v>
      </c>
    </row>
    <row r="484" spans="1:14">
      <c r="A484" t="s">
        <v>25</v>
      </c>
      <c r="B484" t="s">
        <v>20</v>
      </c>
      <c r="C484" t="s">
        <v>16</v>
      </c>
      <c r="D484" s="9">
        <v>45839</v>
      </c>
      <c r="E484">
        <v>140</v>
      </c>
      <c r="F484" t="s">
        <v>4</v>
      </c>
      <c r="G484" t="s">
        <v>102</v>
      </c>
      <c r="H484">
        <v>8</v>
      </c>
      <c r="I484" t="s">
        <v>78</v>
      </c>
      <c r="J484" t="s">
        <v>89</v>
      </c>
      <c r="K484">
        <v>1</v>
      </c>
      <c r="L484">
        <v>0</v>
      </c>
      <c r="M484">
        <v>0</v>
      </c>
      <c r="N484">
        <v>1</v>
      </c>
    </row>
    <row r="485" spans="1:14">
      <c r="A485" t="s">
        <v>25</v>
      </c>
      <c r="B485" t="s">
        <v>20</v>
      </c>
      <c r="C485" t="s">
        <v>16</v>
      </c>
      <c r="D485" s="9">
        <v>45839</v>
      </c>
      <c r="E485">
        <v>140</v>
      </c>
      <c r="F485" t="s">
        <v>4</v>
      </c>
      <c r="G485" t="s">
        <v>102</v>
      </c>
      <c r="H485">
        <v>8</v>
      </c>
      <c r="I485" t="s">
        <v>5</v>
      </c>
      <c r="J485" t="s">
        <v>88</v>
      </c>
      <c r="K485">
        <v>0</v>
      </c>
      <c r="L485">
        <v>1</v>
      </c>
      <c r="M485">
        <v>0</v>
      </c>
      <c r="N485">
        <v>1</v>
      </c>
    </row>
    <row r="486" spans="1:14">
      <c r="A486" t="s">
        <v>25</v>
      </c>
      <c r="B486" t="s">
        <v>19</v>
      </c>
      <c r="C486" t="s">
        <v>16</v>
      </c>
      <c r="D486" s="9">
        <v>45839</v>
      </c>
      <c r="E486">
        <v>141</v>
      </c>
      <c r="F486" t="s">
        <v>6</v>
      </c>
      <c r="G486" t="s">
        <v>102</v>
      </c>
      <c r="H486">
        <v>5</v>
      </c>
      <c r="I486" t="s">
        <v>5</v>
      </c>
      <c r="J486" t="s">
        <v>88</v>
      </c>
      <c r="K486">
        <v>0</v>
      </c>
      <c r="L486">
        <v>1</v>
      </c>
      <c r="M486">
        <v>0</v>
      </c>
      <c r="N486">
        <v>1</v>
      </c>
    </row>
    <row r="487" spans="1:14">
      <c r="A487" t="s">
        <v>25</v>
      </c>
      <c r="B487" t="s">
        <v>19</v>
      </c>
      <c r="C487" t="s">
        <v>16</v>
      </c>
      <c r="D487" s="9">
        <v>45839</v>
      </c>
      <c r="E487">
        <v>141</v>
      </c>
      <c r="F487" t="s">
        <v>6</v>
      </c>
      <c r="G487" t="s">
        <v>102</v>
      </c>
      <c r="H487">
        <v>5</v>
      </c>
      <c r="I487" t="s">
        <v>4</v>
      </c>
      <c r="J487" t="s">
        <v>89</v>
      </c>
      <c r="K487">
        <v>1</v>
      </c>
      <c r="L487">
        <v>0</v>
      </c>
      <c r="M487">
        <v>0</v>
      </c>
      <c r="N487">
        <v>1</v>
      </c>
    </row>
    <row r="488" spans="1:14">
      <c r="A488" t="s">
        <v>25</v>
      </c>
      <c r="B488" t="s">
        <v>19</v>
      </c>
      <c r="C488" t="s">
        <v>16</v>
      </c>
      <c r="D488" s="9">
        <v>45839</v>
      </c>
      <c r="E488">
        <v>141</v>
      </c>
      <c r="F488" t="s">
        <v>4</v>
      </c>
      <c r="G488" t="s">
        <v>65</v>
      </c>
      <c r="H488">
        <v>3</v>
      </c>
      <c r="I488" t="s">
        <v>5</v>
      </c>
      <c r="J488" t="s">
        <v>88</v>
      </c>
      <c r="K488">
        <v>0</v>
      </c>
      <c r="L488">
        <v>1</v>
      </c>
      <c r="M488">
        <v>0</v>
      </c>
      <c r="N488">
        <v>1</v>
      </c>
    </row>
    <row r="489" spans="1:14">
      <c r="A489" t="s">
        <v>25</v>
      </c>
      <c r="B489" t="s">
        <v>19</v>
      </c>
      <c r="C489" t="s">
        <v>16</v>
      </c>
      <c r="D489" s="9">
        <v>45839</v>
      </c>
      <c r="E489">
        <v>141</v>
      </c>
      <c r="F489" t="s">
        <v>4</v>
      </c>
      <c r="G489" t="s">
        <v>65</v>
      </c>
      <c r="H489">
        <v>3</v>
      </c>
      <c r="I489" t="s">
        <v>6</v>
      </c>
      <c r="J489" t="s">
        <v>88</v>
      </c>
      <c r="K489">
        <v>0</v>
      </c>
      <c r="L489">
        <v>1</v>
      </c>
      <c r="M489">
        <v>0</v>
      </c>
      <c r="N489">
        <v>1</v>
      </c>
    </row>
    <row r="490" spans="1:14">
      <c r="A490" t="s">
        <v>25</v>
      </c>
      <c r="B490" t="s">
        <v>19</v>
      </c>
      <c r="C490" t="s">
        <v>16</v>
      </c>
      <c r="D490" s="9">
        <v>45839</v>
      </c>
      <c r="E490">
        <v>141</v>
      </c>
      <c r="F490" t="s">
        <v>5</v>
      </c>
      <c r="G490" t="s">
        <v>102</v>
      </c>
      <c r="H490">
        <v>14</v>
      </c>
      <c r="I490" t="s">
        <v>4</v>
      </c>
      <c r="J490" t="s">
        <v>89</v>
      </c>
      <c r="K490">
        <v>1</v>
      </c>
      <c r="L490">
        <v>0</v>
      </c>
      <c r="M490">
        <v>0</v>
      </c>
      <c r="N490">
        <v>1</v>
      </c>
    </row>
    <row r="491" spans="1:14">
      <c r="A491" t="s">
        <v>25</v>
      </c>
      <c r="B491" t="s">
        <v>19</v>
      </c>
      <c r="C491" t="s">
        <v>16</v>
      </c>
      <c r="D491" s="9">
        <v>45839</v>
      </c>
      <c r="E491">
        <v>141</v>
      </c>
      <c r="F491" t="s">
        <v>5</v>
      </c>
      <c r="G491" t="s">
        <v>65</v>
      </c>
      <c r="H491">
        <v>14</v>
      </c>
      <c r="I491" t="s">
        <v>6</v>
      </c>
      <c r="J491" t="s">
        <v>89</v>
      </c>
      <c r="K491">
        <v>1</v>
      </c>
      <c r="L491">
        <v>0</v>
      </c>
      <c r="M491">
        <v>0</v>
      </c>
      <c r="N491">
        <v>1</v>
      </c>
    </row>
    <row r="492" spans="1:14">
      <c r="A492" t="s">
        <v>25</v>
      </c>
      <c r="B492" t="s">
        <v>20</v>
      </c>
      <c r="C492" t="s">
        <v>16</v>
      </c>
      <c r="D492" s="9">
        <v>45839</v>
      </c>
      <c r="E492">
        <v>142</v>
      </c>
      <c r="F492" t="s">
        <v>4</v>
      </c>
      <c r="G492" t="s">
        <v>102</v>
      </c>
      <c r="H492">
        <v>6</v>
      </c>
      <c r="I492" t="s">
        <v>6</v>
      </c>
      <c r="J492" t="s">
        <v>89</v>
      </c>
      <c r="K492">
        <v>1</v>
      </c>
      <c r="L492">
        <v>0</v>
      </c>
      <c r="M492">
        <v>0</v>
      </c>
      <c r="N492">
        <v>1</v>
      </c>
    </row>
    <row r="493" spans="1:14">
      <c r="A493" t="s">
        <v>25</v>
      </c>
      <c r="B493" t="s">
        <v>20</v>
      </c>
      <c r="C493" t="s">
        <v>16</v>
      </c>
      <c r="D493" s="9">
        <v>45839</v>
      </c>
      <c r="E493">
        <v>142</v>
      </c>
      <c r="F493" t="s">
        <v>5</v>
      </c>
      <c r="G493" t="s">
        <v>65</v>
      </c>
      <c r="H493">
        <v>8</v>
      </c>
      <c r="I493" t="s">
        <v>4</v>
      </c>
      <c r="J493" t="s">
        <v>89</v>
      </c>
      <c r="K493">
        <v>1</v>
      </c>
      <c r="L493">
        <v>0</v>
      </c>
      <c r="M493">
        <v>0</v>
      </c>
      <c r="N493">
        <v>1</v>
      </c>
    </row>
    <row r="494" spans="1:14">
      <c r="A494" t="s">
        <v>25</v>
      </c>
      <c r="B494" t="s">
        <v>20</v>
      </c>
      <c r="C494" t="s">
        <v>16</v>
      </c>
      <c r="D494" s="9">
        <v>45839</v>
      </c>
      <c r="E494">
        <v>142</v>
      </c>
      <c r="F494" t="s">
        <v>5</v>
      </c>
      <c r="G494" t="s">
        <v>65</v>
      </c>
      <c r="H494">
        <v>8</v>
      </c>
      <c r="I494" t="s">
        <v>6</v>
      </c>
      <c r="J494" t="s">
        <v>89</v>
      </c>
      <c r="K494">
        <v>1</v>
      </c>
      <c r="L494">
        <v>0</v>
      </c>
      <c r="M494">
        <v>0</v>
      </c>
      <c r="N494">
        <v>1</v>
      </c>
    </row>
    <row r="495" spans="1:14">
      <c r="A495" t="s">
        <v>25</v>
      </c>
      <c r="B495" t="s">
        <v>20</v>
      </c>
      <c r="C495" t="s">
        <v>16</v>
      </c>
      <c r="D495" s="9">
        <v>45839</v>
      </c>
      <c r="E495">
        <v>142</v>
      </c>
      <c r="F495" t="s">
        <v>6</v>
      </c>
      <c r="G495" t="s">
        <v>65</v>
      </c>
      <c r="H495">
        <v>4</v>
      </c>
      <c r="I495" t="s">
        <v>4</v>
      </c>
      <c r="J495" t="s">
        <v>88</v>
      </c>
      <c r="K495">
        <v>0</v>
      </c>
      <c r="L495">
        <v>1</v>
      </c>
      <c r="M495">
        <v>0</v>
      </c>
      <c r="N495">
        <v>1</v>
      </c>
    </row>
    <row r="496" spans="1:14">
      <c r="A496" t="s">
        <v>25</v>
      </c>
      <c r="B496" t="s">
        <v>20</v>
      </c>
      <c r="C496" t="s">
        <v>16</v>
      </c>
      <c r="D496" s="9">
        <v>45839</v>
      </c>
      <c r="E496">
        <v>142</v>
      </c>
      <c r="F496" t="s">
        <v>4</v>
      </c>
      <c r="G496" t="s">
        <v>102</v>
      </c>
      <c r="H496">
        <v>6</v>
      </c>
      <c r="I496" t="s">
        <v>5</v>
      </c>
      <c r="J496" t="s">
        <v>88</v>
      </c>
      <c r="K496">
        <v>0</v>
      </c>
      <c r="L496">
        <v>1</v>
      </c>
      <c r="M496">
        <v>0</v>
      </c>
      <c r="N496">
        <v>1</v>
      </c>
    </row>
    <row r="497" spans="1:14">
      <c r="A497" t="s">
        <v>25</v>
      </c>
      <c r="B497" t="s">
        <v>20</v>
      </c>
      <c r="C497" t="s">
        <v>16</v>
      </c>
      <c r="D497" s="9">
        <v>45839</v>
      </c>
      <c r="E497">
        <v>142</v>
      </c>
      <c r="F497" t="s">
        <v>6</v>
      </c>
      <c r="G497" t="s">
        <v>102</v>
      </c>
      <c r="H497">
        <v>4</v>
      </c>
      <c r="I497" t="s">
        <v>5</v>
      </c>
      <c r="J497" t="s">
        <v>88</v>
      </c>
      <c r="K497">
        <v>0</v>
      </c>
      <c r="L497">
        <v>1</v>
      </c>
      <c r="M497">
        <v>0</v>
      </c>
      <c r="N497">
        <v>1</v>
      </c>
    </row>
    <row r="498" spans="1:14">
      <c r="A498" t="s">
        <v>25</v>
      </c>
      <c r="B498" t="s">
        <v>20</v>
      </c>
      <c r="C498" t="s">
        <v>16</v>
      </c>
      <c r="D498" s="9">
        <v>45840</v>
      </c>
      <c r="E498">
        <v>143</v>
      </c>
      <c r="F498" t="s">
        <v>6</v>
      </c>
      <c r="G498" t="s">
        <v>102</v>
      </c>
      <c r="H498">
        <v>3</v>
      </c>
      <c r="I498" t="s">
        <v>5</v>
      </c>
      <c r="J498" t="s">
        <v>88</v>
      </c>
      <c r="K498">
        <v>0</v>
      </c>
      <c r="L498">
        <v>1</v>
      </c>
      <c r="M498">
        <v>0</v>
      </c>
      <c r="N498">
        <v>1</v>
      </c>
    </row>
    <row r="499" spans="1:14">
      <c r="A499" t="s">
        <v>25</v>
      </c>
      <c r="B499" t="s">
        <v>20</v>
      </c>
      <c r="C499" t="s">
        <v>16</v>
      </c>
      <c r="D499" s="9">
        <v>45840</v>
      </c>
      <c r="E499">
        <v>143</v>
      </c>
      <c r="F499" t="s">
        <v>4</v>
      </c>
      <c r="G499" t="s">
        <v>102</v>
      </c>
      <c r="H499">
        <v>4</v>
      </c>
      <c r="I499" t="s">
        <v>5</v>
      </c>
      <c r="J499" t="s">
        <v>88</v>
      </c>
      <c r="K499">
        <v>0</v>
      </c>
      <c r="L499">
        <v>1</v>
      </c>
      <c r="M499">
        <v>0</v>
      </c>
      <c r="N499">
        <v>1</v>
      </c>
    </row>
    <row r="500" spans="1:14">
      <c r="A500" t="s">
        <v>25</v>
      </c>
      <c r="B500" t="s">
        <v>20</v>
      </c>
      <c r="C500" t="s">
        <v>16</v>
      </c>
      <c r="D500" s="9">
        <v>45840</v>
      </c>
      <c r="E500">
        <v>143</v>
      </c>
      <c r="F500" t="s">
        <v>6</v>
      </c>
      <c r="G500" t="s">
        <v>102</v>
      </c>
      <c r="H500">
        <v>3</v>
      </c>
      <c r="I500" t="s">
        <v>4</v>
      </c>
      <c r="J500" t="s">
        <v>88</v>
      </c>
      <c r="K500">
        <v>0</v>
      </c>
      <c r="L500">
        <v>1</v>
      </c>
      <c r="M500">
        <v>0</v>
      </c>
      <c r="N500">
        <v>1</v>
      </c>
    </row>
    <row r="501" spans="1:14">
      <c r="A501" t="s">
        <v>25</v>
      </c>
      <c r="B501" t="s">
        <v>20</v>
      </c>
      <c r="C501" t="s">
        <v>16</v>
      </c>
      <c r="D501" s="9">
        <v>45840</v>
      </c>
      <c r="E501">
        <v>143</v>
      </c>
      <c r="F501" t="s">
        <v>5</v>
      </c>
      <c r="G501" t="s">
        <v>65</v>
      </c>
      <c r="H501">
        <v>10</v>
      </c>
      <c r="I501" t="s">
        <v>78</v>
      </c>
      <c r="J501" t="s">
        <v>89</v>
      </c>
      <c r="K501">
        <v>1</v>
      </c>
      <c r="L501">
        <v>0</v>
      </c>
      <c r="M501">
        <v>0</v>
      </c>
      <c r="N501">
        <v>1</v>
      </c>
    </row>
    <row r="502" spans="1:14">
      <c r="A502" t="s">
        <v>25</v>
      </c>
      <c r="B502" t="s">
        <v>20</v>
      </c>
      <c r="C502" t="s">
        <v>16</v>
      </c>
      <c r="D502" s="9">
        <v>45840</v>
      </c>
      <c r="E502">
        <v>143</v>
      </c>
      <c r="F502" t="s">
        <v>5</v>
      </c>
      <c r="G502" t="s">
        <v>65</v>
      </c>
      <c r="H502">
        <v>10</v>
      </c>
      <c r="I502" t="s">
        <v>6</v>
      </c>
      <c r="J502" t="s">
        <v>89</v>
      </c>
      <c r="K502">
        <v>1</v>
      </c>
      <c r="L502">
        <v>0</v>
      </c>
      <c r="M502">
        <v>0</v>
      </c>
      <c r="N502">
        <v>1</v>
      </c>
    </row>
    <row r="503" spans="1:14">
      <c r="A503" t="s">
        <v>25</v>
      </c>
      <c r="B503" t="s">
        <v>20</v>
      </c>
      <c r="C503" t="s">
        <v>16</v>
      </c>
      <c r="D503" s="9">
        <v>45840</v>
      </c>
      <c r="E503">
        <v>143</v>
      </c>
      <c r="F503" t="s">
        <v>5</v>
      </c>
      <c r="G503" t="s">
        <v>65</v>
      </c>
      <c r="H503">
        <v>10</v>
      </c>
      <c r="I503" t="s">
        <v>4</v>
      </c>
      <c r="J503" t="s">
        <v>89</v>
      </c>
      <c r="K503">
        <v>1</v>
      </c>
      <c r="L503">
        <v>0</v>
      </c>
      <c r="M503">
        <v>0</v>
      </c>
      <c r="N503">
        <v>1</v>
      </c>
    </row>
    <row r="504" spans="1:14">
      <c r="A504" t="s">
        <v>25</v>
      </c>
      <c r="B504" t="s">
        <v>20</v>
      </c>
      <c r="C504" t="s">
        <v>16</v>
      </c>
      <c r="D504" s="9">
        <v>45840</v>
      </c>
      <c r="E504">
        <v>143</v>
      </c>
      <c r="F504" t="s">
        <v>78</v>
      </c>
      <c r="G504" t="s">
        <v>65</v>
      </c>
      <c r="H504">
        <v>8</v>
      </c>
      <c r="I504" t="s">
        <v>6</v>
      </c>
      <c r="J504" t="s">
        <v>89</v>
      </c>
      <c r="K504">
        <v>1</v>
      </c>
      <c r="L504">
        <v>0</v>
      </c>
      <c r="M504">
        <v>0</v>
      </c>
      <c r="N504">
        <v>1</v>
      </c>
    </row>
    <row r="505" spans="1:14">
      <c r="A505" t="s">
        <v>25</v>
      </c>
      <c r="B505" t="s">
        <v>20</v>
      </c>
      <c r="C505" t="s">
        <v>16</v>
      </c>
      <c r="D505" s="9">
        <v>45840</v>
      </c>
      <c r="E505">
        <v>143</v>
      </c>
      <c r="F505" t="s">
        <v>78</v>
      </c>
      <c r="G505" t="s">
        <v>102</v>
      </c>
      <c r="H505">
        <v>8</v>
      </c>
      <c r="I505" t="s">
        <v>5</v>
      </c>
      <c r="J505" t="s">
        <v>88</v>
      </c>
      <c r="K505">
        <v>0</v>
      </c>
      <c r="L505">
        <v>1</v>
      </c>
      <c r="M505">
        <v>0</v>
      </c>
      <c r="N505">
        <v>1</v>
      </c>
    </row>
    <row r="506" spans="1:14">
      <c r="A506" t="s">
        <v>25</v>
      </c>
      <c r="B506" t="s">
        <v>20</v>
      </c>
      <c r="C506" t="s">
        <v>16</v>
      </c>
      <c r="D506" s="9">
        <v>45840</v>
      </c>
      <c r="E506">
        <v>143</v>
      </c>
      <c r="F506" t="s">
        <v>4</v>
      </c>
      <c r="G506" t="s">
        <v>65</v>
      </c>
      <c r="H506">
        <v>4</v>
      </c>
      <c r="I506" t="s">
        <v>6</v>
      </c>
      <c r="J506" t="s">
        <v>89</v>
      </c>
      <c r="K506">
        <v>1</v>
      </c>
      <c r="L506">
        <v>0</v>
      </c>
      <c r="M506">
        <v>0</v>
      </c>
      <c r="N506">
        <v>1</v>
      </c>
    </row>
    <row r="507" spans="1:14">
      <c r="A507" t="s">
        <v>25</v>
      </c>
      <c r="B507" t="s">
        <v>20</v>
      </c>
      <c r="C507" t="s">
        <v>16</v>
      </c>
      <c r="D507" s="9">
        <v>45840</v>
      </c>
      <c r="E507">
        <v>143</v>
      </c>
      <c r="F507" t="s">
        <v>6</v>
      </c>
      <c r="G507" t="s">
        <v>102</v>
      </c>
      <c r="H507">
        <v>3</v>
      </c>
      <c r="I507" t="s">
        <v>78</v>
      </c>
      <c r="J507" t="s">
        <v>88</v>
      </c>
      <c r="K507">
        <v>0</v>
      </c>
      <c r="L507">
        <v>1</v>
      </c>
      <c r="M507">
        <v>0</v>
      </c>
      <c r="N507">
        <v>1</v>
      </c>
    </row>
    <row r="508" spans="1:14">
      <c r="A508" t="s">
        <v>25</v>
      </c>
      <c r="B508" t="s">
        <v>20</v>
      </c>
      <c r="C508" t="s">
        <v>16</v>
      </c>
      <c r="D508" s="9">
        <v>45840</v>
      </c>
      <c r="E508">
        <v>143</v>
      </c>
      <c r="F508" t="s">
        <v>78</v>
      </c>
      <c r="G508" t="s">
        <v>102</v>
      </c>
      <c r="H508">
        <v>8</v>
      </c>
      <c r="I508" t="s">
        <v>4</v>
      </c>
      <c r="J508" t="s">
        <v>89</v>
      </c>
      <c r="K508">
        <v>1</v>
      </c>
      <c r="L508">
        <v>0</v>
      </c>
      <c r="M508">
        <v>0</v>
      </c>
      <c r="N508">
        <v>1</v>
      </c>
    </row>
    <row r="509" spans="1:14">
      <c r="A509" t="s">
        <v>25</v>
      </c>
      <c r="B509" t="s">
        <v>20</v>
      </c>
      <c r="C509" t="s">
        <v>16</v>
      </c>
      <c r="D509" s="9">
        <v>45840</v>
      </c>
      <c r="E509">
        <v>143</v>
      </c>
      <c r="F509" t="s">
        <v>4</v>
      </c>
      <c r="G509" t="s">
        <v>65</v>
      </c>
      <c r="H509">
        <v>4</v>
      </c>
      <c r="I509" t="s">
        <v>78</v>
      </c>
      <c r="J509" t="s">
        <v>88</v>
      </c>
      <c r="K509">
        <v>0</v>
      </c>
      <c r="L509">
        <v>1</v>
      </c>
      <c r="M509">
        <v>0</v>
      </c>
      <c r="N509">
        <v>1</v>
      </c>
    </row>
    <row r="510" spans="1:14">
      <c r="A510" t="s">
        <v>25</v>
      </c>
      <c r="B510" t="s">
        <v>20</v>
      </c>
      <c r="C510" t="s">
        <v>16</v>
      </c>
      <c r="D510" s="9">
        <v>45840</v>
      </c>
      <c r="E510">
        <v>144</v>
      </c>
      <c r="F510" t="s">
        <v>4</v>
      </c>
      <c r="G510" t="s">
        <v>65</v>
      </c>
      <c r="H510">
        <v>17</v>
      </c>
      <c r="I510" t="s">
        <v>5</v>
      </c>
      <c r="J510" t="s">
        <v>89</v>
      </c>
      <c r="K510">
        <v>1</v>
      </c>
      <c r="L510">
        <v>0</v>
      </c>
      <c r="M510">
        <v>0</v>
      </c>
      <c r="N510">
        <v>1</v>
      </c>
    </row>
    <row r="511" spans="1:14">
      <c r="A511" t="s">
        <v>25</v>
      </c>
      <c r="B511" t="s">
        <v>20</v>
      </c>
      <c r="C511" t="s">
        <v>16</v>
      </c>
      <c r="D511" s="9">
        <v>45840</v>
      </c>
      <c r="E511">
        <v>144</v>
      </c>
      <c r="F511" t="s">
        <v>6</v>
      </c>
      <c r="G511" t="s">
        <v>102</v>
      </c>
      <c r="H511">
        <v>2</v>
      </c>
      <c r="I511" t="s">
        <v>5</v>
      </c>
      <c r="J511" t="s">
        <v>88</v>
      </c>
      <c r="K511">
        <v>0</v>
      </c>
      <c r="L511">
        <v>1</v>
      </c>
      <c r="M511">
        <v>0</v>
      </c>
      <c r="N511">
        <v>1</v>
      </c>
    </row>
    <row r="512" spans="1:14">
      <c r="A512" t="s">
        <v>25</v>
      </c>
      <c r="B512" t="s">
        <v>20</v>
      </c>
      <c r="C512" t="s">
        <v>16</v>
      </c>
      <c r="D512" s="9">
        <v>45840</v>
      </c>
      <c r="E512">
        <v>144</v>
      </c>
      <c r="F512" t="s">
        <v>5</v>
      </c>
      <c r="G512" t="s">
        <v>65</v>
      </c>
      <c r="H512">
        <v>9</v>
      </c>
      <c r="I512" t="s">
        <v>6</v>
      </c>
      <c r="J512" t="s">
        <v>89</v>
      </c>
      <c r="K512">
        <v>1</v>
      </c>
      <c r="L512">
        <v>0</v>
      </c>
      <c r="M512">
        <v>0</v>
      </c>
      <c r="N512">
        <v>1</v>
      </c>
    </row>
    <row r="513" spans="1:14">
      <c r="A513" t="s">
        <v>25</v>
      </c>
      <c r="B513" t="s">
        <v>20</v>
      </c>
      <c r="C513" t="s">
        <v>16</v>
      </c>
      <c r="D513" s="9">
        <v>45840</v>
      </c>
      <c r="E513">
        <v>144</v>
      </c>
      <c r="F513" t="s">
        <v>4</v>
      </c>
      <c r="G513" t="s">
        <v>65</v>
      </c>
      <c r="H513">
        <v>17</v>
      </c>
      <c r="I513" t="s">
        <v>6</v>
      </c>
      <c r="J513" t="s">
        <v>89</v>
      </c>
      <c r="K513">
        <v>1</v>
      </c>
      <c r="L513">
        <v>0</v>
      </c>
      <c r="M513">
        <v>0</v>
      </c>
      <c r="N513">
        <v>1</v>
      </c>
    </row>
    <row r="514" spans="1:14">
      <c r="A514" t="s">
        <v>25</v>
      </c>
      <c r="B514" t="s">
        <v>20</v>
      </c>
      <c r="C514" t="s">
        <v>16</v>
      </c>
      <c r="D514" s="9">
        <v>45840</v>
      </c>
      <c r="E514">
        <v>144</v>
      </c>
      <c r="F514" t="s">
        <v>6</v>
      </c>
      <c r="G514" t="s">
        <v>102</v>
      </c>
      <c r="H514">
        <v>2</v>
      </c>
      <c r="I514" t="s">
        <v>4</v>
      </c>
      <c r="J514" t="s">
        <v>88</v>
      </c>
      <c r="K514">
        <v>0</v>
      </c>
      <c r="L514">
        <v>1</v>
      </c>
      <c r="M514">
        <v>0</v>
      </c>
      <c r="N514">
        <v>1</v>
      </c>
    </row>
    <row r="515" spans="1:14">
      <c r="A515" t="s">
        <v>25</v>
      </c>
      <c r="B515" t="s">
        <v>20</v>
      </c>
      <c r="C515" t="s">
        <v>16</v>
      </c>
      <c r="D515" s="9">
        <v>45840</v>
      </c>
      <c r="E515">
        <v>144</v>
      </c>
      <c r="F515" t="s">
        <v>5</v>
      </c>
      <c r="G515" t="s">
        <v>102</v>
      </c>
      <c r="H515">
        <v>9</v>
      </c>
      <c r="I515" t="s">
        <v>4</v>
      </c>
      <c r="J515" t="s">
        <v>88</v>
      </c>
      <c r="K515">
        <v>0</v>
      </c>
      <c r="L515">
        <v>1</v>
      </c>
      <c r="M515">
        <v>0</v>
      </c>
      <c r="N515">
        <v>1</v>
      </c>
    </row>
    <row r="516" spans="1:14">
      <c r="A516" t="s">
        <v>25</v>
      </c>
      <c r="B516" t="s">
        <v>20</v>
      </c>
      <c r="C516" t="s">
        <v>16</v>
      </c>
      <c r="D516" s="9">
        <v>45841</v>
      </c>
      <c r="E516">
        <v>145</v>
      </c>
      <c r="F516" t="s">
        <v>4</v>
      </c>
      <c r="G516" t="s">
        <v>65</v>
      </c>
      <c r="H516">
        <v>5</v>
      </c>
      <c r="I516" t="s">
        <v>5</v>
      </c>
      <c r="J516" t="s">
        <v>89</v>
      </c>
      <c r="K516">
        <v>1</v>
      </c>
      <c r="L516">
        <v>0</v>
      </c>
      <c r="M516">
        <v>0</v>
      </c>
      <c r="N516">
        <v>1</v>
      </c>
    </row>
    <row r="517" spans="1:14">
      <c r="A517" t="s">
        <v>25</v>
      </c>
      <c r="B517" t="s">
        <v>20</v>
      </c>
      <c r="C517" t="s">
        <v>16</v>
      </c>
      <c r="D517" s="9">
        <v>45841</v>
      </c>
      <c r="E517">
        <v>145</v>
      </c>
      <c r="F517" t="s">
        <v>4</v>
      </c>
      <c r="G517" t="s">
        <v>65</v>
      </c>
      <c r="H517">
        <v>5</v>
      </c>
      <c r="I517" t="s">
        <v>78</v>
      </c>
      <c r="J517" t="s">
        <v>89</v>
      </c>
      <c r="K517">
        <v>1</v>
      </c>
      <c r="L517">
        <v>0</v>
      </c>
      <c r="M517">
        <v>0</v>
      </c>
      <c r="N517">
        <v>1</v>
      </c>
    </row>
    <row r="518" spans="1:14">
      <c r="A518" t="s">
        <v>25</v>
      </c>
      <c r="B518" t="s">
        <v>20</v>
      </c>
      <c r="C518" t="s">
        <v>16</v>
      </c>
      <c r="D518" s="9">
        <v>45841</v>
      </c>
      <c r="E518">
        <v>145</v>
      </c>
      <c r="F518" t="s">
        <v>78</v>
      </c>
      <c r="G518" t="s">
        <v>102</v>
      </c>
      <c r="H518">
        <v>1</v>
      </c>
      <c r="I518" t="s">
        <v>4</v>
      </c>
      <c r="J518" t="s">
        <v>88</v>
      </c>
      <c r="K518">
        <v>0</v>
      </c>
      <c r="L518">
        <v>1</v>
      </c>
      <c r="M518">
        <v>0</v>
      </c>
      <c r="N518">
        <v>1</v>
      </c>
    </row>
    <row r="519" spans="1:14">
      <c r="A519" t="s">
        <v>25</v>
      </c>
      <c r="B519" t="s">
        <v>20</v>
      </c>
      <c r="C519" t="s">
        <v>16</v>
      </c>
      <c r="D519" s="9">
        <v>45841</v>
      </c>
      <c r="E519">
        <v>145</v>
      </c>
      <c r="F519" t="s">
        <v>78</v>
      </c>
      <c r="G519" t="s">
        <v>102</v>
      </c>
      <c r="H519">
        <v>1</v>
      </c>
      <c r="I519" t="s">
        <v>5</v>
      </c>
      <c r="J519" t="s">
        <v>88</v>
      </c>
      <c r="K519">
        <v>0</v>
      </c>
      <c r="L519">
        <v>1</v>
      </c>
      <c r="M519">
        <v>0</v>
      </c>
      <c r="N519">
        <v>1</v>
      </c>
    </row>
    <row r="520" spans="1:14">
      <c r="A520" t="s">
        <v>25</v>
      </c>
      <c r="B520" t="s">
        <v>20</v>
      </c>
      <c r="C520" t="s">
        <v>16</v>
      </c>
      <c r="D520" s="9">
        <v>45841</v>
      </c>
      <c r="E520">
        <v>145</v>
      </c>
      <c r="F520" t="s">
        <v>5</v>
      </c>
      <c r="G520" t="s">
        <v>102</v>
      </c>
      <c r="H520">
        <v>4</v>
      </c>
      <c r="I520" t="s">
        <v>4</v>
      </c>
      <c r="J520" t="s">
        <v>88</v>
      </c>
      <c r="K520">
        <v>0</v>
      </c>
      <c r="L520">
        <v>1</v>
      </c>
      <c r="M520">
        <v>0</v>
      </c>
      <c r="N520">
        <v>1</v>
      </c>
    </row>
    <row r="521" spans="1:14">
      <c r="A521" t="s">
        <v>25</v>
      </c>
      <c r="B521" t="s">
        <v>20</v>
      </c>
      <c r="C521" t="s">
        <v>16</v>
      </c>
      <c r="D521" s="9">
        <v>45841</v>
      </c>
      <c r="E521">
        <v>145</v>
      </c>
      <c r="F521" t="s">
        <v>5</v>
      </c>
      <c r="G521" t="s">
        <v>65</v>
      </c>
      <c r="H521">
        <v>4</v>
      </c>
      <c r="I521" t="s">
        <v>78</v>
      </c>
      <c r="J521" t="s">
        <v>89</v>
      </c>
      <c r="K521">
        <v>1</v>
      </c>
      <c r="L521">
        <v>0</v>
      </c>
      <c r="M521">
        <v>0</v>
      </c>
      <c r="N521">
        <v>1</v>
      </c>
    </row>
    <row r="522" spans="1:14">
      <c r="A522" t="s">
        <v>25</v>
      </c>
      <c r="B522" t="s">
        <v>19</v>
      </c>
      <c r="C522" t="s">
        <v>16</v>
      </c>
      <c r="D522" s="9">
        <v>45841</v>
      </c>
      <c r="E522">
        <v>146</v>
      </c>
      <c r="F522" t="s">
        <v>5</v>
      </c>
      <c r="G522" t="s">
        <v>102</v>
      </c>
      <c r="H522">
        <v>13</v>
      </c>
      <c r="I522" t="s">
        <v>4</v>
      </c>
      <c r="J522" t="s">
        <v>89</v>
      </c>
      <c r="K522">
        <v>1</v>
      </c>
      <c r="L522">
        <v>0</v>
      </c>
      <c r="M522">
        <v>0</v>
      </c>
      <c r="N522">
        <v>1</v>
      </c>
    </row>
    <row r="523" spans="1:14">
      <c r="A523" t="s">
        <v>25</v>
      </c>
      <c r="B523" t="s">
        <v>19</v>
      </c>
      <c r="C523" t="s">
        <v>16</v>
      </c>
      <c r="D523" s="9">
        <v>45841</v>
      </c>
      <c r="E523">
        <v>146</v>
      </c>
      <c r="F523" t="s">
        <v>4</v>
      </c>
      <c r="G523" t="s">
        <v>65</v>
      </c>
      <c r="H523">
        <v>9</v>
      </c>
      <c r="I523" t="s">
        <v>5</v>
      </c>
      <c r="J523" t="s">
        <v>88</v>
      </c>
      <c r="K523">
        <v>0</v>
      </c>
      <c r="L523">
        <v>1</v>
      </c>
      <c r="M523">
        <v>0</v>
      </c>
      <c r="N523">
        <v>1</v>
      </c>
    </row>
    <row r="524" spans="1:14">
      <c r="A524" t="s">
        <v>25</v>
      </c>
      <c r="B524" t="s">
        <v>19</v>
      </c>
      <c r="C524" t="s">
        <v>16</v>
      </c>
      <c r="D524" s="9">
        <v>45841</v>
      </c>
      <c r="E524">
        <v>146</v>
      </c>
      <c r="F524" t="s">
        <v>4</v>
      </c>
      <c r="G524" t="s">
        <v>102</v>
      </c>
      <c r="H524">
        <v>9</v>
      </c>
      <c r="I524" t="s">
        <v>78</v>
      </c>
      <c r="J524" t="s">
        <v>89</v>
      </c>
      <c r="K524">
        <v>1</v>
      </c>
      <c r="L524">
        <v>0</v>
      </c>
      <c r="M524">
        <v>0</v>
      </c>
      <c r="N524">
        <v>1</v>
      </c>
    </row>
    <row r="525" spans="1:14">
      <c r="A525" t="s">
        <v>25</v>
      </c>
      <c r="B525" t="s">
        <v>19</v>
      </c>
      <c r="C525" t="s">
        <v>16</v>
      </c>
      <c r="D525" s="9">
        <v>45841</v>
      </c>
      <c r="E525">
        <v>146</v>
      </c>
      <c r="F525" t="s">
        <v>78</v>
      </c>
      <c r="G525" t="s">
        <v>65</v>
      </c>
      <c r="H525">
        <v>3</v>
      </c>
      <c r="I525" t="s">
        <v>4</v>
      </c>
      <c r="J525" t="s">
        <v>88</v>
      </c>
      <c r="K525">
        <v>0</v>
      </c>
      <c r="L525">
        <v>1</v>
      </c>
      <c r="M525">
        <v>0</v>
      </c>
      <c r="N525">
        <v>1</v>
      </c>
    </row>
    <row r="526" spans="1:14">
      <c r="A526" t="s">
        <v>25</v>
      </c>
      <c r="B526" t="s">
        <v>19</v>
      </c>
      <c r="C526" t="s">
        <v>16</v>
      </c>
      <c r="D526" s="9">
        <v>45841</v>
      </c>
      <c r="E526">
        <v>146</v>
      </c>
      <c r="F526" t="s">
        <v>78</v>
      </c>
      <c r="G526" t="s">
        <v>65</v>
      </c>
      <c r="H526">
        <v>3</v>
      </c>
      <c r="I526" t="s">
        <v>5</v>
      </c>
      <c r="J526" t="s">
        <v>88</v>
      </c>
      <c r="K526">
        <v>0</v>
      </c>
      <c r="L526">
        <v>1</v>
      </c>
      <c r="M526">
        <v>0</v>
      </c>
      <c r="N526">
        <v>1</v>
      </c>
    </row>
    <row r="527" spans="1:14">
      <c r="A527" t="s">
        <v>25</v>
      </c>
      <c r="B527" t="s">
        <v>19</v>
      </c>
      <c r="C527" t="s">
        <v>16</v>
      </c>
      <c r="D527" s="9">
        <v>45841</v>
      </c>
      <c r="E527">
        <v>146</v>
      </c>
      <c r="F527" t="s">
        <v>5</v>
      </c>
      <c r="G527" t="s">
        <v>102</v>
      </c>
      <c r="H527">
        <v>13</v>
      </c>
      <c r="I527" t="s">
        <v>78</v>
      </c>
      <c r="J527" t="s">
        <v>89</v>
      </c>
      <c r="K527">
        <v>1</v>
      </c>
      <c r="L527">
        <v>0</v>
      </c>
      <c r="M527">
        <v>0</v>
      </c>
      <c r="N527">
        <v>1</v>
      </c>
    </row>
    <row r="528" spans="1:14">
      <c r="A528" t="s">
        <v>25</v>
      </c>
      <c r="B528" t="s">
        <v>21</v>
      </c>
      <c r="C528" t="s">
        <v>16</v>
      </c>
      <c r="D528" s="9">
        <v>45841</v>
      </c>
      <c r="E528">
        <v>147</v>
      </c>
      <c r="F528" t="s">
        <v>4</v>
      </c>
      <c r="G528" t="s">
        <v>102</v>
      </c>
      <c r="H528">
        <v>15</v>
      </c>
      <c r="I528" t="s">
        <v>78</v>
      </c>
      <c r="J528" t="s">
        <v>89</v>
      </c>
      <c r="K528">
        <v>1</v>
      </c>
      <c r="L528">
        <v>0</v>
      </c>
      <c r="M528">
        <v>0</v>
      </c>
      <c r="N528">
        <v>1</v>
      </c>
    </row>
    <row r="529" spans="1:14">
      <c r="A529" t="s">
        <v>25</v>
      </c>
      <c r="B529" t="s">
        <v>21</v>
      </c>
      <c r="C529" t="s">
        <v>16</v>
      </c>
      <c r="D529" s="9">
        <v>45841</v>
      </c>
      <c r="E529">
        <v>147</v>
      </c>
      <c r="F529" t="s">
        <v>78</v>
      </c>
      <c r="G529" t="s">
        <v>65</v>
      </c>
      <c r="H529">
        <v>3</v>
      </c>
      <c r="I529" t="s">
        <v>4</v>
      </c>
      <c r="J529" t="s">
        <v>88</v>
      </c>
      <c r="K529">
        <v>0</v>
      </c>
      <c r="L529">
        <v>1</v>
      </c>
      <c r="M529">
        <v>0</v>
      </c>
      <c r="N529">
        <v>1</v>
      </c>
    </row>
    <row r="530" spans="1:14">
      <c r="A530" t="s">
        <v>25</v>
      </c>
      <c r="B530" t="s">
        <v>21</v>
      </c>
      <c r="C530" t="s">
        <v>16</v>
      </c>
      <c r="D530" s="9">
        <v>45841</v>
      </c>
      <c r="E530">
        <v>147</v>
      </c>
      <c r="F530" t="s">
        <v>78</v>
      </c>
      <c r="G530" t="s">
        <v>102</v>
      </c>
      <c r="H530">
        <v>3</v>
      </c>
      <c r="I530" t="s">
        <v>5</v>
      </c>
      <c r="J530" t="s">
        <v>88</v>
      </c>
      <c r="K530">
        <v>0</v>
      </c>
      <c r="L530">
        <v>1</v>
      </c>
      <c r="M530">
        <v>0</v>
      </c>
      <c r="N530">
        <v>1</v>
      </c>
    </row>
    <row r="531" spans="1:14">
      <c r="A531" t="s">
        <v>25</v>
      </c>
      <c r="B531" t="s">
        <v>21</v>
      </c>
      <c r="C531" t="s">
        <v>16</v>
      </c>
      <c r="D531" s="9">
        <v>45841</v>
      </c>
      <c r="E531">
        <v>147</v>
      </c>
      <c r="F531" t="s">
        <v>5</v>
      </c>
      <c r="G531" t="s">
        <v>65</v>
      </c>
      <c r="H531">
        <v>4</v>
      </c>
      <c r="I531" t="s">
        <v>78</v>
      </c>
      <c r="J531" t="s">
        <v>89</v>
      </c>
      <c r="K531">
        <v>1</v>
      </c>
      <c r="L531">
        <v>0</v>
      </c>
      <c r="M531">
        <v>0</v>
      </c>
      <c r="N531">
        <v>1</v>
      </c>
    </row>
    <row r="532" spans="1:14">
      <c r="A532" t="s">
        <v>25</v>
      </c>
      <c r="B532" t="s">
        <v>21</v>
      </c>
      <c r="C532" t="s">
        <v>16</v>
      </c>
      <c r="D532" s="9">
        <v>45841</v>
      </c>
      <c r="E532">
        <v>147</v>
      </c>
      <c r="F532" t="s">
        <v>4</v>
      </c>
      <c r="G532" t="s">
        <v>102</v>
      </c>
      <c r="H532">
        <v>15</v>
      </c>
      <c r="I532" t="s">
        <v>5</v>
      </c>
      <c r="J532" t="s">
        <v>89</v>
      </c>
      <c r="K532">
        <v>1</v>
      </c>
      <c r="L532">
        <v>0</v>
      </c>
      <c r="M532">
        <v>0</v>
      </c>
      <c r="N532">
        <v>1</v>
      </c>
    </row>
    <row r="533" spans="1:14">
      <c r="A533" t="s">
        <v>25</v>
      </c>
      <c r="B533" t="s">
        <v>21</v>
      </c>
      <c r="C533" t="s">
        <v>16</v>
      </c>
      <c r="D533" s="9">
        <v>45841</v>
      </c>
      <c r="E533">
        <v>147</v>
      </c>
      <c r="F533" t="s">
        <v>5</v>
      </c>
      <c r="G533" t="s">
        <v>65</v>
      </c>
      <c r="H533">
        <v>4</v>
      </c>
      <c r="I533" t="s">
        <v>4</v>
      </c>
      <c r="J533" t="s">
        <v>88</v>
      </c>
      <c r="K533">
        <v>0</v>
      </c>
      <c r="L533">
        <v>1</v>
      </c>
      <c r="M533">
        <v>0</v>
      </c>
      <c r="N533">
        <v>1</v>
      </c>
    </row>
    <row r="534" spans="1:14">
      <c r="A534" t="s">
        <v>25</v>
      </c>
      <c r="B534" t="s">
        <v>20</v>
      </c>
      <c r="C534" t="s">
        <v>17</v>
      </c>
      <c r="D534" s="9">
        <v>45845</v>
      </c>
      <c r="E534">
        <v>148</v>
      </c>
      <c r="F534" t="s">
        <v>4</v>
      </c>
      <c r="G534" t="s">
        <v>65</v>
      </c>
      <c r="H534">
        <v>1</v>
      </c>
      <c r="I534" t="s">
        <v>78</v>
      </c>
      <c r="J534" t="s">
        <v>88</v>
      </c>
      <c r="K534">
        <v>0</v>
      </c>
      <c r="L534">
        <v>1</v>
      </c>
      <c r="M534">
        <v>0</v>
      </c>
      <c r="N534">
        <v>1</v>
      </c>
    </row>
    <row r="535" spans="1:14">
      <c r="A535" t="s">
        <v>25</v>
      </c>
      <c r="B535" t="s">
        <v>20</v>
      </c>
      <c r="C535" t="s">
        <v>17</v>
      </c>
      <c r="D535" s="9">
        <v>45845</v>
      </c>
      <c r="E535">
        <v>148</v>
      </c>
      <c r="F535" t="s">
        <v>4</v>
      </c>
      <c r="G535" t="s">
        <v>65</v>
      </c>
      <c r="H535">
        <v>1</v>
      </c>
      <c r="I535" t="s">
        <v>6</v>
      </c>
      <c r="J535" t="s">
        <v>88</v>
      </c>
      <c r="K535">
        <v>0</v>
      </c>
      <c r="L535">
        <v>1</v>
      </c>
      <c r="M535">
        <v>0</v>
      </c>
      <c r="N535">
        <v>1</v>
      </c>
    </row>
    <row r="536" spans="1:14">
      <c r="A536" t="s">
        <v>25</v>
      </c>
      <c r="B536" t="s">
        <v>20</v>
      </c>
      <c r="C536" t="s">
        <v>17</v>
      </c>
      <c r="D536" s="9">
        <v>45845</v>
      </c>
      <c r="E536">
        <v>148</v>
      </c>
      <c r="F536" t="s">
        <v>78</v>
      </c>
      <c r="G536" t="s">
        <v>102</v>
      </c>
      <c r="H536">
        <v>4</v>
      </c>
      <c r="I536" t="s">
        <v>4</v>
      </c>
      <c r="J536" t="s">
        <v>89</v>
      </c>
      <c r="K536">
        <v>1</v>
      </c>
      <c r="L536">
        <v>0</v>
      </c>
      <c r="M536">
        <v>0</v>
      </c>
      <c r="N536">
        <v>1</v>
      </c>
    </row>
    <row r="537" spans="1:14">
      <c r="A537" t="s">
        <v>25</v>
      </c>
      <c r="B537" t="s">
        <v>20</v>
      </c>
      <c r="C537" t="s">
        <v>17</v>
      </c>
      <c r="D537" s="9">
        <v>45845</v>
      </c>
      <c r="E537">
        <v>148</v>
      </c>
      <c r="F537" t="s">
        <v>78</v>
      </c>
      <c r="G537" t="s">
        <v>65</v>
      </c>
      <c r="H537">
        <v>4</v>
      </c>
      <c r="I537" t="s">
        <v>6</v>
      </c>
      <c r="J537" t="s">
        <v>88</v>
      </c>
      <c r="K537">
        <v>0</v>
      </c>
      <c r="L537">
        <v>1</v>
      </c>
      <c r="M537">
        <v>0</v>
      </c>
      <c r="N537">
        <v>1</v>
      </c>
    </row>
    <row r="538" spans="1:14">
      <c r="A538" t="s">
        <v>25</v>
      </c>
      <c r="B538" t="s">
        <v>20</v>
      </c>
      <c r="C538" t="s">
        <v>17</v>
      </c>
      <c r="D538" s="9">
        <v>45845</v>
      </c>
      <c r="E538">
        <v>148</v>
      </c>
      <c r="F538" t="s">
        <v>6</v>
      </c>
      <c r="G538" t="s">
        <v>102</v>
      </c>
      <c r="H538">
        <v>5</v>
      </c>
      <c r="I538" t="s">
        <v>4</v>
      </c>
      <c r="J538" t="s">
        <v>89</v>
      </c>
      <c r="K538">
        <v>1</v>
      </c>
      <c r="L538">
        <v>0</v>
      </c>
      <c r="M538">
        <v>0</v>
      </c>
      <c r="N538">
        <v>1</v>
      </c>
    </row>
    <row r="539" spans="1:14">
      <c r="A539" t="s">
        <v>25</v>
      </c>
      <c r="B539" t="s">
        <v>20</v>
      </c>
      <c r="C539" t="s">
        <v>17</v>
      </c>
      <c r="D539" s="9">
        <v>45845</v>
      </c>
      <c r="E539">
        <v>148</v>
      </c>
      <c r="F539" t="s">
        <v>6</v>
      </c>
      <c r="G539" t="s">
        <v>102</v>
      </c>
      <c r="H539">
        <v>5</v>
      </c>
      <c r="I539" t="s">
        <v>78</v>
      </c>
      <c r="J539" t="s">
        <v>89</v>
      </c>
      <c r="K539">
        <v>1</v>
      </c>
      <c r="L539">
        <v>0</v>
      </c>
      <c r="M539">
        <v>0</v>
      </c>
      <c r="N539">
        <v>1</v>
      </c>
    </row>
    <row r="540" spans="1:14">
      <c r="A540" t="s">
        <v>25</v>
      </c>
      <c r="B540" t="s">
        <v>20</v>
      </c>
      <c r="C540" t="s">
        <v>16</v>
      </c>
      <c r="D540" s="9">
        <v>45845</v>
      </c>
      <c r="E540">
        <v>149</v>
      </c>
      <c r="F540" t="s">
        <v>4</v>
      </c>
      <c r="G540" t="s">
        <v>102</v>
      </c>
      <c r="H540">
        <v>9</v>
      </c>
      <c r="I540" t="s">
        <v>6</v>
      </c>
      <c r="J540" t="s">
        <v>89</v>
      </c>
      <c r="K540">
        <v>1</v>
      </c>
      <c r="L540">
        <v>0</v>
      </c>
      <c r="M540">
        <v>0</v>
      </c>
      <c r="N540">
        <v>1</v>
      </c>
    </row>
    <row r="541" spans="1:14">
      <c r="A541" t="s">
        <v>25</v>
      </c>
      <c r="B541" t="s">
        <v>20</v>
      </c>
      <c r="C541" t="s">
        <v>16</v>
      </c>
      <c r="D541" s="9">
        <v>45845</v>
      </c>
      <c r="E541">
        <v>149</v>
      </c>
      <c r="F541" t="s">
        <v>4</v>
      </c>
      <c r="G541" t="s">
        <v>102</v>
      </c>
      <c r="H541">
        <v>9</v>
      </c>
      <c r="I541" t="s">
        <v>78</v>
      </c>
      <c r="J541" t="s">
        <v>89</v>
      </c>
      <c r="K541">
        <v>1</v>
      </c>
      <c r="L541">
        <v>0</v>
      </c>
      <c r="M541">
        <v>0</v>
      </c>
      <c r="N541">
        <v>1</v>
      </c>
    </row>
    <row r="542" spans="1:14">
      <c r="A542" t="s">
        <v>25</v>
      </c>
      <c r="B542" t="s">
        <v>20</v>
      </c>
      <c r="C542" t="s">
        <v>16</v>
      </c>
      <c r="D542" s="9">
        <v>45845</v>
      </c>
      <c r="E542">
        <v>149</v>
      </c>
      <c r="F542" t="s">
        <v>78</v>
      </c>
      <c r="G542" t="s">
        <v>65</v>
      </c>
      <c r="H542">
        <v>6</v>
      </c>
      <c r="I542" t="s">
        <v>4</v>
      </c>
      <c r="J542" t="s">
        <v>88</v>
      </c>
      <c r="K542">
        <v>0</v>
      </c>
      <c r="L542">
        <v>1</v>
      </c>
      <c r="M542">
        <v>0</v>
      </c>
      <c r="N542">
        <v>1</v>
      </c>
    </row>
    <row r="543" spans="1:14">
      <c r="A543" t="s">
        <v>25</v>
      </c>
      <c r="B543" t="s">
        <v>20</v>
      </c>
      <c r="C543" t="s">
        <v>16</v>
      </c>
      <c r="D543" s="9">
        <v>45845</v>
      </c>
      <c r="E543">
        <v>149</v>
      </c>
      <c r="F543" t="s">
        <v>78</v>
      </c>
      <c r="G543" t="s">
        <v>65</v>
      </c>
      <c r="H543">
        <v>6</v>
      </c>
      <c r="I543" t="s">
        <v>6</v>
      </c>
      <c r="J543" t="s">
        <v>89</v>
      </c>
      <c r="K543">
        <v>1</v>
      </c>
      <c r="L543">
        <v>0</v>
      </c>
      <c r="M543">
        <v>0</v>
      </c>
      <c r="N543">
        <v>1</v>
      </c>
    </row>
    <row r="544" spans="1:14">
      <c r="A544" t="s">
        <v>25</v>
      </c>
      <c r="B544" t="s">
        <v>20</v>
      </c>
      <c r="C544" t="s">
        <v>16</v>
      </c>
      <c r="D544" s="9">
        <v>45845</v>
      </c>
      <c r="E544">
        <v>149</v>
      </c>
      <c r="F544" t="s">
        <v>6</v>
      </c>
      <c r="G544" t="s">
        <v>65</v>
      </c>
      <c r="H544">
        <v>5</v>
      </c>
      <c r="I544" t="s">
        <v>4</v>
      </c>
      <c r="J544" t="s">
        <v>88</v>
      </c>
      <c r="K544">
        <v>0</v>
      </c>
      <c r="L544">
        <v>1</v>
      </c>
      <c r="M544">
        <v>0</v>
      </c>
      <c r="N544">
        <v>1</v>
      </c>
    </row>
    <row r="545" spans="1:14">
      <c r="A545" t="s">
        <v>25</v>
      </c>
      <c r="B545" t="s">
        <v>20</v>
      </c>
      <c r="C545" t="s">
        <v>16</v>
      </c>
      <c r="D545" s="9">
        <v>45845</v>
      </c>
      <c r="E545">
        <v>149</v>
      </c>
      <c r="F545" t="s">
        <v>6</v>
      </c>
      <c r="G545" t="s">
        <v>102</v>
      </c>
      <c r="H545">
        <v>5</v>
      </c>
      <c r="I545" t="s">
        <v>78</v>
      </c>
      <c r="J545" t="s">
        <v>88</v>
      </c>
      <c r="K545">
        <v>0</v>
      </c>
      <c r="L545">
        <v>1</v>
      </c>
      <c r="M545">
        <v>0</v>
      </c>
      <c r="N545">
        <v>1</v>
      </c>
    </row>
    <row r="546" spans="1:14">
      <c r="A546" t="s">
        <v>25</v>
      </c>
      <c r="B546" t="s">
        <v>20</v>
      </c>
      <c r="C546" t="s">
        <v>16</v>
      </c>
      <c r="D546" s="9">
        <v>45845</v>
      </c>
      <c r="E546">
        <v>150</v>
      </c>
      <c r="F546" t="s">
        <v>78</v>
      </c>
      <c r="G546" t="s">
        <v>102</v>
      </c>
      <c r="H546">
        <v>11</v>
      </c>
      <c r="I546" t="s">
        <v>4</v>
      </c>
      <c r="J546" t="s">
        <v>89</v>
      </c>
      <c r="K546">
        <v>1</v>
      </c>
      <c r="L546">
        <v>0</v>
      </c>
      <c r="M546">
        <v>0</v>
      </c>
      <c r="N546">
        <v>1</v>
      </c>
    </row>
    <row r="547" spans="1:14">
      <c r="A547" t="s">
        <v>25</v>
      </c>
      <c r="B547" t="s">
        <v>20</v>
      </c>
      <c r="C547" t="s">
        <v>16</v>
      </c>
      <c r="D547" s="9">
        <v>45845</v>
      </c>
      <c r="E547">
        <v>150</v>
      </c>
      <c r="F547" t="s">
        <v>4</v>
      </c>
      <c r="G547" t="s">
        <v>65</v>
      </c>
      <c r="H547">
        <v>9</v>
      </c>
      <c r="I547" t="s">
        <v>78</v>
      </c>
      <c r="J547" t="s">
        <v>88</v>
      </c>
      <c r="K547">
        <v>0</v>
      </c>
      <c r="L547">
        <v>1</v>
      </c>
      <c r="M547">
        <v>0</v>
      </c>
      <c r="N547">
        <v>1</v>
      </c>
    </row>
    <row r="548" spans="1:14">
      <c r="A548" t="s">
        <v>25</v>
      </c>
      <c r="B548" t="s">
        <v>20</v>
      </c>
      <c r="C548" t="s">
        <v>16</v>
      </c>
      <c r="D548" s="9">
        <v>45846</v>
      </c>
      <c r="E548">
        <v>151</v>
      </c>
      <c r="F548" t="s">
        <v>78</v>
      </c>
      <c r="G548" t="s">
        <v>65</v>
      </c>
      <c r="H548">
        <v>6</v>
      </c>
      <c r="I548" t="s">
        <v>4</v>
      </c>
      <c r="J548" t="s">
        <v>88</v>
      </c>
      <c r="K548">
        <v>0</v>
      </c>
      <c r="L548">
        <v>1</v>
      </c>
      <c r="M548">
        <v>0</v>
      </c>
      <c r="N548">
        <v>1</v>
      </c>
    </row>
    <row r="549" spans="1:14">
      <c r="A549" t="s">
        <v>25</v>
      </c>
      <c r="B549" t="s">
        <v>20</v>
      </c>
      <c r="C549" t="s">
        <v>16</v>
      </c>
      <c r="D549" s="9">
        <v>45846</v>
      </c>
      <c r="E549">
        <v>151</v>
      </c>
      <c r="F549" t="s">
        <v>4</v>
      </c>
      <c r="G549" t="s">
        <v>102</v>
      </c>
      <c r="H549">
        <v>17</v>
      </c>
      <c r="I549" t="s">
        <v>78</v>
      </c>
      <c r="J549" t="s">
        <v>89</v>
      </c>
      <c r="K549">
        <v>1</v>
      </c>
      <c r="L549">
        <v>0</v>
      </c>
      <c r="M549">
        <v>0</v>
      </c>
      <c r="N549">
        <v>1</v>
      </c>
    </row>
    <row r="550" spans="1:14">
      <c r="A550" t="s">
        <v>25</v>
      </c>
      <c r="B550" t="s">
        <v>19</v>
      </c>
      <c r="C550" t="s">
        <v>16</v>
      </c>
      <c r="D550" s="9">
        <v>45846</v>
      </c>
      <c r="E550">
        <v>152</v>
      </c>
      <c r="F550" t="s">
        <v>4</v>
      </c>
      <c r="G550" t="s">
        <v>65</v>
      </c>
      <c r="H550">
        <v>11</v>
      </c>
      <c r="I550" t="s">
        <v>78</v>
      </c>
      <c r="J550" t="s">
        <v>89</v>
      </c>
      <c r="K550">
        <v>1</v>
      </c>
      <c r="L550">
        <v>0</v>
      </c>
      <c r="M550">
        <v>0</v>
      </c>
      <c r="N550">
        <v>1</v>
      </c>
    </row>
    <row r="551" spans="1:14">
      <c r="A551" t="s">
        <v>25</v>
      </c>
      <c r="B551" t="s">
        <v>19</v>
      </c>
      <c r="C551" t="s">
        <v>16</v>
      </c>
      <c r="D551" s="9">
        <v>45846</v>
      </c>
      <c r="E551">
        <v>152</v>
      </c>
      <c r="F551" t="s">
        <v>78</v>
      </c>
      <c r="G551" t="s">
        <v>102</v>
      </c>
      <c r="H551">
        <v>5</v>
      </c>
      <c r="I551" t="s">
        <v>4</v>
      </c>
      <c r="J551" t="s">
        <v>88</v>
      </c>
      <c r="K551">
        <v>0</v>
      </c>
      <c r="L551">
        <v>1</v>
      </c>
      <c r="M551">
        <v>0</v>
      </c>
      <c r="N551">
        <v>1</v>
      </c>
    </row>
    <row r="552" spans="1:14">
      <c r="A552" t="s">
        <v>25</v>
      </c>
      <c r="B552" t="s">
        <v>20</v>
      </c>
      <c r="C552" t="s">
        <v>16</v>
      </c>
      <c r="D552" s="9">
        <v>45847</v>
      </c>
      <c r="E552">
        <v>153</v>
      </c>
      <c r="F552" t="s">
        <v>78</v>
      </c>
      <c r="G552" t="s">
        <v>65</v>
      </c>
      <c r="H552">
        <v>10</v>
      </c>
      <c r="I552" t="s">
        <v>4</v>
      </c>
      <c r="J552" t="s">
        <v>89</v>
      </c>
      <c r="K552">
        <v>1</v>
      </c>
      <c r="L552">
        <v>0</v>
      </c>
      <c r="M552">
        <v>0</v>
      </c>
      <c r="N552">
        <v>1</v>
      </c>
    </row>
    <row r="553" spans="1:14">
      <c r="A553" t="s">
        <v>25</v>
      </c>
      <c r="B553" t="s">
        <v>20</v>
      </c>
      <c r="C553" t="s">
        <v>16</v>
      </c>
      <c r="D553" s="9">
        <v>45847</v>
      </c>
      <c r="E553">
        <v>153</v>
      </c>
      <c r="F553" t="s">
        <v>4</v>
      </c>
      <c r="G553" t="s">
        <v>102</v>
      </c>
      <c r="H553">
        <v>4</v>
      </c>
      <c r="I553" t="s">
        <v>78</v>
      </c>
      <c r="J553" t="s">
        <v>88</v>
      </c>
      <c r="K553">
        <v>0</v>
      </c>
      <c r="L553">
        <v>1</v>
      </c>
      <c r="M553">
        <v>0</v>
      </c>
      <c r="N553">
        <v>1</v>
      </c>
    </row>
    <row r="554" spans="1:14">
      <c r="A554" t="s">
        <v>25</v>
      </c>
      <c r="B554" t="s">
        <v>19</v>
      </c>
      <c r="C554" t="s">
        <v>16</v>
      </c>
      <c r="D554" s="9">
        <v>45847</v>
      </c>
      <c r="E554">
        <v>154</v>
      </c>
      <c r="F554" t="s">
        <v>4</v>
      </c>
      <c r="G554" t="s">
        <v>65</v>
      </c>
      <c r="H554">
        <v>5</v>
      </c>
      <c r="I554" t="s">
        <v>78</v>
      </c>
      <c r="J554" t="s">
        <v>89</v>
      </c>
      <c r="K554">
        <v>1</v>
      </c>
      <c r="L554">
        <v>0</v>
      </c>
      <c r="M554">
        <v>0</v>
      </c>
      <c r="N554">
        <v>1</v>
      </c>
    </row>
    <row r="555" spans="1:14">
      <c r="A555" t="s">
        <v>25</v>
      </c>
      <c r="B555" t="s">
        <v>19</v>
      </c>
      <c r="C555" t="s">
        <v>16</v>
      </c>
      <c r="D555" s="9">
        <v>45847</v>
      </c>
      <c r="E555">
        <v>154</v>
      </c>
      <c r="F555" t="s">
        <v>78</v>
      </c>
      <c r="G555" t="s">
        <v>102</v>
      </c>
      <c r="H555">
        <v>2</v>
      </c>
      <c r="I555" t="s">
        <v>4</v>
      </c>
      <c r="J555" t="s">
        <v>88</v>
      </c>
      <c r="K555">
        <v>0</v>
      </c>
      <c r="L555">
        <v>1</v>
      </c>
      <c r="M555">
        <v>0</v>
      </c>
      <c r="N555">
        <v>1</v>
      </c>
    </row>
    <row r="556" spans="1:14">
      <c r="A556" t="s">
        <v>25</v>
      </c>
      <c r="B556" t="s">
        <v>20</v>
      </c>
      <c r="C556" t="s">
        <v>16</v>
      </c>
      <c r="D556" s="9">
        <v>45847</v>
      </c>
      <c r="E556">
        <v>155</v>
      </c>
      <c r="F556" t="s">
        <v>4</v>
      </c>
      <c r="G556" t="s">
        <v>102</v>
      </c>
      <c r="H556">
        <v>9</v>
      </c>
      <c r="I556" t="s">
        <v>78</v>
      </c>
      <c r="J556" t="s">
        <v>89</v>
      </c>
      <c r="K556">
        <v>1</v>
      </c>
      <c r="L556">
        <v>0</v>
      </c>
      <c r="M556">
        <v>0</v>
      </c>
      <c r="N556">
        <v>1</v>
      </c>
    </row>
    <row r="557" spans="1:14">
      <c r="A557" t="s">
        <v>25</v>
      </c>
      <c r="B557" t="s">
        <v>20</v>
      </c>
      <c r="C557" t="s">
        <v>16</v>
      </c>
      <c r="D557" s="9">
        <v>45847</v>
      </c>
      <c r="E557">
        <v>155</v>
      </c>
      <c r="F557" t="s">
        <v>78</v>
      </c>
      <c r="G557" t="s">
        <v>65</v>
      </c>
      <c r="H557">
        <v>1</v>
      </c>
      <c r="I557" t="s">
        <v>4</v>
      </c>
      <c r="J557" t="s">
        <v>88</v>
      </c>
      <c r="K557">
        <v>0</v>
      </c>
      <c r="L557">
        <v>1</v>
      </c>
      <c r="M557">
        <v>0</v>
      </c>
      <c r="N557">
        <v>1</v>
      </c>
    </row>
    <row r="558" spans="1:14">
      <c r="A558" t="s">
        <v>25</v>
      </c>
      <c r="B558" t="s">
        <v>20</v>
      </c>
      <c r="C558" t="s">
        <v>16</v>
      </c>
      <c r="D558" s="9">
        <v>45848</v>
      </c>
      <c r="E558">
        <v>156</v>
      </c>
      <c r="F558" t="s">
        <v>4</v>
      </c>
      <c r="G558" t="s">
        <v>65</v>
      </c>
      <c r="H558">
        <v>13</v>
      </c>
      <c r="I558" t="s">
        <v>78</v>
      </c>
      <c r="J558" t="s">
        <v>89</v>
      </c>
      <c r="K558">
        <v>1</v>
      </c>
      <c r="L558">
        <v>0</v>
      </c>
      <c r="M558">
        <v>0</v>
      </c>
      <c r="N558">
        <v>1</v>
      </c>
    </row>
    <row r="559" spans="1:14">
      <c r="A559" t="s">
        <v>25</v>
      </c>
      <c r="B559" t="s">
        <v>20</v>
      </c>
      <c r="C559" t="s">
        <v>16</v>
      </c>
      <c r="D559" s="9">
        <v>45848</v>
      </c>
      <c r="E559">
        <v>156</v>
      </c>
      <c r="F559" t="s">
        <v>78</v>
      </c>
      <c r="G559" t="s">
        <v>102</v>
      </c>
      <c r="H559">
        <v>1</v>
      </c>
      <c r="I559" t="s">
        <v>4</v>
      </c>
      <c r="J559" t="s">
        <v>88</v>
      </c>
      <c r="K559">
        <v>0</v>
      </c>
      <c r="L559">
        <v>1</v>
      </c>
      <c r="M559">
        <v>0</v>
      </c>
      <c r="N559">
        <v>1</v>
      </c>
    </row>
    <row r="560" spans="1:14">
      <c r="A560" t="s">
        <v>25</v>
      </c>
      <c r="B560" t="s">
        <v>21</v>
      </c>
      <c r="C560" t="s">
        <v>16</v>
      </c>
      <c r="D560" s="9">
        <v>45848</v>
      </c>
      <c r="E560">
        <v>157</v>
      </c>
      <c r="F560" t="s">
        <v>78</v>
      </c>
      <c r="G560" t="s">
        <v>65</v>
      </c>
      <c r="H560">
        <v>3</v>
      </c>
      <c r="I560" t="s">
        <v>4</v>
      </c>
      <c r="J560" t="s">
        <v>88</v>
      </c>
      <c r="K560">
        <v>0</v>
      </c>
      <c r="L560">
        <v>1</v>
      </c>
      <c r="M560">
        <v>0</v>
      </c>
      <c r="N560">
        <v>1</v>
      </c>
    </row>
    <row r="561" spans="1:14">
      <c r="A561" t="s">
        <v>25</v>
      </c>
      <c r="B561" t="s">
        <v>21</v>
      </c>
      <c r="C561" t="s">
        <v>16</v>
      </c>
      <c r="D561" s="9">
        <v>45848</v>
      </c>
      <c r="E561">
        <v>157</v>
      </c>
      <c r="F561" t="s">
        <v>4</v>
      </c>
      <c r="G561" t="s">
        <v>102</v>
      </c>
      <c r="H561">
        <v>4</v>
      </c>
      <c r="I561" t="s">
        <v>78</v>
      </c>
      <c r="J561" t="s">
        <v>89</v>
      </c>
      <c r="K561">
        <v>1</v>
      </c>
      <c r="L561">
        <v>0</v>
      </c>
      <c r="M561">
        <v>0</v>
      </c>
      <c r="N561">
        <v>1</v>
      </c>
    </row>
    <row r="562" spans="1:14">
      <c r="A562" t="s">
        <v>25</v>
      </c>
      <c r="B562" t="s">
        <v>19</v>
      </c>
      <c r="C562" t="s">
        <v>16</v>
      </c>
      <c r="D562" s="9">
        <v>45848</v>
      </c>
      <c r="E562">
        <v>158</v>
      </c>
      <c r="F562" t="s">
        <v>78</v>
      </c>
      <c r="G562" t="s">
        <v>65</v>
      </c>
      <c r="H562">
        <v>0</v>
      </c>
      <c r="I562" t="s">
        <v>4</v>
      </c>
      <c r="J562" t="s">
        <v>88</v>
      </c>
      <c r="K562">
        <v>0</v>
      </c>
      <c r="L562">
        <v>1</v>
      </c>
      <c r="M562">
        <v>0</v>
      </c>
      <c r="N562">
        <v>1</v>
      </c>
    </row>
    <row r="563" spans="1:14">
      <c r="A563" t="s">
        <v>25</v>
      </c>
      <c r="B563" t="s">
        <v>19</v>
      </c>
      <c r="C563" t="s">
        <v>16</v>
      </c>
      <c r="D563" s="9">
        <v>45848</v>
      </c>
      <c r="E563">
        <v>158</v>
      </c>
      <c r="F563" t="s">
        <v>4</v>
      </c>
      <c r="G563" t="s">
        <v>102</v>
      </c>
      <c r="H563">
        <v>6</v>
      </c>
      <c r="I563" t="s">
        <v>78</v>
      </c>
      <c r="J563" t="s">
        <v>89</v>
      </c>
      <c r="K563">
        <v>1</v>
      </c>
      <c r="L563">
        <v>0</v>
      </c>
      <c r="M563">
        <v>0</v>
      </c>
      <c r="N563">
        <v>1</v>
      </c>
    </row>
    <row r="564" spans="1:14">
      <c r="A564" t="s">
        <v>25</v>
      </c>
      <c r="B564" t="s">
        <v>20</v>
      </c>
      <c r="C564" t="s">
        <v>16</v>
      </c>
      <c r="D564" s="9">
        <v>45849</v>
      </c>
      <c r="E564">
        <v>159</v>
      </c>
      <c r="F564" t="s">
        <v>78</v>
      </c>
      <c r="G564" t="s">
        <v>65</v>
      </c>
      <c r="H564">
        <v>6</v>
      </c>
      <c r="I564" t="s">
        <v>4</v>
      </c>
      <c r="J564" t="s">
        <v>88</v>
      </c>
      <c r="K564">
        <v>0</v>
      </c>
      <c r="L564">
        <v>1</v>
      </c>
      <c r="M564">
        <v>0</v>
      </c>
      <c r="N564">
        <v>1</v>
      </c>
    </row>
    <row r="565" spans="1:14">
      <c r="A565" t="s">
        <v>25</v>
      </c>
      <c r="B565" t="s">
        <v>20</v>
      </c>
      <c r="C565" t="s">
        <v>16</v>
      </c>
      <c r="D565" s="9">
        <v>45849</v>
      </c>
      <c r="E565">
        <v>159</v>
      </c>
      <c r="F565" t="s">
        <v>4</v>
      </c>
      <c r="G565" t="s">
        <v>102</v>
      </c>
      <c r="H565">
        <v>12</v>
      </c>
      <c r="I565" t="s">
        <v>78</v>
      </c>
      <c r="J565" t="s">
        <v>89</v>
      </c>
      <c r="K565">
        <v>1</v>
      </c>
      <c r="L565">
        <v>0</v>
      </c>
      <c r="M565">
        <v>0</v>
      </c>
      <c r="N565">
        <v>1</v>
      </c>
    </row>
    <row r="566" spans="1:14">
      <c r="A566" t="s">
        <v>25</v>
      </c>
      <c r="B566" t="s">
        <v>20</v>
      </c>
      <c r="C566" t="s">
        <v>16</v>
      </c>
      <c r="D566" s="9">
        <v>45849</v>
      </c>
      <c r="E566">
        <v>160</v>
      </c>
      <c r="F566" t="s">
        <v>4</v>
      </c>
      <c r="G566" t="s">
        <v>65</v>
      </c>
      <c r="H566">
        <v>3</v>
      </c>
      <c r="I566" t="s">
        <v>78</v>
      </c>
      <c r="J566" t="s">
        <v>89</v>
      </c>
      <c r="K566">
        <v>1</v>
      </c>
      <c r="L566">
        <v>0</v>
      </c>
      <c r="M566">
        <v>0</v>
      </c>
      <c r="N566">
        <v>1</v>
      </c>
    </row>
    <row r="567" spans="1:14">
      <c r="A567" t="s">
        <v>25</v>
      </c>
      <c r="B567" t="s">
        <v>20</v>
      </c>
      <c r="C567" t="s">
        <v>16</v>
      </c>
      <c r="D567" s="9">
        <v>45849</v>
      </c>
      <c r="E567">
        <v>160</v>
      </c>
      <c r="F567" t="s">
        <v>78</v>
      </c>
      <c r="G567" t="s">
        <v>102</v>
      </c>
      <c r="H567">
        <v>1</v>
      </c>
      <c r="I567" t="s">
        <v>4</v>
      </c>
      <c r="J567" t="s">
        <v>88</v>
      </c>
      <c r="K567">
        <v>0</v>
      </c>
      <c r="L567">
        <v>1</v>
      </c>
      <c r="M567">
        <v>0</v>
      </c>
      <c r="N567">
        <v>1</v>
      </c>
    </row>
    <row r="568" spans="1:14">
      <c r="A568" t="s">
        <v>25</v>
      </c>
      <c r="B568" t="s">
        <v>20</v>
      </c>
      <c r="C568" t="s">
        <v>16</v>
      </c>
      <c r="D568" s="9">
        <v>45849</v>
      </c>
      <c r="E568">
        <v>161</v>
      </c>
      <c r="F568" t="s">
        <v>4</v>
      </c>
      <c r="G568" t="s">
        <v>102</v>
      </c>
      <c r="H568">
        <v>15</v>
      </c>
      <c r="I568" t="s">
        <v>78</v>
      </c>
      <c r="J568" t="s">
        <v>89</v>
      </c>
      <c r="K568">
        <v>1</v>
      </c>
      <c r="L568">
        <v>0</v>
      </c>
      <c r="M568">
        <v>0</v>
      </c>
      <c r="N568">
        <v>1</v>
      </c>
    </row>
    <row r="569" spans="1:14">
      <c r="A569" t="s">
        <v>25</v>
      </c>
      <c r="B569" t="s">
        <v>20</v>
      </c>
      <c r="C569" t="s">
        <v>16</v>
      </c>
      <c r="D569" s="9">
        <v>45849</v>
      </c>
      <c r="E569">
        <v>161</v>
      </c>
      <c r="F569" t="s">
        <v>78</v>
      </c>
      <c r="G569" t="s">
        <v>65</v>
      </c>
      <c r="H569">
        <v>1</v>
      </c>
      <c r="I569" t="s">
        <v>4</v>
      </c>
      <c r="J569" t="s">
        <v>88</v>
      </c>
      <c r="K569">
        <v>0</v>
      </c>
      <c r="L569">
        <v>1</v>
      </c>
      <c r="M569">
        <v>0</v>
      </c>
      <c r="N569">
        <v>1</v>
      </c>
    </row>
    <row r="570" spans="1:14">
      <c r="A570" t="s">
        <v>25</v>
      </c>
      <c r="B570" t="s">
        <v>20</v>
      </c>
      <c r="C570" t="s">
        <v>16</v>
      </c>
      <c r="D570" s="9">
        <v>45852</v>
      </c>
      <c r="E570">
        <v>162</v>
      </c>
      <c r="F570" t="s">
        <v>78</v>
      </c>
      <c r="G570" t="s">
        <v>102</v>
      </c>
      <c r="H570">
        <v>6</v>
      </c>
      <c r="I570" t="s">
        <v>4</v>
      </c>
      <c r="J570" t="s">
        <v>88</v>
      </c>
      <c r="K570">
        <v>0</v>
      </c>
      <c r="L570">
        <v>1</v>
      </c>
      <c r="M570">
        <v>0</v>
      </c>
      <c r="N570">
        <v>1</v>
      </c>
    </row>
    <row r="571" spans="1:14">
      <c r="A571" t="s">
        <v>25</v>
      </c>
      <c r="B571" t="s">
        <v>20</v>
      </c>
      <c r="C571" t="s">
        <v>16</v>
      </c>
      <c r="D571" s="9">
        <v>45852</v>
      </c>
      <c r="E571">
        <v>162</v>
      </c>
      <c r="F571" t="s">
        <v>4</v>
      </c>
      <c r="G571" t="s">
        <v>65</v>
      </c>
      <c r="H571">
        <v>9</v>
      </c>
      <c r="I571" t="s">
        <v>78</v>
      </c>
      <c r="J571" t="s">
        <v>89</v>
      </c>
      <c r="K571">
        <v>1</v>
      </c>
      <c r="L571">
        <v>0</v>
      </c>
      <c r="M571">
        <v>0</v>
      </c>
      <c r="N571">
        <v>1</v>
      </c>
    </row>
    <row r="572" spans="1:14">
      <c r="A572" t="s">
        <v>25</v>
      </c>
      <c r="B572" t="s">
        <v>20</v>
      </c>
      <c r="C572" t="s">
        <v>16</v>
      </c>
      <c r="D572" s="9">
        <v>45852</v>
      </c>
      <c r="E572">
        <v>163</v>
      </c>
      <c r="F572" t="s">
        <v>78</v>
      </c>
      <c r="G572" t="s">
        <v>65</v>
      </c>
      <c r="H572">
        <v>7</v>
      </c>
      <c r="I572" t="s">
        <v>4</v>
      </c>
      <c r="J572" t="s">
        <v>89</v>
      </c>
      <c r="K572">
        <v>1</v>
      </c>
      <c r="L572">
        <v>0</v>
      </c>
      <c r="M572">
        <v>0</v>
      </c>
      <c r="N572">
        <v>1</v>
      </c>
    </row>
    <row r="573" spans="1:14">
      <c r="A573" t="s">
        <v>25</v>
      </c>
      <c r="B573" t="s">
        <v>20</v>
      </c>
      <c r="C573" t="s">
        <v>16</v>
      </c>
      <c r="D573" s="9">
        <v>45852</v>
      </c>
      <c r="E573">
        <v>163</v>
      </c>
      <c r="F573" t="s">
        <v>4</v>
      </c>
      <c r="G573" t="s">
        <v>102</v>
      </c>
      <c r="H573">
        <v>6</v>
      </c>
      <c r="I573" t="s">
        <v>78</v>
      </c>
      <c r="J573" t="s">
        <v>88</v>
      </c>
      <c r="K573">
        <v>0</v>
      </c>
      <c r="L573">
        <v>1</v>
      </c>
      <c r="M573">
        <v>0</v>
      </c>
      <c r="N573">
        <v>1</v>
      </c>
    </row>
    <row r="574" spans="1:14">
      <c r="A574" t="s">
        <v>25</v>
      </c>
      <c r="B574" t="s">
        <v>20</v>
      </c>
      <c r="C574" t="s">
        <v>16</v>
      </c>
      <c r="D574" s="9">
        <v>45852</v>
      </c>
      <c r="E574">
        <v>164</v>
      </c>
      <c r="F574" t="s">
        <v>4</v>
      </c>
      <c r="G574" t="s">
        <v>65</v>
      </c>
      <c r="H574">
        <v>2</v>
      </c>
      <c r="I574" t="s">
        <v>78</v>
      </c>
      <c r="J574" t="s">
        <v>88</v>
      </c>
      <c r="K574">
        <v>0</v>
      </c>
      <c r="L574">
        <v>1</v>
      </c>
      <c r="M574">
        <v>0</v>
      </c>
      <c r="N574">
        <v>1</v>
      </c>
    </row>
    <row r="575" spans="1:14">
      <c r="A575" t="s">
        <v>25</v>
      </c>
      <c r="B575" t="s">
        <v>20</v>
      </c>
      <c r="C575" t="s">
        <v>16</v>
      </c>
      <c r="D575" s="9">
        <v>45852</v>
      </c>
      <c r="E575">
        <v>164</v>
      </c>
      <c r="F575" t="s">
        <v>78</v>
      </c>
      <c r="G575" t="s">
        <v>102</v>
      </c>
      <c r="H575">
        <v>4</v>
      </c>
      <c r="I575" t="s">
        <v>4</v>
      </c>
      <c r="J575" t="s">
        <v>89</v>
      </c>
      <c r="K575">
        <v>1</v>
      </c>
      <c r="L575">
        <v>0</v>
      </c>
      <c r="M575">
        <v>0</v>
      </c>
      <c r="N575">
        <v>1</v>
      </c>
    </row>
    <row r="576" spans="1:14">
      <c r="A576" t="s">
        <v>25</v>
      </c>
      <c r="B576" t="s">
        <v>20</v>
      </c>
      <c r="C576" t="s">
        <v>16</v>
      </c>
      <c r="D576" s="9">
        <v>45853</v>
      </c>
      <c r="E576">
        <v>165</v>
      </c>
      <c r="F576" t="s">
        <v>4</v>
      </c>
      <c r="G576" t="s">
        <v>65</v>
      </c>
      <c r="H576">
        <v>4</v>
      </c>
      <c r="I576" t="s">
        <v>5</v>
      </c>
      <c r="J576" t="s">
        <v>89</v>
      </c>
      <c r="K576">
        <v>1</v>
      </c>
      <c r="L576">
        <v>0</v>
      </c>
      <c r="M576">
        <v>0</v>
      </c>
      <c r="N576">
        <v>1</v>
      </c>
    </row>
    <row r="577" spans="1:14">
      <c r="A577" t="s">
        <v>25</v>
      </c>
      <c r="B577" t="s">
        <v>20</v>
      </c>
      <c r="C577" t="s">
        <v>16</v>
      </c>
      <c r="D577" s="9">
        <v>45853</v>
      </c>
      <c r="E577">
        <v>165</v>
      </c>
      <c r="F577" t="s">
        <v>5</v>
      </c>
      <c r="G577" t="s">
        <v>65</v>
      </c>
      <c r="H577">
        <v>0</v>
      </c>
      <c r="I577" t="s">
        <v>78</v>
      </c>
      <c r="J577" t="s">
        <v>88</v>
      </c>
      <c r="K577">
        <v>0</v>
      </c>
      <c r="L577">
        <v>1</v>
      </c>
      <c r="M577">
        <v>0</v>
      </c>
      <c r="N577">
        <v>1</v>
      </c>
    </row>
    <row r="578" spans="1:14">
      <c r="A578" t="s">
        <v>25</v>
      </c>
      <c r="B578" t="s">
        <v>20</v>
      </c>
      <c r="C578" t="s">
        <v>16</v>
      </c>
      <c r="D578" s="9">
        <v>45853</v>
      </c>
      <c r="E578">
        <v>165</v>
      </c>
      <c r="F578" t="s">
        <v>5</v>
      </c>
      <c r="G578" t="s">
        <v>102</v>
      </c>
      <c r="H578">
        <v>0</v>
      </c>
      <c r="I578" t="s">
        <v>4</v>
      </c>
      <c r="J578" t="s">
        <v>88</v>
      </c>
      <c r="K578">
        <v>0</v>
      </c>
      <c r="L578">
        <v>1</v>
      </c>
      <c r="M578">
        <v>0</v>
      </c>
      <c r="N578">
        <v>1</v>
      </c>
    </row>
    <row r="579" spans="1:14">
      <c r="A579" t="s">
        <v>25</v>
      </c>
      <c r="B579" t="s">
        <v>20</v>
      </c>
      <c r="C579" t="s">
        <v>16</v>
      </c>
      <c r="D579" s="9">
        <v>45853</v>
      </c>
      <c r="E579">
        <v>165</v>
      </c>
      <c r="F579" t="s">
        <v>78</v>
      </c>
      <c r="G579" t="s">
        <v>102</v>
      </c>
      <c r="H579">
        <v>9</v>
      </c>
      <c r="I579" t="s">
        <v>5</v>
      </c>
      <c r="J579" t="s">
        <v>89</v>
      </c>
      <c r="K579">
        <v>1</v>
      </c>
      <c r="L579">
        <v>0</v>
      </c>
      <c r="M579">
        <v>0</v>
      </c>
      <c r="N579">
        <v>1</v>
      </c>
    </row>
    <row r="580" spans="1:14">
      <c r="A580" t="s">
        <v>25</v>
      </c>
      <c r="B580" t="s">
        <v>20</v>
      </c>
      <c r="C580" t="s">
        <v>16</v>
      </c>
      <c r="D580" s="9">
        <v>45853</v>
      </c>
      <c r="E580">
        <v>165</v>
      </c>
      <c r="F580" t="s">
        <v>78</v>
      </c>
      <c r="G580" t="s">
        <v>102</v>
      </c>
      <c r="H580">
        <v>9</v>
      </c>
      <c r="I580" t="s">
        <v>4</v>
      </c>
      <c r="J580" t="s">
        <v>89</v>
      </c>
      <c r="K580">
        <v>1</v>
      </c>
      <c r="L580">
        <v>0</v>
      </c>
      <c r="M580">
        <v>0</v>
      </c>
      <c r="N580">
        <v>1</v>
      </c>
    </row>
    <row r="581" spans="1:14">
      <c r="A581" t="s">
        <v>25</v>
      </c>
      <c r="B581" t="s">
        <v>20</v>
      </c>
      <c r="C581" t="s">
        <v>16</v>
      </c>
      <c r="D581" s="9">
        <v>45853</v>
      </c>
      <c r="E581">
        <v>165</v>
      </c>
      <c r="F581" t="s">
        <v>4</v>
      </c>
      <c r="G581" t="s">
        <v>65</v>
      </c>
      <c r="H581">
        <v>4</v>
      </c>
      <c r="I581" t="s">
        <v>78</v>
      </c>
      <c r="J581" t="s">
        <v>88</v>
      </c>
      <c r="K581">
        <v>0</v>
      </c>
      <c r="L581">
        <v>1</v>
      </c>
      <c r="M581">
        <v>0</v>
      </c>
      <c r="N581">
        <v>1</v>
      </c>
    </row>
    <row r="582" spans="1:14">
      <c r="A582" t="s">
        <v>25</v>
      </c>
      <c r="B582" t="s">
        <v>19</v>
      </c>
      <c r="C582" t="s">
        <v>16</v>
      </c>
      <c r="D582" s="9">
        <v>45853</v>
      </c>
      <c r="E582">
        <v>166</v>
      </c>
      <c r="F582" t="s">
        <v>78</v>
      </c>
      <c r="G582" t="s">
        <v>65</v>
      </c>
      <c r="H582">
        <v>8</v>
      </c>
      <c r="I582" t="s">
        <v>5</v>
      </c>
      <c r="J582" t="s">
        <v>89</v>
      </c>
      <c r="K582">
        <v>1</v>
      </c>
      <c r="L582">
        <v>0</v>
      </c>
      <c r="M582">
        <v>0</v>
      </c>
      <c r="N582">
        <v>1</v>
      </c>
    </row>
    <row r="583" spans="1:14">
      <c r="A583" t="s">
        <v>25</v>
      </c>
      <c r="B583" t="s">
        <v>19</v>
      </c>
      <c r="C583" t="s">
        <v>16</v>
      </c>
      <c r="D583" s="9">
        <v>45853</v>
      </c>
      <c r="E583">
        <v>166</v>
      </c>
      <c r="F583" t="s">
        <v>4</v>
      </c>
      <c r="G583" t="s">
        <v>102</v>
      </c>
      <c r="H583">
        <v>5</v>
      </c>
      <c r="I583" t="s">
        <v>78</v>
      </c>
      <c r="J583" t="s">
        <v>88</v>
      </c>
      <c r="K583">
        <v>0</v>
      </c>
      <c r="L583">
        <v>1</v>
      </c>
      <c r="M583">
        <v>0</v>
      </c>
      <c r="N583">
        <v>1</v>
      </c>
    </row>
    <row r="584" spans="1:14">
      <c r="A584" t="s">
        <v>25</v>
      </c>
      <c r="B584" t="s">
        <v>19</v>
      </c>
      <c r="C584" t="s">
        <v>16</v>
      </c>
      <c r="D584" s="9">
        <v>45853</v>
      </c>
      <c r="E584">
        <v>166</v>
      </c>
      <c r="F584" t="s">
        <v>5</v>
      </c>
      <c r="G584" t="s">
        <v>102</v>
      </c>
      <c r="H584">
        <v>3</v>
      </c>
      <c r="I584" t="s">
        <v>78</v>
      </c>
      <c r="J584" t="s">
        <v>88</v>
      </c>
      <c r="K584">
        <v>0</v>
      </c>
      <c r="L584">
        <v>1</v>
      </c>
      <c r="M584">
        <v>0</v>
      </c>
      <c r="N584">
        <v>1</v>
      </c>
    </row>
    <row r="585" spans="1:14">
      <c r="A585" t="s">
        <v>25</v>
      </c>
      <c r="B585" t="s">
        <v>19</v>
      </c>
      <c r="C585" t="s">
        <v>16</v>
      </c>
      <c r="D585" s="9">
        <v>45853</v>
      </c>
      <c r="E585">
        <v>166</v>
      </c>
      <c r="F585" t="s">
        <v>4</v>
      </c>
      <c r="G585" t="s">
        <v>102</v>
      </c>
      <c r="H585">
        <v>5</v>
      </c>
      <c r="I585" t="s">
        <v>5</v>
      </c>
      <c r="J585" t="s">
        <v>89</v>
      </c>
      <c r="K585">
        <v>1</v>
      </c>
      <c r="L585">
        <v>0</v>
      </c>
      <c r="M585">
        <v>0</v>
      </c>
      <c r="N585">
        <v>1</v>
      </c>
    </row>
    <row r="586" spans="1:14">
      <c r="A586" t="s">
        <v>25</v>
      </c>
      <c r="B586" t="s">
        <v>19</v>
      </c>
      <c r="C586" t="s">
        <v>16</v>
      </c>
      <c r="D586" s="9">
        <v>45853</v>
      </c>
      <c r="E586">
        <v>166</v>
      </c>
      <c r="F586" t="s">
        <v>5</v>
      </c>
      <c r="G586" t="s">
        <v>65</v>
      </c>
      <c r="H586">
        <v>3</v>
      </c>
      <c r="I586" t="s">
        <v>4</v>
      </c>
      <c r="J586" t="s">
        <v>88</v>
      </c>
      <c r="K586">
        <v>0</v>
      </c>
      <c r="L586">
        <v>1</v>
      </c>
      <c r="M586">
        <v>0</v>
      </c>
      <c r="N586">
        <v>1</v>
      </c>
    </row>
    <row r="587" spans="1:14">
      <c r="A587" t="s">
        <v>25</v>
      </c>
      <c r="B587" t="s">
        <v>19</v>
      </c>
      <c r="C587" t="s">
        <v>16</v>
      </c>
      <c r="D587" s="9">
        <v>45853</v>
      </c>
      <c r="E587">
        <v>166</v>
      </c>
      <c r="F587" t="s">
        <v>78</v>
      </c>
      <c r="G587" t="s">
        <v>65</v>
      </c>
      <c r="H587">
        <v>8</v>
      </c>
      <c r="I587" t="s">
        <v>4</v>
      </c>
      <c r="J587" t="s">
        <v>89</v>
      </c>
      <c r="K587">
        <v>1</v>
      </c>
      <c r="L587">
        <v>0</v>
      </c>
      <c r="M587">
        <v>0</v>
      </c>
      <c r="N587">
        <v>1</v>
      </c>
    </row>
    <row r="588" spans="1:14">
      <c r="A588" t="s">
        <v>25</v>
      </c>
      <c r="B588" t="s">
        <v>21</v>
      </c>
      <c r="C588" t="s">
        <v>16</v>
      </c>
      <c r="D588" s="9">
        <v>45853</v>
      </c>
      <c r="E588">
        <v>167</v>
      </c>
      <c r="F588" t="s">
        <v>4</v>
      </c>
      <c r="G588" t="s">
        <v>65</v>
      </c>
      <c r="H588">
        <v>8</v>
      </c>
      <c r="I588" t="s">
        <v>78</v>
      </c>
      <c r="J588" t="s">
        <v>89</v>
      </c>
      <c r="K588">
        <v>1</v>
      </c>
      <c r="L588">
        <v>0</v>
      </c>
      <c r="M588">
        <v>0</v>
      </c>
      <c r="N588">
        <v>1</v>
      </c>
    </row>
    <row r="589" spans="1:14">
      <c r="A589" t="s">
        <v>25</v>
      </c>
      <c r="B589" t="s">
        <v>21</v>
      </c>
      <c r="C589" t="s">
        <v>16</v>
      </c>
      <c r="D589" s="9">
        <v>45853</v>
      </c>
      <c r="E589">
        <v>167</v>
      </c>
      <c r="F589" t="s">
        <v>78</v>
      </c>
      <c r="G589" t="s">
        <v>102</v>
      </c>
      <c r="H589">
        <v>2</v>
      </c>
      <c r="I589" t="s">
        <v>4</v>
      </c>
      <c r="J589" t="s">
        <v>88</v>
      </c>
      <c r="K589">
        <v>0</v>
      </c>
      <c r="L589">
        <v>1</v>
      </c>
      <c r="M589">
        <v>0</v>
      </c>
      <c r="N589">
        <v>1</v>
      </c>
    </row>
    <row r="590" spans="1:14">
      <c r="A590" t="s">
        <v>25</v>
      </c>
      <c r="B590" t="s">
        <v>20</v>
      </c>
      <c r="C590" t="s">
        <v>16</v>
      </c>
      <c r="D590" s="9">
        <v>45854</v>
      </c>
      <c r="E590">
        <v>168</v>
      </c>
      <c r="F590" t="s">
        <v>5</v>
      </c>
      <c r="G590" t="s">
        <v>102</v>
      </c>
      <c r="H590">
        <v>3</v>
      </c>
      <c r="I590" t="s">
        <v>4</v>
      </c>
      <c r="J590" t="s">
        <v>88</v>
      </c>
      <c r="K590">
        <v>0</v>
      </c>
      <c r="L590">
        <v>1</v>
      </c>
      <c r="M590">
        <v>0</v>
      </c>
      <c r="N590">
        <v>1</v>
      </c>
    </row>
    <row r="591" spans="1:14">
      <c r="A591" t="s">
        <v>25</v>
      </c>
      <c r="B591" t="s">
        <v>20</v>
      </c>
      <c r="C591" t="s">
        <v>16</v>
      </c>
      <c r="D591" s="9">
        <v>45854</v>
      </c>
      <c r="E591">
        <v>168</v>
      </c>
      <c r="F591" t="s">
        <v>5</v>
      </c>
      <c r="G591" t="s">
        <v>102</v>
      </c>
      <c r="H591">
        <v>3</v>
      </c>
      <c r="I591" t="s">
        <v>78</v>
      </c>
      <c r="J591" t="s">
        <v>89</v>
      </c>
      <c r="K591">
        <v>1</v>
      </c>
      <c r="L591">
        <v>0</v>
      </c>
      <c r="M591">
        <v>0</v>
      </c>
      <c r="N591">
        <v>1</v>
      </c>
    </row>
    <row r="592" spans="1:14">
      <c r="A592" t="s">
        <v>25</v>
      </c>
      <c r="B592" t="s">
        <v>20</v>
      </c>
      <c r="C592" t="s">
        <v>16</v>
      </c>
      <c r="D592" s="9">
        <v>45854</v>
      </c>
      <c r="E592">
        <v>168</v>
      </c>
      <c r="F592" t="s">
        <v>78</v>
      </c>
      <c r="G592" t="s">
        <v>65</v>
      </c>
      <c r="H592">
        <v>0</v>
      </c>
      <c r="I592" t="s">
        <v>5</v>
      </c>
      <c r="J592" t="s">
        <v>88</v>
      </c>
      <c r="K592">
        <v>0</v>
      </c>
      <c r="L592">
        <v>1</v>
      </c>
      <c r="M592">
        <v>0</v>
      </c>
      <c r="N592">
        <v>1</v>
      </c>
    </row>
    <row r="593" spans="1:14">
      <c r="A593" t="s">
        <v>25</v>
      </c>
      <c r="B593" t="s">
        <v>20</v>
      </c>
      <c r="C593" t="s">
        <v>16</v>
      </c>
      <c r="D593" s="9">
        <v>45854</v>
      </c>
      <c r="E593">
        <v>168</v>
      </c>
      <c r="F593" t="s">
        <v>78</v>
      </c>
      <c r="G593" t="s">
        <v>65</v>
      </c>
      <c r="H593">
        <v>0</v>
      </c>
      <c r="I593" t="s">
        <v>4</v>
      </c>
      <c r="J593" t="s">
        <v>88</v>
      </c>
      <c r="K593">
        <v>0</v>
      </c>
      <c r="L593">
        <v>1</v>
      </c>
      <c r="M593">
        <v>0</v>
      </c>
      <c r="N593">
        <v>1</v>
      </c>
    </row>
    <row r="594" spans="1:14">
      <c r="A594" t="s">
        <v>25</v>
      </c>
      <c r="B594" t="s">
        <v>20</v>
      </c>
      <c r="C594" t="s">
        <v>16</v>
      </c>
      <c r="D594" s="9">
        <v>45854</v>
      </c>
      <c r="E594">
        <v>168</v>
      </c>
      <c r="F594" t="s">
        <v>4</v>
      </c>
      <c r="G594" t="s">
        <v>65</v>
      </c>
      <c r="H594">
        <v>11</v>
      </c>
      <c r="I594" t="s">
        <v>5</v>
      </c>
      <c r="J594" t="s">
        <v>89</v>
      </c>
      <c r="K594">
        <v>1</v>
      </c>
      <c r="L594">
        <v>0</v>
      </c>
      <c r="M594">
        <v>0</v>
      </c>
      <c r="N594">
        <v>1</v>
      </c>
    </row>
    <row r="595" spans="1:14">
      <c r="A595" t="s">
        <v>25</v>
      </c>
      <c r="B595" t="s">
        <v>20</v>
      </c>
      <c r="C595" t="s">
        <v>16</v>
      </c>
      <c r="D595" s="9">
        <v>45854</v>
      </c>
      <c r="E595">
        <v>168</v>
      </c>
      <c r="F595" t="s">
        <v>4</v>
      </c>
      <c r="G595" t="s">
        <v>102</v>
      </c>
      <c r="H595">
        <v>11</v>
      </c>
      <c r="I595" t="s">
        <v>78</v>
      </c>
      <c r="J595" t="s">
        <v>89</v>
      </c>
      <c r="K595">
        <v>1</v>
      </c>
      <c r="L595">
        <v>0</v>
      </c>
      <c r="M595">
        <v>0</v>
      </c>
      <c r="N595">
        <v>1</v>
      </c>
    </row>
    <row r="596" spans="1:14">
      <c r="A596" t="s">
        <v>25</v>
      </c>
      <c r="B596" t="s">
        <v>20</v>
      </c>
      <c r="C596" t="s">
        <v>16</v>
      </c>
      <c r="D596" s="9">
        <v>45854</v>
      </c>
      <c r="E596">
        <v>169</v>
      </c>
      <c r="F596" t="s">
        <v>5</v>
      </c>
      <c r="G596" t="s">
        <v>65</v>
      </c>
      <c r="H596">
        <v>1</v>
      </c>
      <c r="I596" t="s">
        <v>78</v>
      </c>
      <c r="J596" t="s">
        <v>88</v>
      </c>
      <c r="K596">
        <v>0</v>
      </c>
      <c r="L596">
        <v>1</v>
      </c>
      <c r="M596">
        <v>0</v>
      </c>
      <c r="N596">
        <v>1</v>
      </c>
    </row>
    <row r="597" spans="1:14">
      <c r="A597" t="s">
        <v>25</v>
      </c>
      <c r="B597" t="s">
        <v>20</v>
      </c>
      <c r="C597" t="s">
        <v>16</v>
      </c>
      <c r="D597" s="9">
        <v>45854</v>
      </c>
      <c r="E597">
        <v>169</v>
      </c>
      <c r="F597" t="s">
        <v>78</v>
      </c>
      <c r="G597" t="s">
        <v>102</v>
      </c>
      <c r="H597">
        <v>2</v>
      </c>
      <c r="I597" t="s">
        <v>5</v>
      </c>
      <c r="J597" t="s">
        <v>89</v>
      </c>
      <c r="K597">
        <v>1</v>
      </c>
      <c r="L597">
        <v>0</v>
      </c>
      <c r="M597">
        <v>0</v>
      </c>
      <c r="N597">
        <v>1</v>
      </c>
    </row>
    <row r="598" spans="1:14">
      <c r="A598" t="s">
        <v>25</v>
      </c>
      <c r="B598" t="s">
        <v>20</v>
      </c>
      <c r="C598" t="s">
        <v>16</v>
      </c>
      <c r="D598" s="9">
        <v>45854</v>
      </c>
      <c r="E598">
        <v>169</v>
      </c>
      <c r="F598" t="s">
        <v>5</v>
      </c>
      <c r="G598" t="s">
        <v>102</v>
      </c>
      <c r="H598">
        <v>1</v>
      </c>
      <c r="I598" t="s">
        <v>4</v>
      </c>
      <c r="J598" t="s">
        <v>88</v>
      </c>
      <c r="K598">
        <v>0</v>
      </c>
      <c r="L598">
        <v>1</v>
      </c>
      <c r="M598">
        <v>0</v>
      </c>
      <c r="N598">
        <v>1</v>
      </c>
    </row>
    <row r="599" spans="1:14">
      <c r="A599" t="s">
        <v>25</v>
      </c>
      <c r="B599" t="s">
        <v>20</v>
      </c>
      <c r="C599" t="s">
        <v>16</v>
      </c>
      <c r="D599" s="9">
        <v>45854</v>
      </c>
      <c r="E599">
        <v>169</v>
      </c>
      <c r="F599" t="s">
        <v>78</v>
      </c>
      <c r="G599" t="s">
        <v>102</v>
      </c>
      <c r="H599">
        <v>2</v>
      </c>
      <c r="I599" t="s">
        <v>4</v>
      </c>
      <c r="J599" t="s">
        <v>88</v>
      </c>
      <c r="K599">
        <v>0</v>
      </c>
      <c r="L599">
        <v>1</v>
      </c>
      <c r="M599">
        <v>0</v>
      </c>
      <c r="N599">
        <v>1</v>
      </c>
    </row>
    <row r="600" spans="1:14">
      <c r="A600" t="s">
        <v>25</v>
      </c>
      <c r="B600" t="s">
        <v>20</v>
      </c>
      <c r="C600" t="s">
        <v>16</v>
      </c>
      <c r="D600" s="9">
        <v>45854</v>
      </c>
      <c r="E600">
        <v>169</v>
      </c>
      <c r="F600" t="s">
        <v>4</v>
      </c>
      <c r="G600" t="s">
        <v>65</v>
      </c>
      <c r="H600">
        <v>8</v>
      </c>
      <c r="I600" t="s">
        <v>78</v>
      </c>
      <c r="J600" t="s">
        <v>89</v>
      </c>
      <c r="K600">
        <v>1</v>
      </c>
      <c r="L600">
        <v>0</v>
      </c>
      <c r="M600">
        <v>0</v>
      </c>
      <c r="N600">
        <v>1</v>
      </c>
    </row>
    <row r="601" spans="1:14">
      <c r="A601" t="s">
        <v>25</v>
      </c>
      <c r="B601" t="s">
        <v>20</v>
      </c>
      <c r="C601" t="s">
        <v>16</v>
      </c>
      <c r="D601" s="9">
        <v>45854</v>
      </c>
      <c r="E601">
        <v>169</v>
      </c>
      <c r="F601" t="s">
        <v>4</v>
      </c>
      <c r="G601" t="s">
        <v>65</v>
      </c>
      <c r="H601">
        <v>8</v>
      </c>
      <c r="I601" t="s">
        <v>5</v>
      </c>
      <c r="J601" t="s">
        <v>89</v>
      </c>
      <c r="K601">
        <v>1</v>
      </c>
      <c r="L601">
        <v>0</v>
      </c>
      <c r="M601">
        <v>0</v>
      </c>
      <c r="N601">
        <v>1</v>
      </c>
    </row>
    <row r="602" spans="1:14">
      <c r="A602" t="s">
        <v>25</v>
      </c>
      <c r="B602" t="s">
        <v>20</v>
      </c>
      <c r="C602" t="s">
        <v>16</v>
      </c>
      <c r="D602" s="9">
        <v>45855</v>
      </c>
      <c r="E602">
        <v>170</v>
      </c>
      <c r="F602" t="s">
        <v>4</v>
      </c>
      <c r="G602" t="s">
        <v>65</v>
      </c>
      <c r="H602">
        <v>4</v>
      </c>
      <c r="I602" t="s">
        <v>5</v>
      </c>
      <c r="J602" t="s">
        <v>88</v>
      </c>
      <c r="K602">
        <v>0</v>
      </c>
      <c r="L602">
        <v>1</v>
      </c>
      <c r="M602">
        <v>0</v>
      </c>
      <c r="N602">
        <v>1</v>
      </c>
    </row>
    <row r="603" spans="1:14">
      <c r="A603" t="s">
        <v>25</v>
      </c>
      <c r="B603" t="s">
        <v>20</v>
      </c>
      <c r="C603" t="s">
        <v>16</v>
      </c>
      <c r="D603" s="9">
        <v>45855</v>
      </c>
      <c r="E603">
        <v>170</v>
      </c>
      <c r="F603" t="s">
        <v>4</v>
      </c>
      <c r="G603" t="s">
        <v>65</v>
      </c>
      <c r="H603">
        <v>4</v>
      </c>
      <c r="I603" t="s">
        <v>78</v>
      </c>
      <c r="J603" t="s">
        <v>89</v>
      </c>
      <c r="K603">
        <v>1</v>
      </c>
      <c r="L603">
        <v>0</v>
      </c>
      <c r="M603">
        <v>0</v>
      </c>
      <c r="N603">
        <v>1</v>
      </c>
    </row>
    <row r="604" spans="1:14">
      <c r="A604" t="s">
        <v>25</v>
      </c>
      <c r="B604" t="s">
        <v>20</v>
      </c>
      <c r="C604" t="s">
        <v>16</v>
      </c>
      <c r="D604" s="9">
        <v>45855</v>
      </c>
      <c r="E604">
        <v>170</v>
      </c>
      <c r="F604" t="s">
        <v>78</v>
      </c>
      <c r="G604" t="s">
        <v>102</v>
      </c>
      <c r="H604">
        <v>3</v>
      </c>
      <c r="I604" t="s">
        <v>4</v>
      </c>
      <c r="J604" t="s">
        <v>88</v>
      </c>
      <c r="K604">
        <v>0</v>
      </c>
      <c r="L604">
        <v>1</v>
      </c>
      <c r="M604">
        <v>0</v>
      </c>
      <c r="N604">
        <v>1</v>
      </c>
    </row>
    <row r="605" spans="1:14">
      <c r="A605" t="s">
        <v>25</v>
      </c>
      <c r="B605" t="s">
        <v>20</v>
      </c>
      <c r="C605" t="s">
        <v>16</v>
      </c>
      <c r="D605" s="9">
        <v>45855</v>
      </c>
      <c r="E605">
        <v>170</v>
      </c>
      <c r="F605" t="s">
        <v>78</v>
      </c>
      <c r="G605" t="s">
        <v>102</v>
      </c>
      <c r="H605">
        <v>3</v>
      </c>
      <c r="I605" t="s">
        <v>5</v>
      </c>
      <c r="J605" t="s">
        <v>88</v>
      </c>
      <c r="K605">
        <v>0</v>
      </c>
      <c r="L605">
        <v>1</v>
      </c>
      <c r="M605">
        <v>0</v>
      </c>
      <c r="N605">
        <v>1</v>
      </c>
    </row>
    <row r="606" spans="1:14">
      <c r="A606" t="s">
        <v>25</v>
      </c>
      <c r="B606" t="s">
        <v>20</v>
      </c>
      <c r="C606" t="s">
        <v>16</v>
      </c>
      <c r="D606" s="9">
        <v>45855</v>
      </c>
      <c r="E606">
        <v>170</v>
      </c>
      <c r="F606" t="s">
        <v>5</v>
      </c>
      <c r="G606" t="s">
        <v>102</v>
      </c>
      <c r="H606">
        <v>9</v>
      </c>
      <c r="I606" t="s">
        <v>4</v>
      </c>
      <c r="J606" t="s">
        <v>89</v>
      </c>
      <c r="K606">
        <v>1</v>
      </c>
      <c r="L606">
        <v>0</v>
      </c>
      <c r="M606">
        <v>0</v>
      </c>
      <c r="N606">
        <v>1</v>
      </c>
    </row>
    <row r="607" spans="1:14">
      <c r="A607" t="s">
        <v>25</v>
      </c>
      <c r="B607" t="s">
        <v>20</v>
      </c>
      <c r="C607" t="s">
        <v>16</v>
      </c>
      <c r="D607" s="9">
        <v>45855</v>
      </c>
      <c r="E607">
        <v>170</v>
      </c>
      <c r="F607" t="s">
        <v>5</v>
      </c>
      <c r="G607" t="s">
        <v>65</v>
      </c>
      <c r="H607">
        <v>9</v>
      </c>
      <c r="I607" t="s">
        <v>78</v>
      </c>
      <c r="J607" t="s">
        <v>89</v>
      </c>
      <c r="K607">
        <v>1</v>
      </c>
      <c r="L607">
        <v>0</v>
      </c>
      <c r="M607">
        <v>0</v>
      </c>
      <c r="N607">
        <v>1</v>
      </c>
    </row>
    <row r="608" spans="1:14">
      <c r="A608" t="s">
        <v>25</v>
      </c>
      <c r="B608" t="s">
        <v>20</v>
      </c>
      <c r="C608" t="s">
        <v>16</v>
      </c>
      <c r="D608" s="9">
        <v>45855</v>
      </c>
      <c r="E608">
        <v>171</v>
      </c>
      <c r="F608" t="s">
        <v>4</v>
      </c>
      <c r="G608" t="s">
        <v>65</v>
      </c>
      <c r="H608">
        <v>5</v>
      </c>
      <c r="I608" t="s">
        <v>5</v>
      </c>
      <c r="J608" t="s">
        <v>88</v>
      </c>
      <c r="K608">
        <v>0</v>
      </c>
      <c r="L608">
        <v>1</v>
      </c>
      <c r="M608">
        <v>0</v>
      </c>
      <c r="N608">
        <v>1</v>
      </c>
    </row>
    <row r="609" spans="1:14">
      <c r="A609" t="s">
        <v>25</v>
      </c>
      <c r="B609" t="s">
        <v>20</v>
      </c>
      <c r="C609" t="s">
        <v>16</v>
      </c>
      <c r="D609" s="9">
        <v>45855</v>
      </c>
      <c r="E609">
        <v>171</v>
      </c>
      <c r="F609" t="s">
        <v>5</v>
      </c>
      <c r="G609" t="s">
        <v>102</v>
      </c>
      <c r="H609">
        <v>6</v>
      </c>
      <c r="I609" t="s">
        <v>78</v>
      </c>
      <c r="J609" t="s">
        <v>89</v>
      </c>
      <c r="K609">
        <v>1</v>
      </c>
      <c r="L609">
        <v>0</v>
      </c>
      <c r="M609">
        <v>0</v>
      </c>
      <c r="N609">
        <v>1</v>
      </c>
    </row>
    <row r="610" spans="1:14">
      <c r="A610" t="s">
        <v>25</v>
      </c>
      <c r="B610" t="s">
        <v>20</v>
      </c>
      <c r="C610" t="s">
        <v>16</v>
      </c>
      <c r="D610" s="9">
        <v>45855</v>
      </c>
      <c r="E610">
        <v>171</v>
      </c>
      <c r="F610" t="s">
        <v>5</v>
      </c>
      <c r="G610" t="s">
        <v>102</v>
      </c>
      <c r="H610">
        <v>6</v>
      </c>
      <c r="I610" t="s">
        <v>4</v>
      </c>
      <c r="J610" t="s">
        <v>89</v>
      </c>
      <c r="K610">
        <v>1</v>
      </c>
      <c r="L610">
        <v>0</v>
      </c>
      <c r="M610">
        <v>0</v>
      </c>
      <c r="N610">
        <v>1</v>
      </c>
    </row>
    <row r="611" spans="1:14">
      <c r="A611" t="s">
        <v>25</v>
      </c>
      <c r="B611" t="s">
        <v>20</v>
      </c>
      <c r="C611" t="s">
        <v>16</v>
      </c>
      <c r="D611" s="9">
        <v>45855</v>
      </c>
      <c r="E611">
        <v>171</v>
      </c>
      <c r="F611" t="s">
        <v>78</v>
      </c>
      <c r="G611" t="s">
        <v>65</v>
      </c>
      <c r="H611">
        <v>1</v>
      </c>
      <c r="I611" t="s">
        <v>5</v>
      </c>
      <c r="J611" t="s">
        <v>88</v>
      </c>
      <c r="K611">
        <v>0</v>
      </c>
      <c r="L611">
        <v>1</v>
      </c>
      <c r="M611">
        <v>0</v>
      </c>
      <c r="N611">
        <v>1</v>
      </c>
    </row>
    <row r="612" spans="1:14">
      <c r="A612" t="s">
        <v>25</v>
      </c>
      <c r="B612" t="s">
        <v>20</v>
      </c>
      <c r="C612" t="s">
        <v>16</v>
      </c>
      <c r="D612" s="9">
        <v>45855</v>
      </c>
      <c r="E612">
        <v>171</v>
      </c>
      <c r="F612" t="s">
        <v>4</v>
      </c>
      <c r="G612" t="s">
        <v>102</v>
      </c>
      <c r="H612">
        <v>5</v>
      </c>
      <c r="I612" t="s">
        <v>78</v>
      </c>
      <c r="J612" t="s">
        <v>89</v>
      </c>
      <c r="K612">
        <v>1</v>
      </c>
      <c r="L612">
        <v>0</v>
      </c>
      <c r="M612">
        <v>0</v>
      </c>
      <c r="N612">
        <v>1</v>
      </c>
    </row>
    <row r="613" spans="1:14">
      <c r="A613" t="s">
        <v>25</v>
      </c>
      <c r="B613" t="s">
        <v>20</v>
      </c>
      <c r="C613" t="s">
        <v>16</v>
      </c>
      <c r="D613" s="9">
        <v>45855</v>
      </c>
      <c r="E613">
        <v>171</v>
      </c>
      <c r="F613" t="s">
        <v>78</v>
      </c>
      <c r="G613" t="s">
        <v>65</v>
      </c>
      <c r="H613">
        <v>1</v>
      </c>
      <c r="I613" t="s">
        <v>4</v>
      </c>
      <c r="J613" t="s">
        <v>88</v>
      </c>
      <c r="K613">
        <v>0</v>
      </c>
      <c r="L613">
        <v>1</v>
      </c>
      <c r="M613">
        <v>0</v>
      </c>
      <c r="N613">
        <v>1</v>
      </c>
    </row>
    <row r="614" spans="1:14">
      <c r="A614" t="s">
        <v>25</v>
      </c>
      <c r="B614" t="s">
        <v>20</v>
      </c>
      <c r="C614" t="s">
        <v>16</v>
      </c>
      <c r="D614" s="9">
        <v>45855</v>
      </c>
      <c r="E614">
        <v>172</v>
      </c>
      <c r="F614" t="s">
        <v>78</v>
      </c>
      <c r="G614" t="s">
        <v>65</v>
      </c>
      <c r="H614">
        <v>0</v>
      </c>
      <c r="I614" t="s">
        <v>4</v>
      </c>
      <c r="J614" t="s">
        <v>88</v>
      </c>
      <c r="K614">
        <v>0</v>
      </c>
      <c r="L614">
        <v>1</v>
      </c>
      <c r="M614">
        <v>0</v>
      </c>
      <c r="N614">
        <v>1</v>
      </c>
    </row>
    <row r="615" spans="1:14">
      <c r="A615" t="s">
        <v>25</v>
      </c>
      <c r="B615" t="s">
        <v>20</v>
      </c>
      <c r="C615" t="s">
        <v>16</v>
      </c>
      <c r="D615" s="9">
        <v>45855</v>
      </c>
      <c r="E615">
        <v>172</v>
      </c>
      <c r="F615" t="s">
        <v>4</v>
      </c>
      <c r="G615" t="s">
        <v>102</v>
      </c>
      <c r="H615">
        <v>12</v>
      </c>
      <c r="I615" t="s">
        <v>78</v>
      </c>
      <c r="J615" t="s">
        <v>89</v>
      </c>
      <c r="K615">
        <v>1</v>
      </c>
      <c r="L615">
        <v>0</v>
      </c>
      <c r="M615">
        <v>0</v>
      </c>
      <c r="N615">
        <v>1</v>
      </c>
    </row>
    <row r="616" spans="1:14">
      <c r="A616" t="s">
        <v>25</v>
      </c>
      <c r="B616" t="s">
        <v>20</v>
      </c>
      <c r="C616" t="s">
        <v>16</v>
      </c>
      <c r="D616" s="9">
        <v>45859</v>
      </c>
      <c r="E616">
        <v>173</v>
      </c>
      <c r="F616" t="s">
        <v>78</v>
      </c>
      <c r="G616" t="s">
        <v>102</v>
      </c>
      <c r="H616">
        <v>0</v>
      </c>
      <c r="I616" t="s">
        <v>5</v>
      </c>
      <c r="J616" t="s">
        <v>88</v>
      </c>
      <c r="K616">
        <v>0</v>
      </c>
      <c r="L616">
        <v>1</v>
      </c>
      <c r="M616">
        <v>0</v>
      </c>
      <c r="N616">
        <v>1</v>
      </c>
    </row>
    <row r="617" spans="1:14">
      <c r="A617" t="s">
        <v>25</v>
      </c>
      <c r="B617" t="s">
        <v>20</v>
      </c>
      <c r="C617" t="s">
        <v>16</v>
      </c>
      <c r="D617" s="9">
        <v>45859</v>
      </c>
      <c r="E617">
        <v>173</v>
      </c>
      <c r="F617" t="s">
        <v>5</v>
      </c>
      <c r="G617" t="s">
        <v>65</v>
      </c>
      <c r="H617">
        <v>1</v>
      </c>
      <c r="I617" t="s">
        <v>78</v>
      </c>
      <c r="J617" t="s">
        <v>89</v>
      </c>
      <c r="K617">
        <v>1</v>
      </c>
      <c r="L617">
        <v>0</v>
      </c>
      <c r="M617">
        <v>0</v>
      </c>
      <c r="N617">
        <v>1</v>
      </c>
    </row>
    <row r="618" spans="1:14">
      <c r="A618" t="s">
        <v>25</v>
      </c>
      <c r="B618" t="s">
        <v>20</v>
      </c>
      <c r="C618" t="s">
        <v>16</v>
      </c>
      <c r="D618" s="9">
        <v>45859</v>
      </c>
      <c r="E618">
        <v>174</v>
      </c>
      <c r="F618" t="s">
        <v>78</v>
      </c>
      <c r="G618" t="s">
        <v>65</v>
      </c>
      <c r="H618">
        <v>3</v>
      </c>
      <c r="I618" t="s">
        <v>5</v>
      </c>
      <c r="J618" t="s">
        <v>88</v>
      </c>
      <c r="K618">
        <v>0</v>
      </c>
      <c r="L618">
        <v>1</v>
      </c>
      <c r="M618">
        <v>0</v>
      </c>
      <c r="N618">
        <v>1</v>
      </c>
    </row>
    <row r="619" spans="1:14">
      <c r="A619" t="s">
        <v>25</v>
      </c>
      <c r="B619" t="s">
        <v>20</v>
      </c>
      <c r="C619" t="s">
        <v>16</v>
      </c>
      <c r="D619" s="9">
        <v>45859</v>
      </c>
      <c r="E619">
        <v>174</v>
      </c>
      <c r="F619" t="s">
        <v>5</v>
      </c>
      <c r="G619" t="s">
        <v>102</v>
      </c>
      <c r="H619">
        <v>5</v>
      </c>
      <c r="I619" t="s">
        <v>78</v>
      </c>
      <c r="J619" t="s">
        <v>89</v>
      </c>
      <c r="K619">
        <v>1</v>
      </c>
      <c r="L619">
        <v>0</v>
      </c>
      <c r="M619">
        <v>0</v>
      </c>
      <c r="N619">
        <v>1</v>
      </c>
    </row>
    <row r="620" spans="1:14">
      <c r="A620" t="s">
        <v>25</v>
      </c>
      <c r="B620" t="s">
        <v>19</v>
      </c>
      <c r="C620" t="s">
        <v>16</v>
      </c>
      <c r="D620" s="9">
        <v>45859</v>
      </c>
      <c r="E620">
        <v>175</v>
      </c>
      <c r="F620" t="s">
        <v>5</v>
      </c>
      <c r="G620" t="s">
        <v>102</v>
      </c>
      <c r="H620">
        <v>4</v>
      </c>
      <c r="I620" t="s">
        <v>78</v>
      </c>
      <c r="J620" t="s">
        <v>89</v>
      </c>
      <c r="K620">
        <v>1</v>
      </c>
      <c r="L620">
        <v>0</v>
      </c>
      <c r="M620">
        <v>0</v>
      </c>
      <c r="N620">
        <v>1</v>
      </c>
    </row>
    <row r="621" spans="1:14">
      <c r="A621" t="s">
        <v>25</v>
      </c>
      <c r="B621" t="s">
        <v>19</v>
      </c>
      <c r="C621" t="s">
        <v>16</v>
      </c>
      <c r="D621" s="9">
        <v>45859</v>
      </c>
      <c r="E621">
        <v>175</v>
      </c>
      <c r="F621" t="s">
        <v>78</v>
      </c>
      <c r="G621" t="s">
        <v>65</v>
      </c>
      <c r="H621">
        <v>1</v>
      </c>
      <c r="I621" t="s">
        <v>5</v>
      </c>
      <c r="J621" t="s">
        <v>88</v>
      </c>
      <c r="K621">
        <v>0</v>
      </c>
      <c r="L621">
        <v>1</v>
      </c>
      <c r="M621">
        <v>0</v>
      </c>
      <c r="N621">
        <v>1</v>
      </c>
    </row>
    <row r="622" spans="1:14">
      <c r="A622" t="s">
        <v>25</v>
      </c>
      <c r="B622" t="s">
        <v>20</v>
      </c>
      <c r="C622" t="s">
        <v>16</v>
      </c>
      <c r="D622" s="9">
        <v>45860</v>
      </c>
      <c r="E622">
        <v>176</v>
      </c>
      <c r="F622" t="s">
        <v>5</v>
      </c>
      <c r="G622" t="s">
        <v>102</v>
      </c>
      <c r="H622">
        <v>6</v>
      </c>
      <c r="I622" t="s">
        <v>4</v>
      </c>
      <c r="J622" t="s">
        <v>88</v>
      </c>
      <c r="K622">
        <v>0</v>
      </c>
      <c r="L622">
        <v>1</v>
      </c>
      <c r="M622">
        <v>0</v>
      </c>
      <c r="N622">
        <v>1</v>
      </c>
    </row>
    <row r="623" spans="1:14">
      <c r="A623" t="s">
        <v>25</v>
      </c>
      <c r="B623" t="s">
        <v>20</v>
      </c>
      <c r="C623" t="s">
        <v>16</v>
      </c>
      <c r="D623" s="9">
        <v>45860</v>
      </c>
      <c r="E623">
        <v>176</v>
      </c>
      <c r="F623" t="s">
        <v>4</v>
      </c>
      <c r="G623" t="s">
        <v>65</v>
      </c>
      <c r="H623">
        <v>8</v>
      </c>
      <c r="I623" t="s">
        <v>5</v>
      </c>
      <c r="J623" t="s">
        <v>89</v>
      </c>
      <c r="K623">
        <v>1</v>
      </c>
      <c r="L623">
        <v>0</v>
      </c>
      <c r="M623">
        <v>0</v>
      </c>
      <c r="N623">
        <v>1</v>
      </c>
    </row>
    <row r="624" spans="1:14">
      <c r="A624" t="s">
        <v>25</v>
      </c>
      <c r="B624" t="s">
        <v>19</v>
      </c>
      <c r="C624" t="s">
        <v>16</v>
      </c>
      <c r="D624" s="9">
        <v>45860</v>
      </c>
      <c r="E624">
        <v>177</v>
      </c>
      <c r="F624" t="s">
        <v>5</v>
      </c>
      <c r="G624" t="s">
        <v>65</v>
      </c>
      <c r="H624">
        <v>7</v>
      </c>
      <c r="I624" t="s">
        <v>4</v>
      </c>
      <c r="J624" t="s">
        <v>89</v>
      </c>
      <c r="K624">
        <v>1</v>
      </c>
      <c r="L624">
        <v>0</v>
      </c>
      <c r="M624">
        <v>0</v>
      </c>
      <c r="N624">
        <v>1</v>
      </c>
    </row>
    <row r="625" spans="1:14">
      <c r="A625" t="s">
        <v>25</v>
      </c>
      <c r="B625" t="s">
        <v>19</v>
      </c>
      <c r="C625" t="s">
        <v>16</v>
      </c>
      <c r="D625" s="9">
        <v>45860</v>
      </c>
      <c r="E625">
        <v>177</v>
      </c>
      <c r="F625" t="s">
        <v>4</v>
      </c>
      <c r="G625" t="s">
        <v>102</v>
      </c>
      <c r="H625">
        <v>3</v>
      </c>
      <c r="I625" t="s">
        <v>5</v>
      </c>
      <c r="J625" t="s">
        <v>88</v>
      </c>
      <c r="K625">
        <v>0</v>
      </c>
      <c r="L625">
        <v>1</v>
      </c>
      <c r="M625">
        <v>0</v>
      </c>
      <c r="N625">
        <v>1</v>
      </c>
    </row>
    <row r="626" spans="1:14">
      <c r="A626" t="s">
        <v>25</v>
      </c>
      <c r="B626" t="s">
        <v>20</v>
      </c>
      <c r="C626" t="s">
        <v>16</v>
      </c>
      <c r="D626" s="9">
        <v>45861</v>
      </c>
      <c r="E626">
        <v>178</v>
      </c>
      <c r="F626" t="s">
        <v>4</v>
      </c>
      <c r="G626" t="s">
        <v>65</v>
      </c>
      <c r="H626">
        <v>9</v>
      </c>
      <c r="I626" t="s">
        <v>5</v>
      </c>
      <c r="J626" t="s">
        <v>89</v>
      </c>
      <c r="K626">
        <v>1</v>
      </c>
      <c r="L626">
        <v>0</v>
      </c>
      <c r="M626">
        <v>0</v>
      </c>
      <c r="N626">
        <v>1</v>
      </c>
    </row>
    <row r="627" spans="1:14">
      <c r="A627" t="s">
        <v>25</v>
      </c>
      <c r="B627" t="s">
        <v>20</v>
      </c>
      <c r="C627" t="s">
        <v>16</v>
      </c>
      <c r="D627" s="9">
        <v>45861</v>
      </c>
      <c r="E627">
        <v>178</v>
      </c>
      <c r="F627" t="s">
        <v>4</v>
      </c>
      <c r="G627" t="s">
        <v>65</v>
      </c>
      <c r="H627">
        <v>9</v>
      </c>
      <c r="I627" t="s">
        <v>6</v>
      </c>
      <c r="J627" t="s">
        <v>89</v>
      </c>
      <c r="K627">
        <v>1</v>
      </c>
      <c r="L627">
        <v>0</v>
      </c>
      <c r="M627">
        <v>0</v>
      </c>
      <c r="N627">
        <v>1</v>
      </c>
    </row>
    <row r="628" spans="1:14">
      <c r="A628" t="s">
        <v>25</v>
      </c>
      <c r="B628" t="s">
        <v>20</v>
      </c>
      <c r="C628" t="s">
        <v>16</v>
      </c>
      <c r="D628" s="9">
        <v>45861</v>
      </c>
      <c r="E628">
        <v>178</v>
      </c>
      <c r="F628" t="s">
        <v>5</v>
      </c>
      <c r="G628" t="s">
        <v>102</v>
      </c>
      <c r="H628">
        <v>5</v>
      </c>
      <c r="I628" t="s">
        <v>4</v>
      </c>
      <c r="J628" t="s">
        <v>88</v>
      </c>
      <c r="K628">
        <v>0</v>
      </c>
      <c r="L628">
        <v>1</v>
      </c>
      <c r="M628">
        <v>0</v>
      </c>
      <c r="N628">
        <v>1</v>
      </c>
    </row>
    <row r="629" spans="1:14">
      <c r="A629" t="s">
        <v>25</v>
      </c>
      <c r="B629" t="s">
        <v>20</v>
      </c>
      <c r="C629" t="s">
        <v>16</v>
      </c>
      <c r="D629" s="9">
        <v>45861</v>
      </c>
      <c r="E629">
        <v>178</v>
      </c>
      <c r="F629" t="s">
        <v>5</v>
      </c>
      <c r="G629" t="s">
        <v>65</v>
      </c>
      <c r="H629">
        <v>5</v>
      </c>
      <c r="I629" t="s">
        <v>6</v>
      </c>
      <c r="J629" t="s">
        <v>89</v>
      </c>
      <c r="K629">
        <v>1</v>
      </c>
      <c r="L629">
        <v>0</v>
      </c>
      <c r="M629">
        <v>0</v>
      </c>
      <c r="N629">
        <v>1</v>
      </c>
    </row>
    <row r="630" spans="1:14">
      <c r="A630" t="s">
        <v>25</v>
      </c>
      <c r="B630" t="s">
        <v>20</v>
      </c>
      <c r="C630" t="s">
        <v>16</v>
      </c>
      <c r="D630" s="9">
        <v>45861</v>
      </c>
      <c r="E630">
        <v>178</v>
      </c>
      <c r="F630" t="s">
        <v>6</v>
      </c>
      <c r="G630" t="s">
        <v>102</v>
      </c>
      <c r="H630">
        <v>2</v>
      </c>
      <c r="I630" t="s">
        <v>4</v>
      </c>
      <c r="J630" t="s">
        <v>88</v>
      </c>
      <c r="K630">
        <v>0</v>
      </c>
      <c r="L630">
        <v>1</v>
      </c>
      <c r="M630">
        <v>0</v>
      </c>
      <c r="N630">
        <v>1</v>
      </c>
    </row>
    <row r="631" spans="1:14">
      <c r="A631" t="s">
        <v>25</v>
      </c>
      <c r="B631" t="s">
        <v>20</v>
      </c>
      <c r="C631" t="s">
        <v>16</v>
      </c>
      <c r="D631" s="9">
        <v>45861</v>
      </c>
      <c r="E631">
        <v>178</v>
      </c>
      <c r="F631" t="s">
        <v>6</v>
      </c>
      <c r="G631" t="s">
        <v>102</v>
      </c>
      <c r="H631">
        <v>2</v>
      </c>
      <c r="I631" t="s">
        <v>5</v>
      </c>
      <c r="J631" t="s">
        <v>88</v>
      </c>
      <c r="K631">
        <v>0</v>
      </c>
      <c r="L631">
        <v>1</v>
      </c>
      <c r="M631">
        <v>0</v>
      </c>
      <c r="N631">
        <v>1</v>
      </c>
    </row>
    <row r="632" spans="1:14">
      <c r="A632" t="s">
        <v>25</v>
      </c>
      <c r="B632" t="s">
        <v>20</v>
      </c>
      <c r="C632" t="s">
        <v>16</v>
      </c>
      <c r="D632" s="9">
        <v>45861</v>
      </c>
      <c r="E632">
        <v>179</v>
      </c>
      <c r="F632" t="s">
        <v>4</v>
      </c>
      <c r="G632" t="s">
        <v>102</v>
      </c>
      <c r="H632">
        <v>6</v>
      </c>
      <c r="I632" t="s">
        <v>5</v>
      </c>
      <c r="J632" t="s">
        <v>89</v>
      </c>
      <c r="K632">
        <v>1</v>
      </c>
      <c r="L632">
        <v>0</v>
      </c>
      <c r="M632">
        <v>0</v>
      </c>
      <c r="N632">
        <v>1</v>
      </c>
    </row>
    <row r="633" spans="1:14">
      <c r="A633" t="s">
        <v>25</v>
      </c>
      <c r="B633" t="s">
        <v>20</v>
      </c>
      <c r="C633" t="s">
        <v>16</v>
      </c>
      <c r="D633" s="9">
        <v>45861</v>
      </c>
      <c r="E633">
        <v>179</v>
      </c>
      <c r="F633" t="s">
        <v>5</v>
      </c>
      <c r="G633" t="s">
        <v>65</v>
      </c>
      <c r="H633">
        <v>3</v>
      </c>
      <c r="I633" t="s">
        <v>4</v>
      </c>
      <c r="J633" t="s">
        <v>88</v>
      </c>
      <c r="K633">
        <v>0</v>
      </c>
      <c r="L633">
        <v>1</v>
      </c>
      <c r="M633">
        <v>0</v>
      </c>
      <c r="N633">
        <v>1</v>
      </c>
    </row>
    <row r="634" spans="1:14">
      <c r="A634" t="s">
        <v>25</v>
      </c>
      <c r="B634" t="s">
        <v>20</v>
      </c>
      <c r="C634" t="s">
        <v>16</v>
      </c>
      <c r="D634" s="9">
        <v>45862</v>
      </c>
      <c r="E634">
        <v>180</v>
      </c>
      <c r="F634" t="s">
        <v>5</v>
      </c>
      <c r="G634" t="s">
        <v>102</v>
      </c>
      <c r="H634">
        <v>5</v>
      </c>
      <c r="I634" t="s">
        <v>6</v>
      </c>
      <c r="J634" t="s">
        <v>88</v>
      </c>
      <c r="K634">
        <v>0</v>
      </c>
      <c r="L634">
        <v>1</v>
      </c>
      <c r="M634">
        <v>0</v>
      </c>
      <c r="N634">
        <v>1</v>
      </c>
    </row>
    <row r="635" spans="1:14">
      <c r="A635" t="s">
        <v>25</v>
      </c>
      <c r="B635" t="s">
        <v>20</v>
      </c>
      <c r="C635" t="s">
        <v>16</v>
      </c>
      <c r="D635" s="9">
        <v>45862</v>
      </c>
      <c r="E635">
        <v>180</v>
      </c>
      <c r="F635" t="s">
        <v>6</v>
      </c>
      <c r="G635" t="s">
        <v>65</v>
      </c>
      <c r="H635">
        <v>8</v>
      </c>
      <c r="I635" t="s">
        <v>5</v>
      </c>
      <c r="J635" t="s">
        <v>89</v>
      </c>
      <c r="K635">
        <v>1</v>
      </c>
      <c r="L635">
        <v>0</v>
      </c>
      <c r="M635">
        <v>0</v>
      </c>
      <c r="N635">
        <v>1</v>
      </c>
    </row>
    <row r="636" spans="1:14">
      <c r="A636" t="s">
        <v>25</v>
      </c>
      <c r="B636" t="s">
        <v>20</v>
      </c>
      <c r="C636" t="s">
        <v>16</v>
      </c>
      <c r="D636" s="9">
        <v>45863</v>
      </c>
      <c r="E636">
        <v>181</v>
      </c>
      <c r="F636" t="s">
        <v>6</v>
      </c>
      <c r="G636" t="s">
        <v>102</v>
      </c>
      <c r="H636">
        <v>0</v>
      </c>
      <c r="I636" t="s">
        <v>5</v>
      </c>
      <c r="J636" t="s">
        <v>88</v>
      </c>
      <c r="K636">
        <v>0</v>
      </c>
      <c r="L636">
        <v>1</v>
      </c>
      <c r="M636">
        <v>0</v>
      </c>
      <c r="N636">
        <v>1</v>
      </c>
    </row>
    <row r="637" spans="1:14">
      <c r="A637" t="s">
        <v>25</v>
      </c>
      <c r="B637" t="s">
        <v>20</v>
      </c>
      <c r="C637" t="s">
        <v>16</v>
      </c>
      <c r="D637" s="9">
        <v>45863</v>
      </c>
      <c r="E637">
        <v>181</v>
      </c>
      <c r="F637" t="s">
        <v>5</v>
      </c>
      <c r="G637" t="s">
        <v>65</v>
      </c>
      <c r="H637">
        <v>4</v>
      </c>
      <c r="I637" t="s">
        <v>6</v>
      </c>
      <c r="J637" t="s">
        <v>89</v>
      </c>
      <c r="K637">
        <v>1</v>
      </c>
      <c r="L637">
        <v>0</v>
      </c>
      <c r="M637">
        <v>0</v>
      </c>
      <c r="N637">
        <v>1</v>
      </c>
    </row>
    <row r="638" spans="1:14">
      <c r="A638" t="s">
        <v>25</v>
      </c>
      <c r="B638" t="s">
        <v>20</v>
      </c>
      <c r="C638" t="s">
        <v>16</v>
      </c>
      <c r="D638" s="9">
        <v>45863</v>
      </c>
      <c r="E638">
        <v>182</v>
      </c>
      <c r="F638" t="s">
        <v>78</v>
      </c>
      <c r="G638" t="s">
        <v>65</v>
      </c>
      <c r="H638">
        <v>3</v>
      </c>
      <c r="I638" t="s">
        <v>5</v>
      </c>
      <c r="J638" t="s">
        <v>88</v>
      </c>
      <c r="K638">
        <v>0</v>
      </c>
      <c r="L638">
        <v>1</v>
      </c>
      <c r="M638">
        <v>0</v>
      </c>
      <c r="N638">
        <v>1</v>
      </c>
    </row>
    <row r="639" spans="1:14">
      <c r="A639" t="s">
        <v>25</v>
      </c>
      <c r="B639" t="s">
        <v>20</v>
      </c>
      <c r="C639" t="s">
        <v>16</v>
      </c>
      <c r="D639" s="9">
        <v>45863</v>
      </c>
      <c r="E639">
        <v>182</v>
      </c>
      <c r="F639" t="s">
        <v>5</v>
      </c>
      <c r="G639" t="s">
        <v>102</v>
      </c>
      <c r="H639">
        <v>4</v>
      </c>
      <c r="I639" t="s">
        <v>78</v>
      </c>
      <c r="J639" t="s">
        <v>89</v>
      </c>
      <c r="K639">
        <v>1</v>
      </c>
      <c r="L639">
        <v>0</v>
      </c>
      <c r="M639">
        <v>0</v>
      </c>
      <c r="N639">
        <v>1</v>
      </c>
    </row>
    <row r="640" spans="1:14">
      <c r="A640" t="s">
        <v>25</v>
      </c>
      <c r="B640" t="s">
        <v>20</v>
      </c>
      <c r="C640" t="s">
        <v>16</v>
      </c>
      <c r="D640" s="9">
        <v>45863</v>
      </c>
      <c r="E640">
        <v>183</v>
      </c>
      <c r="F640" t="s">
        <v>78</v>
      </c>
      <c r="G640" t="s">
        <v>102</v>
      </c>
      <c r="H640">
        <v>3</v>
      </c>
      <c r="I640" t="s">
        <v>5</v>
      </c>
      <c r="J640" t="s">
        <v>88</v>
      </c>
      <c r="K640">
        <v>0</v>
      </c>
      <c r="L640">
        <v>1</v>
      </c>
      <c r="M640">
        <v>0</v>
      </c>
      <c r="N640">
        <v>1</v>
      </c>
    </row>
    <row r="641" spans="1:14">
      <c r="A641" t="s">
        <v>25</v>
      </c>
      <c r="B641" t="s">
        <v>20</v>
      </c>
      <c r="C641" t="s">
        <v>16</v>
      </c>
      <c r="D641" s="9">
        <v>45863</v>
      </c>
      <c r="E641">
        <v>183</v>
      </c>
      <c r="F641" t="s">
        <v>5</v>
      </c>
      <c r="G641" t="s">
        <v>65</v>
      </c>
      <c r="H641">
        <v>5</v>
      </c>
      <c r="I641" t="s">
        <v>78</v>
      </c>
      <c r="J641" t="s">
        <v>89</v>
      </c>
      <c r="K641">
        <v>1</v>
      </c>
      <c r="L641">
        <v>0</v>
      </c>
      <c r="M641">
        <v>0</v>
      </c>
      <c r="N641">
        <v>1</v>
      </c>
    </row>
    <row r="642" spans="1:14">
      <c r="A642" t="s">
        <v>25</v>
      </c>
      <c r="B642" t="s">
        <v>20</v>
      </c>
      <c r="C642" t="s">
        <v>16</v>
      </c>
      <c r="D642" s="9">
        <v>45866</v>
      </c>
      <c r="E642">
        <v>184</v>
      </c>
      <c r="F642" t="s">
        <v>5</v>
      </c>
      <c r="G642" t="s">
        <v>65</v>
      </c>
      <c r="H642">
        <v>8</v>
      </c>
      <c r="I642" t="s">
        <v>6</v>
      </c>
      <c r="J642" t="s">
        <v>89</v>
      </c>
      <c r="K642">
        <v>1</v>
      </c>
      <c r="L642">
        <v>0</v>
      </c>
      <c r="M642">
        <v>0</v>
      </c>
      <c r="N642">
        <v>1</v>
      </c>
    </row>
    <row r="643" spans="1:14">
      <c r="A643" t="s">
        <v>25</v>
      </c>
      <c r="B643" t="s">
        <v>20</v>
      </c>
      <c r="C643" t="s">
        <v>16</v>
      </c>
      <c r="D643" s="9">
        <v>45866</v>
      </c>
      <c r="E643">
        <v>184</v>
      </c>
      <c r="F643" t="s">
        <v>6</v>
      </c>
      <c r="G643" t="s">
        <v>102</v>
      </c>
      <c r="H643">
        <v>2</v>
      </c>
      <c r="I643" t="s">
        <v>5</v>
      </c>
      <c r="J643" t="s">
        <v>88</v>
      </c>
      <c r="K643">
        <v>0</v>
      </c>
      <c r="L643">
        <v>1</v>
      </c>
      <c r="M643">
        <v>0</v>
      </c>
      <c r="N643">
        <v>1</v>
      </c>
    </row>
    <row r="644" spans="1:14">
      <c r="A644" t="s">
        <v>25</v>
      </c>
      <c r="B644" t="s">
        <v>20</v>
      </c>
      <c r="C644" t="s">
        <v>16</v>
      </c>
      <c r="D644" s="9">
        <v>45868</v>
      </c>
      <c r="E644">
        <v>185</v>
      </c>
      <c r="F644" t="s">
        <v>5</v>
      </c>
      <c r="G644" t="s">
        <v>102</v>
      </c>
      <c r="H644">
        <v>6</v>
      </c>
      <c r="I644" t="s">
        <v>4</v>
      </c>
      <c r="J644" t="s">
        <v>88</v>
      </c>
      <c r="K644">
        <v>0</v>
      </c>
      <c r="L644">
        <v>1</v>
      </c>
      <c r="M644">
        <v>0</v>
      </c>
      <c r="N644">
        <v>1</v>
      </c>
    </row>
    <row r="645" spans="1:14">
      <c r="A645" t="s">
        <v>25</v>
      </c>
      <c r="B645" t="s">
        <v>20</v>
      </c>
      <c r="C645" t="s">
        <v>16</v>
      </c>
      <c r="D645" s="9">
        <v>45868</v>
      </c>
      <c r="E645">
        <v>185</v>
      </c>
      <c r="F645" t="s">
        <v>4</v>
      </c>
      <c r="G645" t="s">
        <v>65</v>
      </c>
      <c r="H645">
        <v>11</v>
      </c>
      <c r="I645" t="s">
        <v>5</v>
      </c>
      <c r="J645" t="s">
        <v>89</v>
      </c>
      <c r="K645">
        <v>1</v>
      </c>
      <c r="L645">
        <v>0</v>
      </c>
      <c r="M645">
        <v>0</v>
      </c>
      <c r="N645">
        <v>1</v>
      </c>
    </row>
    <row r="646" spans="1:14">
      <c r="A646" t="s">
        <v>25</v>
      </c>
      <c r="B646" t="s">
        <v>20</v>
      </c>
      <c r="C646" t="s">
        <v>116</v>
      </c>
      <c r="D646" s="9">
        <v>45868</v>
      </c>
      <c r="E646">
        <v>186</v>
      </c>
      <c r="F646" t="s">
        <v>5</v>
      </c>
      <c r="G646" t="s">
        <v>65</v>
      </c>
      <c r="H646">
        <v>7</v>
      </c>
      <c r="I646" t="s">
        <v>4</v>
      </c>
      <c r="J646" t="s">
        <v>88</v>
      </c>
      <c r="K646">
        <v>0</v>
      </c>
      <c r="L646">
        <v>1</v>
      </c>
      <c r="M646">
        <v>0</v>
      </c>
      <c r="N646">
        <v>1</v>
      </c>
    </row>
    <row r="647" spans="1:14">
      <c r="A647" t="s">
        <v>25</v>
      </c>
      <c r="B647" t="s">
        <v>20</v>
      </c>
      <c r="C647" t="s">
        <v>116</v>
      </c>
      <c r="D647" s="9">
        <v>45868</v>
      </c>
      <c r="E647">
        <v>186</v>
      </c>
      <c r="F647" t="s">
        <v>4</v>
      </c>
      <c r="G647" t="s">
        <v>102</v>
      </c>
      <c r="H647">
        <v>10</v>
      </c>
      <c r="I647" t="s">
        <v>5</v>
      </c>
      <c r="J647" t="s">
        <v>89</v>
      </c>
      <c r="K647">
        <v>1</v>
      </c>
      <c r="L647">
        <v>0</v>
      </c>
      <c r="M647">
        <v>0</v>
      </c>
      <c r="N647">
        <v>1</v>
      </c>
    </row>
    <row r="648" spans="1:14">
      <c r="A648" t="s">
        <v>25</v>
      </c>
      <c r="B648" t="s">
        <v>20</v>
      </c>
      <c r="C648" t="s">
        <v>116</v>
      </c>
      <c r="D648" s="9">
        <v>45868</v>
      </c>
      <c r="E648">
        <v>187</v>
      </c>
      <c r="F648" t="s">
        <v>4</v>
      </c>
      <c r="G648" t="s">
        <v>102</v>
      </c>
      <c r="H648">
        <v>13</v>
      </c>
      <c r="I648" t="s">
        <v>5</v>
      </c>
      <c r="J648" t="s">
        <v>89</v>
      </c>
      <c r="K648">
        <v>1</v>
      </c>
      <c r="L648">
        <v>0</v>
      </c>
      <c r="M648">
        <v>0</v>
      </c>
      <c r="N648">
        <v>1</v>
      </c>
    </row>
    <row r="649" spans="1:14">
      <c r="A649" t="s">
        <v>25</v>
      </c>
      <c r="B649" t="s">
        <v>20</v>
      </c>
      <c r="C649" t="s">
        <v>116</v>
      </c>
      <c r="D649" s="9">
        <v>45868</v>
      </c>
      <c r="E649">
        <v>187</v>
      </c>
      <c r="F649" t="s">
        <v>5</v>
      </c>
      <c r="G649" t="s">
        <v>65</v>
      </c>
      <c r="H649">
        <v>4</v>
      </c>
      <c r="I649" t="s">
        <v>4</v>
      </c>
      <c r="J649" t="s">
        <v>88</v>
      </c>
      <c r="K649">
        <v>0</v>
      </c>
      <c r="L649">
        <v>1</v>
      </c>
      <c r="M649">
        <v>0</v>
      </c>
      <c r="N649">
        <v>1</v>
      </c>
    </row>
    <row r="650" spans="1:14">
      <c r="A650" t="s">
        <v>25</v>
      </c>
      <c r="B650" t="s">
        <v>20</v>
      </c>
      <c r="C650" t="s">
        <v>116</v>
      </c>
      <c r="D650" s="9">
        <v>45868</v>
      </c>
      <c r="E650">
        <v>188</v>
      </c>
      <c r="F650" t="s">
        <v>4</v>
      </c>
      <c r="G650" t="s">
        <v>65</v>
      </c>
      <c r="H650">
        <v>8</v>
      </c>
      <c r="I650" t="s">
        <v>5</v>
      </c>
      <c r="J650" t="s">
        <v>89</v>
      </c>
      <c r="K650">
        <v>1</v>
      </c>
      <c r="L650">
        <v>0</v>
      </c>
      <c r="M650">
        <v>0</v>
      </c>
      <c r="N650">
        <v>1</v>
      </c>
    </row>
    <row r="651" spans="1:14">
      <c r="A651" t="s">
        <v>25</v>
      </c>
      <c r="B651" t="s">
        <v>20</v>
      </c>
      <c r="C651" t="s">
        <v>116</v>
      </c>
      <c r="D651" s="9">
        <v>45868</v>
      </c>
      <c r="E651">
        <v>188</v>
      </c>
      <c r="F651" t="s">
        <v>5</v>
      </c>
      <c r="G651" t="s">
        <v>102</v>
      </c>
      <c r="H651">
        <v>6</v>
      </c>
      <c r="I651" t="s">
        <v>4</v>
      </c>
      <c r="J651" t="s">
        <v>88</v>
      </c>
      <c r="K651">
        <v>0</v>
      </c>
      <c r="L651">
        <v>1</v>
      </c>
      <c r="M651">
        <v>0</v>
      </c>
      <c r="N651">
        <v>1</v>
      </c>
    </row>
    <row r="652" spans="1:14">
      <c r="A652" t="s">
        <v>25</v>
      </c>
      <c r="B652" t="s">
        <v>20</v>
      </c>
      <c r="C652" t="s">
        <v>116</v>
      </c>
      <c r="D652" s="9">
        <v>45869</v>
      </c>
      <c r="E652">
        <v>189</v>
      </c>
      <c r="F652" t="s">
        <v>4</v>
      </c>
      <c r="G652" t="s">
        <v>102</v>
      </c>
      <c r="H652">
        <v>16</v>
      </c>
      <c r="I652" t="s">
        <v>5</v>
      </c>
      <c r="J652" t="s">
        <v>89</v>
      </c>
      <c r="K652">
        <v>1</v>
      </c>
      <c r="L652">
        <v>0</v>
      </c>
      <c r="M652">
        <v>0</v>
      </c>
      <c r="N652">
        <v>1</v>
      </c>
    </row>
    <row r="653" spans="1:14">
      <c r="A653" t="s">
        <v>25</v>
      </c>
      <c r="B653" t="s">
        <v>20</v>
      </c>
      <c r="C653" t="s">
        <v>116</v>
      </c>
      <c r="D653" s="9">
        <v>45869</v>
      </c>
      <c r="E653">
        <v>189</v>
      </c>
      <c r="F653" t="s">
        <v>5</v>
      </c>
      <c r="G653" t="s">
        <v>65</v>
      </c>
      <c r="H653">
        <v>6</v>
      </c>
      <c r="I653" t="s">
        <v>4</v>
      </c>
      <c r="J653" t="s">
        <v>88</v>
      </c>
      <c r="K653">
        <v>0</v>
      </c>
      <c r="L653">
        <v>1</v>
      </c>
      <c r="M653">
        <v>0</v>
      </c>
      <c r="N653">
        <v>1</v>
      </c>
    </row>
    <row r="654" spans="1:14">
      <c r="A654" t="s">
        <v>25</v>
      </c>
      <c r="B654" t="s">
        <v>20</v>
      </c>
      <c r="C654" t="s">
        <v>116</v>
      </c>
      <c r="D654" s="9">
        <v>45869</v>
      </c>
      <c r="E654">
        <v>190</v>
      </c>
      <c r="F654" t="s">
        <v>5</v>
      </c>
      <c r="G654" t="s">
        <v>102</v>
      </c>
      <c r="H654">
        <v>5</v>
      </c>
      <c r="I654" t="s">
        <v>4</v>
      </c>
      <c r="J654" t="s">
        <v>88</v>
      </c>
      <c r="K654">
        <v>0</v>
      </c>
      <c r="L654">
        <v>1</v>
      </c>
      <c r="M654">
        <v>0</v>
      </c>
      <c r="N654">
        <v>1</v>
      </c>
    </row>
    <row r="655" spans="1:14">
      <c r="A655" t="s">
        <v>25</v>
      </c>
      <c r="B655" t="s">
        <v>20</v>
      </c>
      <c r="C655" t="s">
        <v>116</v>
      </c>
      <c r="D655" s="9">
        <v>45869</v>
      </c>
      <c r="E655">
        <v>190</v>
      </c>
      <c r="F655" t="s">
        <v>4</v>
      </c>
      <c r="G655" t="s">
        <v>65</v>
      </c>
      <c r="H655">
        <v>9</v>
      </c>
      <c r="I655" t="s">
        <v>5</v>
      </c>
      <c r="J655" t="s">
        <v>89</v>
      </c>
      <c r="K655">
        <v>1</v>
      </c>
      <c r="L655">
        <v>0</v>
      </c>
      <c r="M655">
        <v>0</v>
      </c>
      <c r="N655">
        <v>1</v>
      </c>
    </row>
    <row r="656" spans="1:14">
      <c r="A656" t="s">
        <v>25</v>
      </c>
      <c r="B656" t="s">
        <v>20</v>
      </c>
      <c r="C656" t="s">
        <v>116</v>
      </c>
      <c r="D656" s="9">
        <v>45869</v>
      </c>
      <c r="E656">
        <v>191</v>
      </c>
      <c r="F656" t="s">
        <v>4</v>
      </c>
      <c r="G656" t="s">
        <v>102</v>
      </c>
      <c r="H656">
        <v>5</v>
      </c>
      <c r="I656" t="s">
        <v>5</v>
      </c>
      <c r="J656" t="s">
        <v>88</v>
      </c>
      <c r="K656">
        <v>0</v>
      </c>
      <c r="L656">
        <v>1</v>
      </c>
      <c r="M656">
        <v>0</v>
      </c>
      <c r="N656">
        <v>1</v>
      </c>
    </row>
    <row r="657" spans="1:14">
      <c r="A657" t="s">
        <v>25</v>
      </c>
      <c r="B657" t="s">
        <v>20</v>
      </c>
      <c r="C657" t="s">
        <v>116</v>
      </c>
      <c r="D657" s="9">
        <v>45869</v>
      </c>
      <c r="E657">
        <v>191</v>
      </c>
      <c r="F657" t="s">
        <v>5</v>
      </c>
      <c r="G657" t="s">
        <v>65</v>
      </c>
      <c r="H657">
        <v>7</v>
      </c>
      <c r="I657" t="s">
        <v>4</v>
      </c>
      <c r="J657" t="s">
        <v>89</v>
      </c>
      <c r="K657">
        <v>1</v>
      </c>
      <c r="L657">
        <v>0</v>
      </c>
      <c r="M657">
        <v>0</v>
      </c>
      <c r="N657">
        <v>1</v>
      </c>
    </row>
    <row r="658" spans="1:14">
      <c r="A658" t="s">
        <v>25</v>
      </c>
      <c r="B658" t="s">
        <v>19</v>
      </c>
      <c r="C658" t="s">
        <v>116</v>
      </c>
      <c r="D658" s="9">
        <v>45870</v>
      </c>
      <c r="E658">
        <v>192</v>
      </c>
      <c r="F658" t="s">
        <v>4</v>
      </c>
      <c r="G658" t="s">
        <v>65</v>
      </c>
      <c r="H658">
        <v>8</v>
      </c>
      <c r="I658" t="s">
        <v>5</v>
      </c>
      <c r="J658" t="s">
        <v>88</v>
      </c>
      <c r="K658">
        <v>0</v>
      </c>
      <c r="L658">
        <v>1</v>
      </c>
      <c r="M658">
        <v>0</v>
      </c>
      <c r="N658">
        <v>1</v>
      </c>
    </row>
    <row r="659" spans="1:14">
      <c r="A659" t="s">
        <v>25</v>
      </c>
      <c r="B659" t="s">
        <v>19</v>
      </c>
      <c r="C659" t="s">
        <v>116</v>
      </c>
      <c r="D659" s="9">
        <v>45870</v>
      </c>
      <c r="E659">
        <v>192</v>
      </c>
      <c r="F659" t="s">
        <v>5</v>
      </c>
      <c r="G659" t="s">
        <v>102</v>
      </c>
      <c r="H659">
        <v>9</v>
      </c>
      <c r="I659" t="s">
        <v>4</v>
      </c>
      <c r="J659" t="s">
        <v>89</v>
      </c>
      <c r="K659">
        <v>1</v>
      </c>
      <c r="L659">
        <v>0</v>
      </c>
      <c r="M659">
        <v>0</v>
      </c>
      <c r="N659">
        <v>1</v>
      </c>
    </row>
    <row r="660" spans="1:14">
      <c r="A660" t="s">
        <v>25</v>
      </c>
      <c r="B660" t="s">
        <v>20</v>
      </c>
      <c r="C660" t="s">
        <v>116</v>
      </c>
      <c r="D660" s="9">
        <v>45870</v>
      </c>
      <c r="E660">
        <v>193</v>
      </c>
      <c r="F660" t="s">
        <v>5</v>
      </c>
      <c r="G660" t="s">
        <v>102</v>
      </c>
      <c r="H660">
        <v>10</v>
      </c>
      <c r="I660" t="s">
        <v>4</v>
      </c>
      <c r="J660" t="s">
        <v>89</v>
      </c>
      <c r="K660">
        <v>1</v>
      </c>
      <c r="L660">
        <v>0</v>
      </c>
      <c r="M660">
        <v>0</v>
      </c>
      <c r="N660">
        <v>1</v>
      </c>
    </row>
    <row r="661" spans="1:14">
      <c r="A661" t="s">
        <v>25</v>
      </c>
      <c r="B661" t="s">
        <v>20</v>
      </c>
      <c r="C661" t="s">
        <v>116</v>
      </c>
      <c r="D661" s="9">
        <v>45870</v>
      </c>
      <c r="E661">
        <v>193</v>
      </c>
      <c r="F661" t="s">
        <v>4</v>
      </c>
      <c r="G661" t="s">
        <v>65</v>
      </c>
      <c r="H661">
        <v>8</v>
      </c>
      <c r="I661" t="s">
        <v>5</v>
      </c>
      <c r="J661" t="s">
        <v>88</v>
      </c>
      <c r="K661">
        <v>0</v>
      </c>
      <c r="L661">
        <v>1</v>
      </c>
      <c r="M661">
        <v>0</v>
      </c>
      <c r="N661">
        <v>1</v>
      </c>
    </row>
    <row r="662" spans="1:14">
      <c r="A662" t="s">
        <v>25</v>
      </c>
      <c r="B662" t="s">
        <v>20</v>
      </c>
      <c r="C662" t="s">
        <v>116</v>
      </c>
      <c r="D662" s="9">
        <v>45870</v>
      </c>
      <c r="E662">
        <v>194</v>
      </c>
      <c r="F662" t="s">
        <v>4</v>
      </c>
      <c r="G662" t="s">
        <v>102</v>
      </c>
      <c r="H662">
        <v>9</v>
      </c>
      <c r="I662" t="s">
        <v>5</v>
      </c>
      <c r="J662" t="s">
        <v>89</v>
      </c>
      <c r="K662">
        <v>1</v>
      </c>
      <c r="L662">
        <v>0</v>
      </c>
      <c r="M662">
        <v>0</v>
      </c>
      <c r="N662">
        <v>1</v>
      </c>
    </row>
    <row r="663" spans="1:14">
      <c r="A663" t="s">
        <v>25</v>
      </c>
      <c r="B663" t="s">
        <v>20</v>
      </c>
      <c r="C663" t="s">
        <v>116</v>
      </c>
      <c r="D663" s="9">
        <v>45870</v>
      </c>
      <c r="E663">
        <v>194</v>
      </c>
      <c r="F663" t="s">
        <v>5</v>
      </c>
      <c r="G663" t="s">
        <v>65</v>
      </c>
      <c r="H663">
        <v>7</v>
      </c>
      <c r="I663" t="s">
        <v>4</v>
      </c>
      <c r="J663" t="s">
        <v>88</v>
      </c>
      <c r="K663">
        <v>0</v>
      </c>
      <c r="L663">
        <v>1</v>
      </c>
      <c r="M663">
        <v>0</v>
      </c>
      <c r="N663">
        <v>1</v>
      </c>
    </row>
    <row r="664" spans="1:14">
      <c r="A664" t="s">
        <v>25</v>
      </c>
      <c r="B664" t="s">
        <v>20</v>
      </c>
      <c r="C664" t="s">
        <v>116</v>
      </c>
      <c r="D664" s="9">
        <v>45873</v>
      </c>
      <c r="E664">
        <v>195</v>
      </c>
      <c r="F664" t="s">
        <v>4</v>
      </c>
      <c r="G664" t="s">
        <v>102</v>
      </c>
      <c r="H664">
        <v>6</v>
      </c>
      <c r="I664" t="s">
        <v>5</v>
      </c>
      <c r="J664" t="s">
        <v>89</v>
      </c>
      <c r="K664">
        <v>1</v>
      </c>
      <c r="L664">
        <v>0</v>
      </c>
      <c r="M664">
        <v>0</v>
      </c>
      <c r="N664">
        <v>1</v>
      </c>
    </row>
    <row r="665" spans="1:14">
      <c r="A665" t="s">
        <v>25</v>
      </c>
      <c r="B665" t="s">
        <v>20</v>
      </c>
      <c r="C665" t="s">
        <v>116</v>
      </c>
      <c r="D665" s="9">
        <v>45873</v>
      </c>
      <c r="E665">
        <v>195</v>
      </c>
      <c r="F665" t="s">
        <v>5</v>
      </c>
      <c r="G665" t="s">
        <v>65</v>
      </c>
      <c r="H665">
        <v>5</v>
      </c>
      <c r="I665" t="s">
        <v>4</v>
      </c>
      <c r="J665" t="s">
        <v>88</v>
      </c>
      <c r="K665">
        <v>0</v>
      </c>
      <c r="L665">
        <v>1</v>
      </c>
      <c r="M665">
        <v>0</v>
      </c>
      <c r="N665">
        <v>1</v>
      </c>
    </row>
    <row r="666" spans="1:14">
      <c r="A666" t="s">
        <v>25</v>
      </c>
      <c r="B666" t="s">
        <v>20</v>
      </c>
      <c r="C666" t="s">
        <v>116</v>
      </c>
      <c r="D666" s="9">
        <v>45873</v>
      </c>
      <c r="E666">
        <v>196</v>
      </c>
      <c r="F666" t="s">
        <v>4</v>
      </c>
      <c r="G666" t="s">
        <v>65</v>
      </c>
      <c r="H666">
        <v>13</v>
      </c>
      <c r="I666" t="s">
        <v>5</v>
      </c>
      <c r="J666" t="s">
        <v>89</v>
      </c>
      <c r="K666">
        <v>1</v>
      </c>
      <c r="L666">
        <v>0</v>
      </c>
      <c r="M666">
        <v>0</v>
      </c>
      <c r="N666">
        <v>1</v>
      </c>
    </row>
    <row r="667" spans="1:14">
      <c r="A667" t="s">
        <v>25</v>
      </c>
      <c r="B667" t="s">
        <v>20</v>
      </c>
      <c r="C667" t="s">
        <v>116</v>
      </c>
      <c r="D667" s="9">
        <v>45873</v>
      </c>
      <c r="E667">
        <v>196</v>
      </c>
      <c r="F667" t="s">
        <v>5</v>
      </c>
      <c r="G667" t="s">
        <v>102</v>
      </c>
      <c r="H667">
        <v>3</v>
      </c>
      <c r="I667" t="s">
        <v>4</v>
      </c>
      <c r="J667" t="s">
        <v>88</v>
      </c>
      <c r="K667">
        <v>0</v>
      </c>
      <c r="L667">
        <v>1</v>
      </c>
      <c r="M667">
        <v>0</v>
      </c>
      <c r="N667">
        <v>1</v>
      </c>
    </row>
    <row r="668" spans="1:14">
      <c r="A668" t="s">
        <v>25</v>
      </c>
      <c r="B668" t="s">
        <v>20</v>
      </c>
      <c r="C668" t="s">
        <v>116</v>
      </c>
      <c r="D668" s="9">
        <v>45875</v>
      </c>
      <c r="E668">
        <v>197</v>
      </c>
      <c r="F668" t="s">
        <v>4</v>
      </c>
      <c r="G668" t="s">
        <v>65</v>
      </c>
      <c r="H668">
        <v>18</v>
      </c>
      <c r="I668" t="s">
        <v>5</v>
      </c>
      <c r="J668" t="s">
        <v>89</v>
      </c>
      <c r="K668">
        <v>1</v>
      </c>
      <c r="L668">
        <v>0</v>
      </c>
      <c r="M668">
        <v>0</v>
      </c>
      <c r="N668">
        <v>1</v>
      </c>
    </row>
    <row r="669" spans="1:14">
      <c r="A669" t="s">
        <v>25</v>
      </c>
      <c r="B669" t="s">
        <v>20</v>
      </c>
      <c r="C669" t="s">
        <v>116</v>
      </c>
      <c r="D669" s="9">
        <v>45875</v>
      </c>
      <c r="E669">
        <v>197</v>
      </c>
      <c r="F669" t="s">
        <v>5</v>
      </c>
      <c r="G669" t="s">
        <v>102</v>
      </c>
      <c r="H669">
        <v>11</v>
      </c>
      <c r="I669" t="s">
        <v>4</v>
      </c>
      <c r="J669" t="s">
        <v>88</v>
      </c>
      <c r="K669">
        <v>0</v>
      </c>
      <c r="L669">
        <v>1</v>
      </c>
      <c r="M669">
        <v>0</v>
      </c>
      <c r="N669">
        <v>1</v>
      </c>
    </row>
    <row r="670" spans="1:14">
      <c r="A670" t="s">
        <v>25</v>
      </c>
      <c r="B670" t="s">
        <v>20</v>
      </c>
      <c r="C670" t="s">
        <v>116</v>
      </c>
      <c r="D670" s="9">
        <v>45875</v>
      </c>
      <c r="E670">
        <v>198</v>
      </c>
      <c r="F670" t="s">
        <v>4</v>
      </c>
      <c r="G670" t="s">
        <v>102</v>
      </c>
      <c r="H670">
        <v>9</v>
      </c>
      <c r="I670" t="s">
        <v>5</v>
      </c>
      <c r="J670" t="s">
        <v>88</v>
      </c>
      <c r="K670">
        <v>0</v>
      </c>
      <c r="L670">
        <v>1</v>
      </c>
      <c r="M670">
        <v>0</v>
      </c>
      <c r="N670">
        <v>1</v>
      </c>
    </row>
    <row r="671" spans="1:14">
      <c r="A671" t="s">
        <v>25</v>
      </c>
      <c r="B671" t="s">
        <v>20</v>
      </c>
      <c r="C671" t="s">
        <v>116</v>
      </c>
      <c r="D671" s="9">
        <v>45875</v>
      </c>
      <c r="E671">
        <v>198</v>
      </c>
      <c r="F671" t="s">
        <v>5</v>
      </c>
      <c r="G671" t="s">
        <v>65</v>
      </c>
      <c r="H671">
        <v>16</v>
      </c>
      <c r="I671" t="s">
        <v>4</v>
      </c>
      <c r="J671" t="s">
        <v>89</v>
      </c>
      <c r="K671">
        <v>1</v>
      </c>
      <c r="L671">
        <v>0</v>
      </c>
      <c r="M671">
        <v>0</v>
      </c>
      <c r="N671">
        <v>1</v>
      </c>
    </row>
    <row r="672" spans="1:14">
      <c r="A672" t="s">
        <v>25</v>
      </c>
      <c r="B672" t="s">
        <v>20</v>
      </c>
      <c r="C672" t="s">
        <v>116</v>
      </c>
      <c r="D672" s="9">
        <v>45875</v>
      </c>
      <c r="E672">
        <v>199</v>
      </c>
      <c r="F672" t="s">
        <v>4</v>
      </c>
      <c r="G672" t="s">
        <v>65</v>
      </c>
      <c r="H672">
        <v>9</v>
      </c>
      <c r="I672" t="s">
        <v>5</v>
      </c>
      <c r="J672" t="s">
        <v>89</v>
      </c>
      <c r="K672">
        <v>1</v>
      </c>
      <c r="L672">
        <v>0</v>
      </c>
      <c r="M672">
        <v>0</v>
      </c>
      <c r="N672">
        <v>1</v>
      </c>
    </row>
    <row r="673" spans="1:14">
      <c r="A673" t="s">
        <v>25</v>
      </c>
      <c r="B673" t="s">
        <v>20</v>
      </c>
      <c r="C673" t="s">
        <v>116</v>
      </c>
      <c r="D673" s="9">
        <v>45875</v>
      </c>
      <c r="E673">
        <v>199</v>
      </c>
      <c r="F673" t="s">
        <v>5</v>
      </c>
      <c r="G673" t="s">
        <v>102</v>
      </c>
      <c r="H673">
        <v>7</v>
      </c>
      <c r="I673" t="s">
        <v>4</v>
      </c>
      <c r="J673" t="s">
        <v>88</v>
      </c>
      <c r="K673">
        <v>0</v>
      </c>
      <c r="L673">
        <v>1</v>
      </c>
      <c r="M673">
        <v>0</v>
      </c>
      <c r="N673">
        <v>1</v>
      </c>
    </row>
    <row r="674" spans="1:14">
      <c r="A674" t="s">
        <v>25</v>
      </c>
      <c r="B674" t="s">
        <v>20</v>
      </c>
      <c r="C674" t="s">
        <v>116</v>
      </c>
      <c r="D674" s="9">
        <v>45876</v>
      </c>
      <c r="E674">
        <v>200</v>
      </c>
      <c r="F674" t="s">
        <v>5</v>
      </c>
      <c r="G674" t="s">
        <v>65</v>
      </c>
      <c r="H674">
        <v>7</v>
      </c>
      <c r="I674" t="s">
        <v>4</v>
      </c>
      <c r="J674" t="s">
        <v>88</v>
      </c>
      <c r="K674">
        <v>0</v>
      </c>
      <c r="L674">
        <v>1</v>
      </c>
      <c r="M674">
        <v>0</v>
      </c>
      <c r="N674">
        <v>1</v>
      </c>
    </row>
    <row r="675" spans="1:14">
      <c r="A675" t="s">
        <v>25</v>
      </c>
      <c r="B675" t="s">
        <v>20</v>
      </c>
      <c r="C675" t="s">
        <v>116</v>
      </c>
      <c r="D675" s="9">
        <v>45876</v>
      </c>
      <c r="E675">
        <v>200</v>
      </c>
      <c r="F675" t="s">
        <v>4</v>
      </c>
      <c r="G675" t="s">
        <v>102</v>
      </c>
      <c r="H675">
        <v>14</v>
      </c>
      <c r="I675" t="s">
        <v>5</v>
      </c>
      <c r="J675" t="s">
        <v>89</v>
      </c>
      <c r="K675">
        <v>1</v>
      </c>
      <c r="L675">
        <v>0</v>
      </c>
      <c r="M675">
        <v>0</v>
      </c>
      <c r="N675">
        <v>1</v>
      </c>
    </row>
    <row r="676" spans="1:14">
      <c r="A676" t="s">
        <v>25</v>
      </c>
      <c r="B676">
        <v>256</v>
      </c>
      <c r="C676" t="s">
        <v>116</v>
      </c>
      <c r="D676" s="9">
        <v>45880</v>
      </c>
      <c r="E676">
        <v>201</v>
      </c>
      <c r="F676" t="s">
        <v>4</v>
      </c>
      <c r="G676" t="s">
        <v>102</v>
      </c>
      <c r="H676">
        <v>9</v>
      </c>
      <c r="I676" t="s">
        <v>5</v>
      </c>
      <c r="J676" t="s">
        <v>89</v>
      </c>
      <c r="K676">
        <v>1</v>
      </c>
      <c r="L676">
        <v>0</v>
      </c>
      <c r="M676">
        <v>0</v>
      </c>
      <c r="N676">
        <v>1</v>
      </c>
    </row>
    <row r="677" spans="1:14">
      <c r="A677" t="s">
        <v>25</v>
      </c>
      <c r="B677">
        <v>256</v>
      </c>
      <c r="C677" t="s">
        <v>116</v>
      </c>
      <c r="D677" s="9">
        <v>45880</v>
      </c>
      <c r="E677">
        <v>201</v>
      </c>
      <c r="F677" t="s">
        <v>5</v>
      </c>
      <c r="G677" t="s">
        <v>65</v>
      </c>
      <c r="H677">
        <v>6</v>
      </c>
      <c r="I677" t="s">
        <v>4</v>
      </c>
      <c r="J677" t="s">
        <v>88</v>
      </c>
      <c r="K677">
        <v>0</v>
      </c>
      <c r="L677">
        <v>1</v>
      </c>
      <c r="M677">
        <v>0</v>
      </c>
      <c r="N677">
        <v>1</v>
      </c>
    </row>
    <row r="678" spans="1:14">
      <c r="A678" t="s">
        <v>25</v>
      </c>
      <c r="B678">
        <v>256</v>
      </c>
      <c r="C678" t="s">
        <v>116</v>
      </c>
      <c r="D678" s="9">
        <v>45881</v>
      </c>
      <c r="E678">
        <v>202</v>
      </c>
      <c r="F678" t="s">
        <v>5</v>
      </c>
      <c r="G678" t="s">
        <v>102</v>
      </c>
      <c r="H678">
        <v>12</v>
      </c>
      <c r="I678" t="s">
        <v>4</v>
      </c>
      <c r="J678" t="s">
        <v>88</v>
      </c>
      <c r="K678">
        <v>0</v>
      </c>
      <c r="L678">
        <v>1</v>
      </c>
      <c r="M678">
        <v>0</v>
      </c>
      <c r="N678">
        <v>1</v>
      </c>
    </row>
    <row r="679" spans="1:14">
      <c r="A679" t="s">
        <v>25</v>
      </c>
      <c r="B679">
        <v>256</v>
      </c>
      <c r="C679" t="s">
        <v>116</v>
      </c>
      <c r="D679" s="9">
        <v>45881</v>
      </c>
      <c r="E679">
        <v>202</v>
      </c>
      <c r="F679" t="s">
        <v>7</v>
      </c>
      <c r="G679" t="s">
        <v>102</v>
      </c>
      <c r="H679">
        <v>4</v>
      </c>
      <c r="I679" t="s">
        <v>5</v>
      </c>
      <c r="J679" t="s">
        <v>88</v>
      </c>
      <c r="K679">
        <v>0</v>
      </c>
      <c r="L679">
        <v>1</v>
      </c>
      <c r="M679">
        <v>0</v>
      </c>
      <c r="N679">
        <v>1</v>
      </c>
    </row>
    <row r="680" spans="1:14">
      <c r="A680" t="s">
        <v>25</v>
      </c>
      <c r="B680">
        <v>256</v>
      </c>
      <c r="C680" t="s">
        <v>116</v>
      </c>
      <c r="D680" s="9">
        <v>45881</v>
      </c>
      <c r="E680">
        <v>202</v>
      </c>
      <c r="F680" t="s">
        <v>5</v>
      </c>
      <c r="G680" t="s">
        <v>65</v>
      </c>
      <c r="H680">
        <v>12</v>
      </c>
      <c r="I680" t="s">
        <v>7</v>
      </c>
      <c r="J680" t="s">
        <v>89</v>
      </c>
      <c r="K680">
        <v>1</v>
      </c>
      <c r="L680">
        <v>0</v>
      </c>
      <c r="M680">
        <v>0</v>
      </c>
      <c r="N680">
        <v>1</v>
      </c>
    </row>
    <row r="681" spans="1:14">
      <c r="A681" t="s">
        <v>25</v>
      </c>
      <c r="B681">
        <v>256</v>
      </c>
      <c r="C681" t="s">
        <v>116</v>
      </c>
      <c r="D681" s="9">
        <v>45881</v>
      </c>
      <c r="E681">
        <v>202</v>
      </c>
      <c r="F681" t="s">
        <v>4</v>
      </c>
      <c r="G681" t="s">
        <v>65</v>
      </c>
      <c r="H681">
        <v>19</v>
      </c>
      <c r="I681" t="s">
        <v>7</v>
      </c>
      <c r="J681" t="s">
        <v>89</v>
      </c>
      <c r="K681">
        <v>1</v>
      </c>
      <c r="L681">
        <v>0</v>
      </c>
      <c r="M681">
        <v>0</v>
      </c>
      <c r="N681">
        <v>1</v>
      </c>
    </row>
    <row r="682" spans="1:14">
      <c r="A682" t="s">
        <v>25</v>
      </c>
      <c r="B682">
        <v>256</v>
      </c>
      <c r="C682" t="s">
        <v>116</v>
      </c>
      <c r="D682" s="9">
        <v>45881</v>
      </c>
      <c r="E682">
        <v>202</v>
      </c>
      <c r="F682" t="s">
        <v>4</v>
      </c>
      <c r="G682" t="s">
        <v>65</v>
      </c>
      <c r="H682">
        <v>19</v>
      </c>
      <c r="I682" t="s">
        <v>5</v>
      </c>
      <c r="J682" t="s">
        <v>89</v>
      </c>
      <c r="K682">
        <v>1</v>
      </c>
      <c r="L682">
        <v>0</v>
      </c>
      <c r="M682">
        <v>0</v>
      </c>
      <c r="N682">
        <v>1</v>
      </c>
    </row>
    <row r="683" spans="1:14">
      <c r="A683" t="s">
        <v>25</v>
      </c>
      <c r="B683">
        <v>256</v>
      </c>
      <c r="C683" t="s">
        <v>116</v>
      </c>
      <c r="D683" s="9">
        <v>45881</v>
      </c>
      <c r="E683">
        <v>202</v>
      </c>
      <c r="F683" t="s">
        <v>7</v>
      </c>
      <c r="G683" t="s">
        <v>102</v>
      </c>
      <c r="H683">
        <v>4</v>
      </c>
      <c r="I683" t="s">
        <v>4</v>
      </c>
      <c r="J683" t="s">
        <v>88</v>
      </c>
      <c r="K683">
        <v>0</v>
      </c>
      <c r="L683">
        <v>1</v>
      </c>
      <c r="M683">
        <v>0</v>
      </c>
      <c r="N683">
        <v>1</v>
      </c>
    </row>
    <row r="684" spans="1:14">
      <c r="A684" t="s">
        <v>25</v>
      </c>
      <c r="B684">
        <v>256</v>
      </c>
      <c r="C684" t="s">
        <v>116</v>
      </c>
      <c r="D684" s="9">
        <v>45881</v>
      </c>
      <c r="E684">
        <v>203</v>
      </c>
      <c r="F684" t="s">
        <v>4</v>
      </c>
      <c r="G684" t="s">
        <v>102</v>
      </c>
      <c r="H684">
        <v>18</v>
      </c>
      <c r="I684" t="s">
        <v>5</v>
      </c>
      <c r="J684" t="s">
        <v>89</v>
      </c>
      <c r="K684">
        <v>1</v>
      </c>
      <c r="L684">
        <v>0</v>
      </c>
      <c r="M684">
        <v>0</v>
      </c>
      <c r="N684">
        <v>1</v>
      </c>
    </row>
    <row r="685" spans="1:14">
      <c r="A685" t="s">
        <v>25</v>
      </c>
      <c r="B685">
        <v>256</v>
      </c>
      <c r="C685" t="s">
        <v>116</v>
      </c>
      <c r="D685" s="9">
        <v>45881</v>
      </c>
      <c r="E685">
        <v>203</v>
      </c>
      <c r="F685" t="s">
        <v>4</v>
      </c>
      <c r="G685" t="s">
        <v>65</v>
      </c>
      <c r="H685">
        <v>18</v>
      </c>
      <c r="I685" t="s">
        <v>23</v>
      </c>
      <c r="J685" t="s">
        <v>89</v>
      </c>
      <c r="K685">
        <v>1</v>
      </c>
      <c r="L685">
        <v>0</v>
      </c>
      <c r="M685">
        <v>0</v>
      </c>
      <c r="N685">
        <v>1</v>
      </c>
    </row>
    <row r="686" spans="1:14">
      <c r="A686" t="s">
        <v>25</v>
      </c>
      <c r="B686">
        <v>256</v>
      </c>
      <c r="C686" t="s">
        <v>116</v>
      </c>
      <c r="D686" s="9">
        <v>45881</v>
      </c>
      <c r="E686">
        <v>203</v>
      </c>
      <c r="F686" t="s">
        <v>5</v>
      </c>
      <c r="G686" t="s">
        <v>65</v>
      </c>
      <c r="H686">
        <v>13</v>
      </c>
      <c r="I686" t="s">
        <v>4</v>
      </c>
      <c r="J686" t="s">
        <v>88</v>
      </c>
      <c r="K686">
        <v>0</v>
      </c>
      <c r="L686">
        <v>1</v>
      </c>
      <c r="M686">
        <v>0</v>
      </c>
      <c r="N686">
        <v>1</v>
      </c>
    </row>
    <row r="687" spans="1:14">
      <c r="A687" t="s">
        <v>25</v>
      </c>
      <c r="B687">
        <v>256</v>
      </c>
      <c r="C687" t="s">
        <v>116</v>
      </c>
      <c r="D687" s="9">
        <v>45881</v>
      </c>
      <c r="E687">
        <v>203</v>
      </c>
      <c r="F687" t="s">
        <v>5</v>
      </c>
      <c r="G687" t="s">
        <v>65</v>
      </c>
      <c r="H687">
        <v>13</v>
      </c>
      <c r="I687" t="s">
        <v>23</v>
      </c>
      <c r="J687" t="s">
        <v>89</v>
      </c>
      <c r="K687">
        <v>1</v>
      </c>
      <c r="L687">
        <v>0</v>
      </c>
      <c r="M687">
        <v>0</v>
      </c>
      <c r="N687">
        <v>1</v>
      </c>
    </row>
    <row r="688" spans="1:14">
      <c r="A688" t="s">
        <v>25</v>
      </c>
      <c r="B688">
        <v>256</v>
      </c>
      <c r="C688" t="s">
        <v>116</v>
      </c>
      <c r="D688" s="9">
        <v>45881</v>
      </c>
      <c r="E688">
        <v>203</v>
      </c>
      <c r="F688" t="s">
        <v>23</v>
      </c>
      <c r="G688" t="s">
        <v>102</v>
      </c>
      <c r="H688">
        <v>1</v>
      </c>
      <c r="I688" t="s">
        <v>4</v>
      </c>
      <c r="J688" t="s">
        <v>88</v>
      </c>
      <c r="K688">
        <v>0</v>
      </c>
      <c r="L688">
        <v>1</v>
      </c>
      <c r="M688">
        <v>0</v>
      </c>
      <c r="N688">
        <v>1</v>
      </c>
    </row>
    <row r="689" spans="1:14">
      <c r="A689" t="s">
        <v>25</v>
      </c>
      <c r="B689">
        <v>256</v>
      </c>
      <c r="C689" t="s">
        <v>116</v>
      </c>
      <c r="D689" s="9">
        <v>45881</v>
      </c>
      <c r="E689">
        <v>203</v>
      </c>
      <c r="F689" t="s">
        <v>23</v>
      </c>
      <c r="G689" t="s">
        <v>102</v>
      </c>
      <c r="H689">
        <v>1</v>
      </c>
      <c r="I689" t="s">
        <v>5</v>
      </c>
      <c r="J689" t="s">
        <v>88</v>
      </c>
      <c r="K689">
        <v>0</v>
      </c>
      <c r="L689">
        <v>1</v>
      </c>
      <c r="M689">
        <v>0</v>
      </c>
      <c r="N689">
        <v>1</v>
      </c>
    </row>
    <row r="690" spans="1:14">
      <c r="A690" t="s">
        <v>25</v>
      </c>
      <c r="B690">
        <v>256</v>
      </c>
      <c r="C690" t="s">
        <v>116</v>
      </c>
      <c r="D690" s="9">
        <v>45882</v>
      </c>
      <c r="E690">
        <v>204</v>
      </c>
      <c r="F690" t="s">
        <v>5</v>
      </c>
      <c r="G690" t="s">
        <v>102</v>
      </c>
      <c r="H690">
        <v>14</v>
      </c>
      <c r="I690" t="s">
        <v>4</v>
      </c>
      <c r="J690" t="s">
        <v>88</v>
      </c>
      <c r="K690">
        <v>0</v>
      </c>
      <c r="L690">
        <v>1</v>
      </c>
      <c r="M690">
        <v>0</v>
      </c>
      <c r="N690">
        <v>1</v>
      </c>
    </row>
    <row r="691" spans="1:14">
      <c r="A691" t="s">
        <v>25</v>
      </c>
      <c r="B691">
        <v>256</v>
      </c>
      <c r="C691" t="s">
        <v>116</v>
      </c>
      <c r="D691" s="9">
        <v>45882</v>
      </c>
      <c r="E691">
        <v>204</v>
      </c>
      <c r="F691" t="s">
        <v>4</v>
      </c>
      <c r="G691" t="s">
        <v>65</v>
      </c>
      <c r="H691">
        <v>18</v>
      </c>
      <c r="I691" t="s">
        <v>5</v>
      </c>
      <c r="J691" t="s">
        <v>89</v>
      </c>
      <c r="K691">
        <v>1</v>
      </c>
      <c r="L691">
        <v>0</v>
      </c>
      <c r="M691">
        <v>0</v>
      </c>
      <c r="N691">
        <v>1</v>
      </c>
    </row>
    <row r="692" spans="1:14">
      <c r="A692" t="s">
        <v>25</v>
      </c>
      <c r="B692">
        <v>256</v>
      </c>
      <c r="C692" t="s">
        <v>116</v>
      </c>
      <c r="D692" s="9">
        <v>45883</v>
      </c>
      <c r="E692">
        <v>205</v>
      </c>
      <c r="F692" t="s">
        <v>4</v>
      </c>
      <c r="G692" t="s">
        <v>65</v>
      </c>
      <c r="H692">
        <v>8</v>
      </c>
      <c r="I692" t="s">
        <v>5</v>
      </c>
      <c r="J692" t="s">
        <v>88</v>
      </c>
      <c r="K692">
        <v>0</v>
      </c>
      <c r="L692">
        <v>1</v>
      </c>
      <c r="M692">
        <v>0</v>
      </c>
      <c r="N692">
        <v>1</v>
      </c>
    </row>
    <row r="693" spans="1:14">
      <c r="A693" t="s">
        <v>25</v>
      </c>
      <c r="B693">
        <v>256</v>
      </c>
      <c r="C693" t="s">
        <v>116</v>
      </c>
      <c r="D693" s="9">
        <v>45883</v>
      </c>
      <c r="E693">
        <v>205</v>
      </c>
      <c r="F693" t="s">
        <v>5</v>
      </c>
      <c r="G693" t="s">
        <v>102</v>
      </c>
      <c r="H693">
        <v>9</v>
      </c>
      <c r="I693" t="s">
        <v>4</v>
      </c>
      <c r="J693" t="s">
        <v>89</v>
      </c>
      <c r="K693">
        <v>1</v>
      </c>
      <c r="L693">
        <v>0</v>
      </c>
      <c r="M693">
        <v>0</v>
      </c>
      <c r="N693">
        <v>1</v>
      </c>
    </row>
    <row r="694" spans="1:14">
      <c r="A694" t="s">
        <v>25</v>
      </c>
      <c r="B694">
        <v>256</v>
      </c>
      <c r="C694" t="s">
        <v>116</v>
      </c>
      <c r="D694" s="9">
        <v>45887</v>
      </c>
      <c r="E694">
        <v>206</v>
      </c>
      <c r="F694" t="s">
        <v>4</v>
      </c>
      <c r="G694" t="s">
        <v>102</v>
      </c>
      <c r="H694">
        <v>8</v>
      </c>
      <c r="I694" t="s">
        <v>5</v>
      </c>
      <c r="J694" t="s">
        <v>89</v>
      </c>
      <c r="K694">
        <v>1</v>
      </c>
      <c r="L694">
        <v>0</v>
      </c>
      <c r="M694">
        <v>0</v>
      </c>
      <c r="N694">
        <v>1</v>
      </c>
    </row>
    <row r="695" spans="1:14">
      <c r="A695" t="s">
        <v>25</v>
      </c>
      <c r="B695">
        <v>256</v>
      </c>
      <c r="C695" t="s">
        <v>116</v>
      </c>
      <c r="D695" s="9">
        <v>45887</v>
      </c>
      <c r="E695">
        <v>206</v>
      </c>
      <c r="F695" t="s">
        <v>5</v>
      </c>
      <c r="G695" t="s">
        <v>65</v>
      </c>
      <c r="H695">
        <v>3</v>
      </c>
      <c r="I695" t="s">
        <v>4</v>
      </c>
      <c r="J695" t="s">
        <v>88</v>
      </c>
      <c r="K695">
        <v>0</v>
      </c>
      <c r="L695">
        <v>1</v>
      </c>
      <c r="M695">
        <v>0</v>
      </c>
      <c r="N695">
        <v>1</v>
      </c>
    </row>
    <row r="696" spans="1:14">
      <c r="A696" t="s">
        <v>25</v>
      </c>
      <c r="B696">
        <v>256</v>
      </c>
      <c r="C696" t="s">
        <v>116</v>
      </c>
      <c r="D696" s="9">
        <v>45888</v>
      </c>
      <c r="E696">
        <v>207</v>
      </c>
      <c r="F696" t="s">
        <v>4</v>
      </c>
      <c r="G696" t="s">
        <v>65</v>
      </c>
      <c r="H696">
        <v>12</v>
      </c>
      <c r="I696" t="s">
        <v>5</v>
      </c>
      <c r="J696" t="s">
        <v>89</v>
      </c>
      <c r="K696">
        <v>1</v>
      </c>
      <c r="L696">
        <v>0</v>
      </c>
      <c r="M696">
        <v>0</v>
      </c>
      <c r="N696">
        <v>1</v>
      </c>
    </row>
    <row r="697" spans="1:14">
      <c r="A697" t="s">
        <v>25</v>
      </c>
      <c r="B697">
        <v>256</v>
      </c>
      <c r="C697" t="s">
        <v>116</v>
      </c>
      <c r="D697" s="9">
        <v>45888</v>
      </c>
      <c r="E697">
        <v>207</v>
      </c>
      <c r="F697" t="s">
        <v>5</v>
      </c>
      <c r="G697" t="s">
        <v>102</v>
      </c>
      <c r="H697">
        <v>9</v>
      </c>
      <c r="I697" t="s">
        <v>4</v>
      </c>
      <c r="J697" t="s">
        <v>88</v>
      </c>
      <c r="K697">
        <v>0</v>
      </c>
      <c r="L697">
        <v>1</v>
      </c>
      <c r="M697">
        <v>0</v>
      </c>
      <c r="N697">
        <v>1</v>
      </c>
    </row>
    <row r="698" spans="1:14">
      <c r="A698" t="s">
        <v>25</v>
      </c>
      <c r="B698">
        <v>256</v>
      </c>
      <c r="C698" t="s">
        <v>116</v>
      </c>
      <c r="D698" s="9">
        <v>45889</v>
      </c>
      <c r="E698">
        <v>208</v>
      </c>
      <c r="F698" t="s">
        <v>4</v>
      </c>
      <c r="G698" t="s">
        <v>65</v>
      </c>
      <c r="H698">
        <v>10</v>
      </c>
      <c r="I698" t="s">
        <v>5</v>
      </c>
      <c r="J698" t="s">
        <v>88</v>
      </c>
      <c r="K698">
        <v>0</v>
      </c>
      <c r="L698">
        <v>1</v>
      </c>
      <c r="M698">
        <v>0</v>
      </c>
      <c r="N698">
        <v>1</v>
      </c>
    </row>
    <row r="699" spans="1:14">
      <c r="A699" t="s">
        <v>25</v>
      </c>
      <c r="B699">
        <v>256</v>
      </c>
      <c r="C699" t="s">
        <v>116</v>
      </c>
      <c r="D699" s="9">
        <v>45889</v>
      </c>
      <c r="E699">
        <v>208</v>
      </c>
      <c r="F699" t="s">
        <v>5</v>
      </c>
      <c r="G699" t="s">
        <v>102</v>
      </c>
      <c r="H699">
        <v>12</v>
      </c>
      <c r="I699" t="s">
        <v>4</v>
      </c>
      <c r="J699" t="s">
        <v>89</v>
      </c>
      <c r="K699">
        <v>1</v>
      </c>
      <c r="L699">
        <v>0</v>
      </c>
      <c r="M699">
        <v>0</v>
      </c>
      <c r="N699">
        <v>1</v>
      </c>
    </row>
    <row r="700" spans="1:14">
      <c r="A700" t="s">
        <v>25</v>
      </c>
      <c r="B700">
        <v>256</v>
      </c>
      <c r="C700" t="s">
        <v>116</v>
      </c>
      <c r="D700" s="9">
        <v>45890</v>
      </c>
      <c r="E700">
        <v>209</v>
      </c>
      <c r="F700" t="s">
        <v>4</v>
      </c>
      <c r="G700" t="s">
        <v>65</v>
      </c>
      <c r="H700">
        <v>10</v>
      </c>
      <c r="I700" t="s">
        <v>5</v>
      </c>
      <c r="J700" t="s">
        <v>89</v>
      </c>
      <c r="K700">
        <v>1</v>
      </c>
      <c r="L700">
        <v>0</v>
      </c>
      <c r="M700">
        <v>0</v>
      </c>
      <c r="N700">
        <v>1</v>
      </c>
    </row>
    <row r="701" spans="1:14">
      <c r="A701" t="s">
        <v>25</v>
      </c>
      <c r="B701">
        <v>256</v>
      </c>
      <c r="C701" t="s">
        <v>116</v>
      </c>
      <c r="D701" s="9">
        <v>45890</v>
      </c>
      <c r="E701">
        <v>209</v>
      </c>
      <c r="F701" t="s">
        <v>5</v>
      </c>
      <c r="G701" t="s">
        <v>102</v>
      </c>
      <c r="H701">
        <v>9</v>
      </c>
      <c r="I701" t="s">
        <v>4</v>
      </c>
      <c r="J701" t="s">
        <v>88</v>
      </c>
      <c r="K701">
        <v>0</v>
      </c>
      <c r="L701">
        <v>1</v>
      </c>
      <c r="M701">
        <v>0</v>
      </c>
      <c r="N701">
        <v>1</v>
      </c>
    </row>
    <row r="702" spans="1:14">
      <c r="A702" t="s">
        <v>25</v>
      </c>
      <c r="B702">
        <v>256</v>
      </c>
      <c r="C702" t="s">
        <v>116</v>
      </c>
      <c r="D702" s="9">
        <v>45894</v>
      </c>
      <c r="E702">
        <v>210</v>
      </c>
      <c r="F702" t="s">
        <v>5</v>
      </c>
      <c r="G702" t="s">
        <v>102</v>
      </c>
      <c r="H702">
        <v>11</v>
      </c>
      <c r="I702" t="s">
        <v>4</v>
      </c>
      <c r="J702" t="s">
        <v>88</v>
      </c>
      <c r="K702">
        <v>0</v>
      </c>
      <c r="L702">
        <v>1</v>
      </c>
      <c r="M702">
        <v>0</v>
      </c>
      <c r="N702">
        <v>1</v>
      </c>
    </row>
    <row r="703" spans="1:14">
      <c r="A703" t="s">
        <v>25</v>
      </c>
      <c r="B703">
        <v>256</v>
      </c>
      <c r="C703" t="s">
        <v>116</v>
      </c>
      <c r="D703" s="9">
        <v>45894</v>
      </c>
      <c r="E703">
        <v>210</v>
      </c>
      <c r="F703" t="s">
        <v>4</v>
      </c>
      <c r="G703" t="s">
        <v>65</v>
      </c>
      <c r="H703">
        <v>15</v>
      </c>
      <c r="I703" t="s">
        <v>5</v>
      </c>
      <c r="J703" t="s">
        <v>89</v>
      </c>
      <c r="K703">
        <v>1</v>
      </c>
      <c r="L703">
        <v>0</v>
      </c>
      <c r="M703">
        <v>0</v>
      </c>
      <c r="N703">
        <v>1</v>
      </c>
    </row>
    <row r="704" spans="1:14">
      <c r="A704" t="s">
        <v>25</v>
      </c>
      <c r="B704">
        <v>256</v>
      </c>
      <c r="C704" t="s">
        <v>116</v>
      </c>
      <c r="D704" s="9">
        <v>45896</v>
      </c>
      <c r="E704">
        <v>211</v>
      </c>
      <c r="F704" t="s">
        <v>4</v>
      </c>
      <c r="G704" t="s">
        <v>65</v>
      </c>
      <c r="H704">
        <v>17</v>
      </c>
      <c r="I704" t="s">
        <v>5</v>
      </c>
      <c r="J704" t="s">
        <v>89</v>
      </c>
      <c r="K704">
        <v>1</v>
      </c>
      <c r="L704">
        <v>0</v>
      </c>
      <c r="M704">
        <v>0</v>
      </c>
      <c r="N704">
        <v>1</v>
      </c>
    </row>
    <row r="705" spans="1:14">
      <c r="A705" t="s">
        <v>25</v>
      </c>
      <c r="B705">
        <v>256</v>
      </c>
      <c r="C705" t="s">
        <v>116</v>
      </c>
      <c r="D705" s="9">
        <v>45896</v>
      </c>
      <c r="E705">
        <v>211</v>
      </c>
      <c r="F705" t="s">
        <v>4</v>
      </c>
      <c r="G705" t="s">
        <v>65</v>
      </c>
      <c r="H705">
        <v>17</v>
      </c>
      <c r="I705" t="s">
        <v>23</v>
      </c>
      <c r="J705" t="s">
        <v>89</v>
      </c>
      <c r="K705">
        <v>1</v>
      </c>
      <c r="L705">
        <v>0</v>
      </c>
      <c r="M705">
        <v>0</v>
      </c>
      <c r="N705">
        <v>1</v>
      </c>
    </row>
    <row r="706" spans="1:14">
      <c r="A706" t="s">
        <v>25</v>
      </c>
      <c r="B706">
        <v>256</v>
      </c>
      <c r="C706" t="s">
        <v>116</v>
      </c>
      <c r="D706" s="9">
        <v>45896</v>
      </c>
      <c r="E706">
        <v>211</v>
      </c>
      <c r="F706" t="s">
        <v>5</v>
      </c>
      <c r="G706" t="s">
        <v>102</v>
      </c>
      <c r="H706">
        <v>11</v>
      </c>
      <c r="I706" t="s">
        <v>4</v>
      </c>
      <c r="J706" t="s">
        <v>88</v>
      </c>
      <c r="K706">
        <v>0</v>
      </c>
      <c r="L706">
        <v>1</v>
      </c>
      <c r="M706">
        <v>0</v>
      </c>
      <c r="N706">
        <v>1</v>
      </c>
    </row>
    <row r="707" spans="1:14">
      <c r="A707" t="s">
        <v>25</v>
      </c>
      <c r="B707">
        <v>256</v>
      </c>
      <c r="C707" t="s">
        <v>116</v>
      </c>
      <c r="D707" s="9">
        <v>45896</v>
      </c>
      <c r="E707">
        <v>211</v>
      </c>
      <c r="F707" t="s">
        <v>5</v>
      </c>
      <c r="G707" t="s">
        <v>65</v>
      </c>
      <c r="H707">
        <v>11</v>
      </c>
      <c r="I707" t="s">
        <v>23</v>
      </c>
      <c r="J707" t="s">
        <v>89</v>
      </c>
      <c r="K707">
        <v>1</v>
      </c>
      <c r="L707">
        <v>0</v>
      </c>
      <c r="M707">
        <v>0</v>
      </c>
      <c r="N707">
        <v>1</v>
      </c>
    </row>
    <row r="708" spans="1:14">
      <c r="A708" t="s">
        <v>25</v>
      </c>
      <c r="B708">
        <v>256</v>
      </c>
      <c r="C708" t="s">
        <v>116</v>
      </c>
      <c r="D708" s="9">
        <v>45896</v>
      </c>
      <c r="E708">
        <v>211</v>
      </c>
      <c r="F708" t="s">
        <v>23</v>
      </c>
      <c r="G708" t="s">
        <v>102</v>
      </c>
      <c r="H708">
        <v>10</v>
      </c>
      <c r="I708" t="s">
        <v>4</v>
      </c>
      <c r="J708" t="s">
        <v>88</v>
      </c>
      <c r="K708">
        <v>0</v>
      </c>
      <c r="L708">
        <v>1</v>
      </c>
      <c r="M708">
        <v>0</v>
      </c>
      <c r="N708">
        <v>1</v>
      </c>
    </row>
    <row r="709" spans="1:14">
      <c r="A709" t="s">
        <v>25</v>
      </c>
      <c r="B709">
        <v>256</v>
      </c>
      <c r="C709" t="s">
        <v>116</v>
      </c>
      <c r="D709" s="9">
        <v>45896</v>
      </c>
      <c r="E709">
        <v>211</v>
      </c>
      <c r="F709" t="s">
        <v>23</v>
      </c>
      <c r="G709" t="s">
        <v>102</v>
      </c>
      <c r="H709">
        <v>10</v>
      </c>
      <c r="I709" t="s">
        <v>5</v>
      </c>
      <c r="J709" t="s">
        <v>88</v>
      </c>
      <c r="K709">
        <v>0</v>
      </c>
      <c r="L709">
        <v>1</v>
      </c>
      <c r="M709">
        <v>0</v>
      </c>
      <c r="N709">
        <v>1</v>
      </c>
    </row>
    <row r="710" spans="1:14">
      <c r="A710" t="s">
        <v>25</v>
      </c>
      <c r="B710">
        <v>256</v>
      </c>
      <c r="C710" t="s">
        <v>116</v>
      </c>
      <c r="D710" s="9">
        <v>45897</v>
      </c>
      <c r="E710">
        <v>212</v>
      </c>
      <c r="F710" t="s">
        <v>5</v>
      </c>
      <c r="G710" t="s">
        <v>102</v>
      </c>
      <c r="H710">
        <v>9</v>
      </c>
      <c r="I710" t="s">
        <v>4</v>
      </c>
      <c r="J710" t="s">
        <v>88</v>
      </c>
      <c r="K710">
        <v>0</v>
      </c>
      <c r="L710">
        <v>1</v>
      </c>
      <c r="M710">
        <v>0</v>
      </c>
      <c r="N710">
        <v>1</v>
      </c>
    </row>
    <row r="711" spans="1:14">
      <c r="A711" t="s">
        <v>25</v>
      </c>
      <c r="B711">
        <v>256</v>
      </c>
      <c r="C711" t="s">
        <v>116</v>
      </c>
      <c r="D711" s="9">
        <v>45897</v>
      </c>
      <c r="E711">
        <v>212</v>
      </c>
      <c r="F711" t="s">
        <v>4</v>
      </c>
      <c r="G711" t="s">
        <v>65</v>
      </c>
      <c r="H711">
        <v>15</v>
      </c>
      <c r="I711" t="s">
        <v>5</v>
      </c>
      <c r="J711" t="s">
        <v>89</v>
      </c>
      <c r="K711">
        <v>1</v>
      </c>
      <c r="L711">
        <v>0</v>
      </c>
      <c r="M711">
        <v>0</v>
      </c>
      <c r="N711">
        <v>1</v>
      </c>
    </row>
    <row r="712" spans="1:14">
      <c r="A712" t="s">
        <v>25</v>
      </c>
      <c r="B712">
        <v>256</v>
      </c>
      <c r="C712" t="s">
        <v>116</v>
      </c>
      <c r="D712" s="9">
        <v>45898</v>
      </c>
      <c r="E712">
        <v>213</v>
      </c>
      <c r="F712" t="s">
        <v>4</v>
      </c>
      <c r="G712" t="s">
        <v>65</v>
      </c>
      <c r="H712">
        <v>14</v>
      </c>
      <c r="I712" t="s">
        <v>6</v>
      </c>
      <c r="J712" t="s">
        <v>89</v>
      </c>
      <c r="K712">
        <v>1</v>
      </c>
      <c r="L712">
        <v>0</v>
      </c>
      <c r="M712">
        <v>0</v>
      </c>
      <c r="N712">
        <v>1</v>
      </c>
    </row>
    <row r="713" spans="1:14">
      <c r="A713" t="s">
        <v>25</v>
      </c>
      <c r="B713">
        <v>256</v>
      </c>
      <c r="C713" t="s">
        <v>116</v>
      </c>
      <c r="D713" s="9">
        <v>45898</v>
      </c>
      <c r="E713">
        <v>213</v>
      </c>
      <c r="F713" t="s">
        <v>4</v>
      </c>
      <c r="G713" t="s">
        <v>102</v>
      </c>
      <c r="H713">
        <v>14</v>
      </c>
      <c r="I713" t="s">
        <v>5</v>
      </c>
      <c r="J713" t="s">
        <v>89</v>
      </c>
      <c r="K713">
        <v>1</v>
      </c>
      <c r="L713">
        <v>0</v>
      </c>
      <c r="M713">
        <v>0</v>
      </c>
      <c r="N713">
        <v>1</v>
      </c>
    </row>
    <row r="714" spans="1:14">
      <c r="A714" t="s">
        <v>25</v>
      </c>
      <c r="B714">
        <v>256</v>
      </c>
      <c r="C714" t="s">
        <v>116</v>
      </c>
      <c r="D714" s="9">
        <v>45898</v>
      </c>
      <c r="E714">
        <v>213</v>
      </c>
      <c r="F714" t="s">
        <v>6</v>
      </c>
      <c r="G714" t="s">
        <v>102</v>
      </c>
      <c r="H714">
        <v>8</v>
      </c>
      <c r="I714" t="s">
        <v>4</v>
      </c>
      <c r="J714" t="s">
        <v>88</v>
      </c>
      <c r="K714">
        <v>0</v>
      </c>
      <c r="L714">
        <v>1</v>
      </c>
      <c r="M714">
        <v>0</v>
      </c>
      <c r="N714">
        <v>1</v>
      </c>
    </row>
    <row r="715" spans="1:14">
      <c r="A715" t="s">
        <v>25</v>
      </c>
      <c r="B715">
        <v>256</v>
      </c>
      <c r="C715" t="s">
        <v>116</v>
      </c>
      <c r="D715" s="9">
        <v>45898</v>
      </c>
      <c r="E715">
        <v>213</v>
      </c>
      <c r="F715" t="s">
        <v>5</v>
      </c>
      <c r="G715" t="s">
        <v>65</v>
      </c>
      <c r="H715">
        <v>9</v>
      </c>
      <c r="I715" t="s">
        <v>6</v>
      </c>
      <c r="J715" t="s">
        <v>89</v>
      </c>
      <c r="K715">
        <v>1</v>
      </c>
      <c r="L715">
        <v>0</v>
      </c>
      <c r="M715">
        <v>0</v>
      </c>
      <c r="N715">
        <v>1</v>
      </c>
    </row>
    <row r="716" spans="1:14">
      <c r="A716" t="s">
        <v>25</v>
      </c>
      <c r="B716">
        <v>256</v>
      </c>
      <c r="C716" t="s">
        <v>116</v>
      </c>
      <c r="D716" s="9">
        <v>45898</v>
      </c>
      <c r="E716">
        <v>213</v>
      </c>
      <c r="F716" t="s">
        <v>5</v>
      </c>
      <c r="G716" t="s">
        <v>65</v>
      </c>
      <c r="H716">
        <v>9</v>
      </c>
      <c r="I716" t="s">
        <v>4</v>
      </c>
      <c r="J716" t="s">
        <v>88</v>
      </c>
      <c r="K716">
        <v>0</v>
      </c>
      <c r="L716">
        <v>1</v>
      </c>
      <c r="M716">
        <v>0</v>
      </c>
      <c r="N716">
        <v>1</v>
      </c>
    </row>
    <row r="717" spans="1:14">
      <c r="A717" t="s">
        <v>25</v>
      </c>
      <c r="B717">
        <v>256</v>
      </c>
      <c r="C717" t="s">
        <v>116</v>
      </c>
      <c r="D717" s="9">
        <v>45898</v>
      </c>
      <c r="E717">
        <v>213</v>
      </c>
      <c r="F717" t="s">
        <v>6</v>
      </c>
      <c r="G717" t="s">
        <v>102</v>
      </c>
      <c r="H717">
        <v>8</v>
      </c>
      <c r="I717" t="s">
        <v>5</v>
      </c>
      <c r="J717" t="s">
        <v>88</v>
      </c>
      <c r="K717">
        <v>0</v>
      </c>
      <c r="L717">
        <v>1</v>
      </c>
      <c r="M717">
        <v>0</v>
      </c>
      <c r="N717">
        <v>1</v>
      </c>
    </row>
    <row r="718" spans="1:14">
      <c r="A718" t="s">
        <v>25</v>
      </c>
      <c r="B718">
        <v>256</v>
      </c>
      <c r="C718" t="s">
        <v>116</v>
      </c>
      <c r="D718" s="9">
        <v>45902</v>
      </c>
      <c r="E718">
        <v>214</v>
      </c>
      <c r="F718" t="s">
        <v>4</v>
      </c>
      <c r="G718" t="s">
        <v>65</v>
      </c>
      <c r="H718">
        <v>8</v>
      </c>
      <c r="I718" t="s">
        <v>5</v>
      </c>
      <c r="J718" t="s">
        <v>88</v>
      </c>
      <c r="K718">
        <v>0</v>
      </c>
      <c r="L718">
        <v>1</v>
      </c>
      <c r="M718">
        <v>0</v>
      </c>
      <c r="N718">
        <v>1</v>
      </c>
    </row>
    <row r="719" spans="1:14">
      <c r="A719" t="s">
        <v>25</v>
      </c>
      <c r="B719">
        <v>256</v>
      </c>
      <c r="C719" t="s">
        <v>116</v>
      </c>
      <c r="D719" s="9">
        <v>45902</v>
      </c>
      <c r="E719">
        <v>214</v>
      </c>
      <c r="F719" t="s">
        <v>5</v>
      </c>
      <c r="G719" t="s">
        <v>102</v>
      </c>
      <c r="H719">
        <v>9</v>
      </c>
      <c r="I719" t="s">
        <v>4</v>
      </c>
      <c r="J719" t="s">
        <v>89</v>
      </c>
      <c r="K719">
        <v>1</v>
      </c>
      <c r="L719">
        <v>0</v>
      </c>
      <c r="M719">
        <v>0</v>
      </c>
      <c r="N719">
        <v>1</v>
      </c>
    </row>
    <row r="720" spans="1:14">
      <c r="A720" t="s">
        <v>25</v>
      </c>
      <c r="B720">
        <v>256</v>
      </c>
      <c r="C720" t="s">
        <v>116</v>
      </c>
      <c r="D720" s="9">
        <v>45903</v>
      </c>
      <c r="E720">
        <v>215</v>
      </c>
      <c r="F720" t="s">
        <v>4</v>
      </c>
      <c r="G720" t="s">
        <v>65</v>
      </c>
      <c r="H720">
        <v>14</v>
      </c>
      <c r="I720" t="s">
        <v>5</v>
      </c>
      <c r="J720" t="s">
        <v>89</v>
      </c>
      <c r="K720">
        <v>1</v>
      </c>
      <c r="L720">
        <v>0</v>
      </c>
      <c r="M720">
        <v>0</v>
      </c>
      <c r="N720">
        <v>1</v>
      </c>
    </row>
    <row r="721" spans="1:14">
      <c r="A721" t="s">
        <v>25</v>
      </c>
      <c r="B721">
        <v>256</v>
      </c>
      <c r="C721" t="s">
        <v>116</v>
      </c>
      <c r="D721" s="9">
        <v>45903</v>
      </c>
      <c r="E721">
        <v>215</v>
      </c>
      <c r="F721" t="s">
        <v>5</v>
      </c>
      <c r="G721" t="s">
        <v>102</v>
      </c>
      <c r="H721">
        <v>8</v>
      </c>
      <c r="I721" t="s">
        <v>4</v>
      </c>
      <c r="J721" t="s">
        <v>88</v>
      </c>
      <c r="K721">
        <v>0</v>
      </c>
      <c r="L721">
        <v>1</v>
      </c>
      <c r="M721">
        <v>0</v>
      </c>
      <c r="N721">
        <v>1</v>
      </c>
    </row>
    <row r="722" spans="1:14">
      <c r="A722" t="s">
        <v>25</v>
      </c>
      <c r="B722">
        <v>256</v>
      </c>
      <c r="C722" t="s">
        <v>116</v>
      </c>
      <c r="D722" s="9">
        <v>45904</v>
      </c>
      <c r="E722">
        <v>216</v>
      </c>
      <c r="F722" t="s">
        <v>4</v>
      </c>
      <c r="G722" t="s">
        <v>65</v>
      </c>
      <c r="H722">
        <v>17</v>
      </c>
      <c r="I722" t="s">
        <v>5</v>
      </c>
      <c r="J722" t="s">
        <v>89</v>
      </c>
      <c r="K722">
        <v>1</v>
      </c>
      <c r="L722">
        <v>0</v>
      </c>
      <c r="M722">
        <v>0</v>
      </c>
      <c r="N722">
        <v>1</v>
      </c>
    </row>
    <row r="723" spans="1:14">
      <c r="A723" t="s">
        <v>25</v>
      </c>
      <c r="B723">
        <v>256</v>
      </c>
      <c r="C723" t="s">
        <v>116</v>
      </c>
      <c r="D723" s="9">
        <v>45904</v>
      </c>
      <c r="E723">
        <v>216</v>
      </c>
      <c r="F723" t="s">
        <v>5</v>
      </c>
      <c r="G723" t="s">
        <v>102</v>
      </c>
      <c r="H723">
        <v>10</v>
      </c>
      <c r="I723" t="s">
        <v>4</v>
      </c>
      <c r="J723" t="s">
        <v>88</v>
      </c>
      <c r="K723">
        <v>0</v>
      </c>
      <c r="L723">
        <v>1</v>
      </c>
      <c r="M723">
        <v>0</v>
      </c>
      <c r="N723">
        <v>1</v>
      </c>
    </row>
    <row r="724" spans="1:14">
      <c r="A724" t="s">
        <v>25</v>
      </c>
      <c r="B724">
        <v>256</v>
      </c>
      <c r="C724" t="s">
        <v>116</v>
      </c>
      <c r="D724" s="9">
        <v>45910</v>
      </c>
      <c r="E724">
        <v>217</v>
      </c>
      <c r="F724" t="s">
        <v>4</v>
      </c>
      <c r="G724" t="s">
        <v>102</v>
      </c>
      <c r="H724">
        <v>12</v>
      </c>
      <c r="I724" t="s">
        <v>5</v>
      </c>
      <c r="J724" t="s">
        <v>89</v>
      </c>
      <c r="K724">
        <v>1</v>
      </c>
      <c r="L724">
        <v>0</v>
      </c>
      <c r="M724">
        <v>0</v>
      </c>
      <c r="N724">
        <v>1</v>
      </c>
    </row>
    <row r="725" spans="1:14">
      <c r="A725" t="s">
        <v>25</v>
      </c>
      <c r="B725">
        <v>256</v>
      </c>
      <c r="C725" t="s">
        <v>116</v>
      </c>
      <c r="D725" s="9">
        <v>45910</v>
      </c>
      <c r="E725">
        <v>217</v>
      </c>
      <c r="F725" t="s">
        <v>5</v>
      </c>
      <c r="G725" t="s">
        <v>65</v>
      </c>
      <c r="H725">
        <v>6</v>
      </c>
      <c r="I725" t="s">
        <v>4</v>
      </c>
      <c r="J725" t="s">
        <v>88</v>
      </c>
      <c r="K725">
        <v>0</v>
      </c>
      <c r="L725">
        <v>1</v>
      </c>
      <c r="M725">
        <v>0</v>
      </c>
      <c r="N725">
        <v>1</v>
      </c>
    </row>
    <row r="726" spans="1:14">
      <c r="A726" t="s">
        <v>25</v>
      </c>
      <c r="B726">
        <v>256</v>
      </c>
      <c r="C726" t="s">
        <v>116</v>
      </c>
      <c r="D726" s="9">
        <v>45911</v>
      </c>
      <c r="E726">
        <v>218</v>
      </c>
      <c r="F726" t="s">
        <v>4</v>
      </c>
      <c r="G726" t="s">
        <v>65</v>
      </c>
      <c r="H726">
        <v>8</v>
      </c>
      <c r="I726" t="s">
        <v>5</v>
      </c>
      <c r="J726" t="s">
        <v>88</v>
      </c>
      <c r="K726">
        <v>0</v>
      </c>
      <c r="L726">
        <v>1</v>
      </c>
      <c r="M726">
        <v>0</v>
      </c>
      <c r="N726">
        <v>1</v>
      </c>
    </row>
    <row r="727" spans="1:14">
      <c r="A727" t="s">
        <v>25</v>
      </c>
      <c r="B727">
        <v>256</v>
      </c>
      <c r="C727" t="s">
        <v>116</v>
      </c>
      <c r="D727" s="9">
        <v>45911</v>
      </c>
      <c r="E727">
        <v>218</v>
      </c>
      <c r="F727" t="s">
        <v>5</v>
      </c>
      <c r="G727" t="s">
        <v>102</v>
      </c>
      <c r="H727">
        <v>10</v>
      </c>
      <c r="I727" t="s">
        <v>4</v>
      </c>
      <c r="J727" t="s">
        <v>89</v>
      </c>
      <c r="K727">
        <v>1</v>
      </c>
      <c r="L727">
        <v>0</v>
      </c>
      <c r="M727">
        <v>0</v>
      </c>
      <c r="N727">
        <v>1</v>
      </c>
    </row>
    <row r="728" spans="1:14">
      <c r="A728" t="s">
        <v>25</v>
      </c>
      <c r="B728">
        <v>256</v>
      </c>
      <c r="C728" t="s">
        <v>116</v>
      </c>
      <c r="D728" s="9">
        <v>45915</v>
      </c>
      <c r="E728">
        <v>219</v>
      </c>
      <c r="F728" t="s">
        <v>4</v>
      </c>
      <c r="G728" t="s">
        <v>102</v>
      </c>
      <c r="H728">
        <v>16</v>
      </c>
      <c r="I728" t="s">
        <v>5</v>
      </c>
      <c r="J728" t="s">
        <v>89</v>
      </c>
      <c r="K728">
        <v>1</v>
      </c>
      <c r="L728">
        <v>0</v>
      </c>
      <c r="M728">
        <v>0</v>
      </c>
      <c r="N728">
        <v>1</v>
      </c>
    </row>
    <row r="729" spans="1:14">
      <c r="A729" t="s">
        <v>25</v>
      </c>
      <c r="B729">
        <v>256</v>
      </c>
      <c r="C729" t="s">
        <v>116</v>
      </c>
      <c r="D729" s="9">
        <v>45915</v>
      </c>
      <c r="E729">
        <v>219</v>
      </c>
      <c r="F729" t="s">
        <v>5</v>
      </c>
      <c r="G729" t="s">
        <v>65</v>
      </c>
      <c r="H729">
        <v>10</v>
      </c>
      <c r="I729" t="s">
        <v>4</v>
      </c>
      <c r="J729" t="s">
        <v>88</v>
      </c>
      <c r="K729">
        <v>0</v>
      </c>
      <c r="L729">
        <v>1</v>
      </c>
      <c r="M729">
        <v>0</v>
      </c>
      <c r="N729">
        <v>1</v>
      </c>
    </row>
    <row r="730" spans="1:14">
      <c r="A730" t="s">
        <v>25</v>
      </c>
      <c r="B730">
        <v>256</v>
      </c>
      <c r="C730" t="s">
        <v>116</v>
      </c>
      <c r="D730" s="9">
        <v>45916</v>
      </c>
      <c r="E730">
        <v>220</v>
      </c>
      <c r="F730" t="s">
        <v>4</v>
      </c>
      <c r="G730" t="s">
        <v>102</v>
      </c>
      <c r="H730">
        <v>8</v>
      </c>
      <c r="I730" t="s">
        <v>5</v>
      </c>
      <c r="J730" t="s">
        <v>88</v>
      </c>
      <c r="K730">
        <v>0</v>
      </c>
      <c r="L730">
        <v>1</v>
      </c>
      <c r="M730">
        <v>0</v>
      </c>
      <c r="N730">
        <v>1</v>
      </c>
    </row>
    <row r="731" spans="1:14">
      <c r="A731" t="s">
        <v>25</v>
      </c>
      <c r="B731">
        <v>256</v>
      </c>
      <c r="C731" t="s">
        <v>116</v>
      </c>
      <c r="D731" s="9">
        <v>45916</v>
      </c>
      <c r="E731">
        <v>220</v>
      </c>
      <c r="F731" t="s">
        <v>5</v>
      </c>
      <c r="G731" t="s">
        <v>65</v>
      </c>
      <c r="H731">
        <v>10</v>
      </c>
      <c r="I731" t="s">
        <v>4</v>
      </c>
      <c r="J731" t="s">
        <v>89</v>
      </c>
      <c r="K731">
        <v>1</v>
      </c>
      <c r="L731">
        <v>0</v>
      </c>
      <c r="M731">
        <v>0</v>
      </c>
      <c r="N731">
        <v>1</v>
      </c>
    </row>
    <row r="732" spans="1:14">
      <c r="A732" t="s">
        <v>25</v>
      </c>
      <c r="B732">
        <v>256</v>
      </c>
      <c r="C732" t="s">
        <v>116</v>
      </c>
      <c r="D732" s="9">
        <v>45917</v>
      </c>
      <c r="E732">
        <v>221</v>
      </c>
      <c r="F732" t="s">
        <v>4</v>
      </c>
      <c r="G732" t="s">
        <v>65</v>
      </c>
      <c r="H732">
        <v>8</v>
      </c>
      <c r="I732" t="s">
        <v>5</v>
      </c>
      <c r="J732" t="s">
        <v>89</v>
      </c>
      <c r="K732">
        <v>1</v>
      </c>
      <c r="L732">
        <v>0</v>
      </c>
      <c r="M732">
        <v>0</v>
      </c>
      <c r="N732">
        <v>1</v>
      </c>
    </row>
    <row r="733" spans="1:14">
      <c r="A733" t="s">
        <v>25</v>
      </c>
      <c r="B733">
        <v>256</v>
      </c>
      <c r="C733" t="s">
        <v>116</v>
      </c>
      <c r="D733" s="9">
        <v>45917</v>
      </c>
      <c r="E733">
        <v>221</v>
      </c>
      <c r="F733" t="s">
        <v>5</v>
      </c>
      <c r="G733" t="s">
        <v>102</v>
      </c>
      <c r="H733">
        <v>6</v>
      </c>
      <c r="I733" t="s">
        <v>4</v>
      </c>
      <c r="J733" t="s">
        <v>88</v>
      </c>
      <c r="K733">
        <v>0</v>
      </c>
      <c r="L733">
        <v>1</v>
      </c>
      <c r="M733">
        <v>0</v>
      </c>
      <c r="N733">
        <v>1</v>
      </c>
    </row>
    <row r="734" spans="1:14">
      <c r="A734" t="s">
        <v>25</v>
      </c>
      <c r="B734">
        <v>256</v>
      </c>
      <c r="C734" t="s">
        <v>116</v>
      </c>
      <c r="D734" s="9">
        <v>45918</v>
      </c>
      <c r="E734">
        <v>222</v>
      </c>
      <c r="F734" t="s">
        <v>4</v>
      </c>
      <c r="G734" t="s">
        <v>102</v>
      </c>
      <c r="H734">
        <v>14</v>
      </c>
      <c r="I734" t="s">
        <v>5</v>
      </c>
      <c r="J734" t="s">
        <v>89</v>
      </c>
      <c r="K734">
        <v>1</v>
      </c>
      <c r="L734">
        <v>0</v>
      </c>
      <c r="M734">
        <v>0</v>
      </c>
      <c r="N734">
        <v>1</v>
      </c>
    </row>
    <row r="735" spans="1:14">
      <c r="A735" t="s">
        <v>25</v>
      </c>
      <c r="B735">
        <v>256</v>
      </c>
      <c r="C735" t="s">
        <v>116</v>
      </c>
      <c r="D735" s="9">
        <v>45918</v>
      </c>
      <c r="E735">
        <v>222</v>
      </c>
      <c r="F735" t="s">
        <v>5</v>
      </c>
      <c r="G735" t="s">
        <v>65</v>
      </c>
      <c r="H735">
        <v>12</v>
      </c>
      <c r="I735" t="s">
        <v>4</v>
      </c>
      <c r="J735" t="s">
        <v>88</v>
      </c>
      <c r="K735">
        <v>0</v>
      </c>
      <c r="L735">
        <v>1</v>
      </c>
      <c r="M735">
        <v>0</v>
      </c>
      <c r="N735">
        <v>1</v>
      </c>
    </row>
    <row r="736" spans="1:14">
      <c r="A736" t="s">
        <v>25</v>
      </c>
      <c r="B736">
        <v>256</v>
      </c>
      <c r="C736" t="s">
        <v>116</v>
      </c>
      <c r="D736" s="9">
        <v>45919</v>
      </c>
      <c r="E736">
        <v>223</v>
      </c>
      <c r="F736" t="s">
        <v>4</v>
      </c>
      <c r="G736" t="s">
        <v>102</v>
      </c>
      <c r="H736">
        <v>12</v>
      </c>
      <c r="I736" t="s">
        <v>5</v>
      </c>
      <c r="J736" t="s">
        <v>89</v>
      </c>
      <c r="K736">
        <v>1</v>
      </c>
      <c r="L736">
        <v>0</v>
      </c>
      <c r="M736">
        <v>0</v>
      </c>
      <c r="N736">
        <v>1</v>
      </c>
    </row>
    <row r="737" spans="1:14">
      <c r="A737" t="s">
        <v>25</v>
      </c>
      <c r="B737">
        <v>256</v>
      </c>
      <c r="C737" t="s">
        <v>116</v>
      </c>
      <c r="D737" s="9">
        <v>45919</v>
      </c>
      <c r="E737">
        <v>223</v>
      </c>
      <c r="F737" t="s">
        <v>5</v>
      </c>
      <c r="G737" t="s">
        <v>65</v>
      </c>
      <c r="H737">
        <v>11</v>
      </c>
      <c r="I737" t="s">
        <v>4</v>
      </c>
      <c r="J737" t="s">
        <v>88</v>
      </c>
      <c r="K737">
        <v>0</v>
      </c>
      <c r="L737">
        <v>1</v>
      </c>
      <c r="M737">
        <v>0</v>
      </c>
      <c r="N737">
        <v>1</v>
      </c>
    </row>
    <row r="738" spans="1:14">
      <c r="A738" t="s">
        <v>25</v>
      </c>
      <c r="B738">
        <v>256</v>
      </c>
      <c r="C738" t="s">
        <v>116</v>
      </c>
      <c r="D738" s="9">
        <v>45923</v>
      </c>
      <c r="E738">
        <v>224</v>
      </c>
      <c r="F738" t="s">
        <v>4</v>
      </c>
      <c r="G738" t="s">
        <v>102</v>
      </c>
      <c r="H738">
        <v>14</v>
      </c>
      <c r="I738" t="s">
        <v>5</v>
      </c>
      <c r="J738" t="s">
        <v>89</v>
      </c>
      <c r="K738">
        <v>1</v>
      </c>
      <c r="L738">
        <v>0</v>
      </c>
      <c r="M738">
        <v>0</v>
      </c>
      <c r="N738">
        <v>1</v>
      </c>
    </row>
    <row r="739" spans="1:14">
      <c r="A739" t="s">
        <v>25</v>
      </c>
      <c r="B739">
        <v>256</v>
      </c>
      <c r="C739" t="s">
        <v>116</v>
      </c>
      <c r="D739" s="9">
        <v>45923</v>
      </c>
      <c r="E739">
        <v>224</v>
      </c>
      <c r="F739" t="s">
        <v>5</v>
      </c>
      <c r="G739" t="s">
        <v>65</v>
      </c>
      <c r="H739">
        <v>8</v>
      </c>
      <c r="I739" t="s">
        <v>4</v>
      </c>
      <c r="J739" t="s">
        <v>88</v>
      </c>
      <c r="K739">
        <v>0</v>
      </c>
      <c r="L739">
        <v>1</v>
      </c>
      <c r="M739">
        <v>0</v>
      </c>
      <c r="N739">
        <v>1</v>
      </c>
    </row>
    <row r="740" spans="1:14">
      <c r="A740" t="s">
        <v>25</v>
      </c>
      <c r="B740">
        <v>256</v>
      </c>
      <c r="C740" t="s">
        <v>116</v>
      </c>
      <c r="D740" s="9">
        <v>45924</v>
      </c>
      <c r="E740">
        <v>225</v>
      </c>
      <c r="F740" t="s">
        <v>4</v>
      </c>
      <c r="G740" t="s">
        <v>102</v>
      </c>
      <c r="H740">
        <v>7</v>
      </c>
      <c r="I740" t="s">
        <v>5</v>
      </c>
      <c r="J740" t="s">
        <v>88</v>
      </c>
      <c r="K740">
        <v>0</v>
      </c>
      <c r="L740">
        <v>1</v>
      </c>
      <c r="M740">
        <v>0</v>
      </c>
      <c r="N740">
        <v>1</v>
      </c>
    </row>
    <row r="741" spans="1:14">
      <c r="A741" t="s">
        <v>25</v>
      </c>
      <c r="B741">
        <v>256</v>
      </c>
      <c r="C741" t="s">
        <v>116</v>
      </c>
      <c r="D741" s="9">
        <v>45924</v>
      </c>
      <c r="E741">
        <v>225</v>
      </c>
      <c r="F741" t="s">
        <v>5</v>
      </c>
      <c r="G741" t="s">
        <v>65</v>
      </c>
      <c r="H741">
        <v>10</v>
      </c>
      <c r="I741" t="s">
        <v>4</v>
      </c>
      <c r="J741" t="s">
        <v>89</v>
      </c>
      <c r="K741">
        <v>1</v>
      </c>
      <c r="L741">
        <v>0</v>
      </c>
      <c r="M741">
        <v>0</v>
      </c>
      <c r="N741">
        <v>1</v>
      </c>
    </row>
    <row r="742" spans="1:14">
      <c r="A742" t="s">
        <v>25</v>
      </c>
      <c r="B742">
        <v>256</v>
      </c>
      <c r="C742" t="s">
        <v>116</v>
      </c>
      <c r="D742" s="9">
        <v>45926</v>
      </c>
      <c r="E742">
        <v>226</v>
      </c>
      <c r="F742" t="s">
        <v>4</v>
      </c>
      <c r="G742" t="s">
        <v>102</v>
      </c>
      <c r="H742">
        <v>5</v>
      </c>
      <c r="I742" t="s">
        <v>5</v>
      </c>
      <c r="J742" t="s">
        <v>88</v>
      </c>
      <c r="K742">
        <v>0</v>
      </c>
      <c r="L742">
        <v>1</v>
      </c>
      <c r="M742">
        <v>0</v>
      </c>
      <c r="N742">
        <v>1</v>
      </c>
    </row>
    <row r="743" spans="1:14">
      <c r="A743" t="s">
        <v>25</v>
      </c>
      <c r="B743">
        <v>256</v>
      </c>
      <c r="C743" t="s">
        <v>116</v>
      </c>
      <c r="D743" s="9">
        <v>45926</v>
      </c>
      <c r="E743">
        <v>226</v>
      </c>
      <c r="F743" t="s">
        <v>4</v>
      </c>
      <c r="G743" t="s">
        <v>102</v>
      </c>
      <c r="H743">
        <v>5</v>
      </c>
      <c r="I743" t="s">
        <v>78</v>
      </c>
      <c r="J743" t="s">
        <v>89</v>
      </c>
      <c r="K743">
        <v>1</v>
      </c>
      <c r="L743">
        <v>0</v>
      </c>
      <c r="M743">
        <v>0</v>
      </c>
      <c r="N743">
        <v>1</v>
      </c>
    </row>
    <row r="744" spans="1:14">
      <c r="A744" t="s">
        <v>25</v>
      </c>
      <c r="B744">
        <v>256</v>
      </c>
      <c r="C744" t="s">
        <v>116</v>
      </c>
      <c r="D744" s="9">
        <v>45926</v>
      </c>
      <c r="E744">
        <v>226</v>
      </c>
      <c r="F744" t="s">
        <v>78</v>
      </c>
      <c r="G744" t="s">
        <v>65</v>
      </c>
      <c r="H744">
        <v>3</v>
      </c>
      <c r="I744" t="s">
        <v>4</v>
      </c>
      <c r="J744" t="s">
        <v>88</v>
      </c>
      <c r="K744">
        <v>0</v>
      </c>
      <c r="L744">
        <v>1</v>
      </c>
      <c r="M744">
        <v>0</v>
      </c>
      <c r="N744">
        <v>1</v>
      </c>
    </row>
    <row r="745" spans="1:14">
      <c r="A745" t="s">
        <v>25</v>
      </c>
      <c r="B745">
        <v>256</v>
      </c>
      <c r="C745" t="s">
        <v>116</v>
      </c>
      <c r="D745" s="9">
        <v>45926</v>
      </c>
      <c r="E745">
        <v>226</v>
      </c>
      <c r="F745" t="s">
        <v>78</v>
      </c>
      <c r="G745" t="s">
        <v>65</v>
      </c>
      <c r="H745">
        <v>3</v>
      </c>
      <c r="I745" t="s">
        <v>5</v>
      </c>
      <c r="J745" t="s">
        <v>88</v>
      </c>
      <c r="K745">
        <v>0</v>
      </c>
      <c r="L745">
        <v>1</v>
      </c>
      <c r="M745">
        <v>0</v>
      </c>
      <c r="N745">
        <v>1</v>
      </c>
    </row>
    <row r="746" spans="1:14">
      <c r="A746" t="s">
        <v>25</v>
      </c>
      <c r="B746">
        <v>256</v>
      </c>
      <c r="C746" t="s">
        <v>116</v>
      </c>
      <c r="D746" s="9">
        <v>45926</v>
      </c>
      <c r="E746">
        <v>226</v>
      </c>
      <c r="F746" t="s">
        <v>5</v>
      </c>
      <c r="G746" t="s">
        <v>65</v>
      </c>
      <c r="H746">
        <v>12</v>
      </c>
      <c r="I746" t="s">
        <v>4</v>
      </c>
      <c r="J746" t="s">
        <v>89</v>
      </c>
      <c r="K746">
        <v>1</v>
      </c>
      <c r="L746">
        <v>0</v>
      </c>
      <c r="M746">
        <v>0</v>
      </c>
      <c r="N746">
        <v>1</v>
      </c>
    </row>
    <row r="747" spans="1:14">
      <c r="A747" t="s">
        <v>25</v>
      </c>
      <c r="B747">
        <v>256</v>
      </c>
      <c r="C747" t="s">
        <v>116</v>
      </c>
      <c r="D747" s="9">
        <v>45926</v>
      </c>
      <c r="E747">
        <v>226</v>
      </c>
      <c r="F747" t="s">
        <v>5</v>
      </c>
      <c r="G747" t="s">
        <v>102</v>
      </c>
      <c r="H747">
        <v>12</v>
      </c>
      <c r="I747" t="s">
        <v>78</v>
      </c>
      <c r="J747" t="s">
        <v>89</v>
      </c>
      <c r="K747">
        <v>1</v>
      </c>
      <c r="L747">
        <v>0</v>
      </c>
      <c r="M747">
        <v>0</v>
      </c>
      <c r="N747">
        <v>1</v>
      </c>
    </row>
    <row r="748" spans="1:14">
      <c r="A748" t="s">
        <v>25</v>
      </c>
      <c r="B748">
        <v>256</v>
      </c>
      <c r="C748" t="s">
        <v>116</v>
      </c>
      <c r="D748" s="9">
        <v>45929</v>
      </c>
      <c r="E748">
        <v>227</v>
      </c>
      <c r="F748" t="s">
        <v>5</v>
      </c>
      <c r="G748" t="s">
        <v>102</v>
      </c>
      <c r="H748">
        <v>12</v>
      </c>
      <c r="I748" t="s">
        <v>4</v>
      </c>
      <c r="J748" t="s">
        <v>89</v>
      </c>
      <c r="K748">
        <v>1</v>
      </c>
      <c r="L748">
        <v>0</v>
      </c>
      <c r="M748">
        <v>0</v>
      </c>
      <c r="N748">
        <v>1</v>
      </c>
    </row>
    <row r="749" spans="1:14">
      <c r="A749" t="s">
        <v>25</v>
      </c>
      <c r="B749">
        <v>256</v>
      </c>
      <c r="C749" t="s">
        <v>116</v>
      </c>
      <c r="D749" s="9">
        <v>45929</v>
      </c>
      <c r="E749">
        <v>227</v>
      </c>
      <c r="F749" t="s">
        <v>4</v>
      </c>
      <c r="G749" t="s">
        <v>65</v>
      </c>
      <c r="H749">
        <v>11</v>
      </c>
      <c r="I749" t="s">
        <v>5</v>
      </c>
      <c r="J749" t="s">
        <v>88</v>
      </c>
      <c r="K749">
        <v>0</v>
      </c>
      <c r="L749">
        <v>1</v>
      </c>
      <c r="M749">
        <v>0</v>
      </c>
      <c r="N749">
        <v>1</v>
      </c>
    </row>
    <row r="750" spans="1:14">
      <c r="A750" t="s">
        <v>25</v>
      </c>
      <c r="B750">
        <v>256</v>
      </c>
      <c r="C750" t="s">
        <v>116</v>
      </c>
      <c r="D750" s="9">
        <v>45930</v>
      </c>
      <c r="E750">
        <v>228</v>
      </c>
      <c r="F750" t="s">
        <v>4</v>
      </c>
      <c r="G750" t="s">
        <v>65</v>
      </c>
      <c r="H750">
        <v>15</v>
      </c>
      <c r="I750" t="s">
        <v>5</v>
      </c>
      <c r="J750" t="s">
        <v>89</v>
      </c>
      <c r="K750">
        <v>1</v>
      </c>
      <c r="L750">
        <v>0</v>
      </c>
      <c r="M750">
        <v>0</v>
      </c>
      <c r="N750">
        <v>1</v>
      </c>
    </row>
    <row r="751" spans="1:14">
      <c r="A751" t="s">
        <v>25</v>
      </c>
      <c r="B751">
        <v>256</v>
      </c>
      <c r="C751" t="s">
        <v>116</v>
      </c>
      <c r="D751" s="9">
        <v>45930</v>
      </c>
      <c r="E751">
        <v>228</v>
      </c>
      <c r="F751" t="s">
        <v>5</v>
      </c>
      <c r="G751" t="s">
        <v>102</v>
      </c>
      <c r="H751">
        <v>11</v>
      </c>
      <c r="I751" t="s">
        <v>4</v>
      </c>
      <c r="J751" t="s">
        <v>88</v>
      </c>
      <c r="K751">
        <v>0</v>
      </c>
      <c r="L751">
        <v>1</v>
      </c>
      <c r="M751">
        <v>0</v>
      </c>
      <c r="N751">
        <v>1</v>
      </c>
    </row>
    <row r="752" spans="1:14">
      <c r="A752" t="s">
        <v>25</v>
      </c>
      <c r="B752">
        <v>256</v>
      </c>
      <c r="C752" t="s">
        <v>116</v>
      </c>
      <c r="D752" s="9">
        <v>45931</v>
      </c>
      <c r="E752">
        <v>229</v>
      </c>
      <c r="F752" t="s">
        <v>4</v>
      </c>
      <c r="G752" t="s">
        <v>65</v>
      </c>
      <c r="H752">
        <v>15</v>
      </c>
      <c r="I752" t="s">
        <v>5</v>
      </c>
      <c r="J752" t="s">
        <v>89</v>
      </c>
      <c r="K752">
        <v>1</v>
      </c>
      <c r="L752">
        <v>0</v>
      </c>
      <c r="M752">
        <v>0</v>
      </c>
      <c r="N752">
        <v>1</v>
      </c>
    </row>
    <row r="753" spans="1:14">
      <c r="A753" t="s">
        <v>25</v>
      </c>
      <c r="B753">
        <v>256</v>
      </c>
      <c r="C753" t="s">
        <v>116</v>
      </c>
      <c r="D753" s="9">
        <v>45931</v>
      </c>
      <c r="E753">
        <v>229</v>
      </c>
      <c r="F753" t="s">
        <v>5</v>
      </c>
      <c r="G753" t="s">
        <v>102</v>
      </c>
      <c r="H753">
        <v>10</v>
      </c>
      <c r="I753" t="s">
        <v>4</v>
      </c>
      <c r="J753" t="s">
        <v>88</v>
      </c>
      <c r="K753">
        <v>0</v>
      </c>
      <c r="L753">
        <v>1</v>
      </c>
      <c r="M753">
        <v>0</v>
      </c>
      <c r="N753">
        <v>1</v>
      </c>
    </row>
    <row r="754" spans="1:14">
      <c r="A754" t="s">
        <v>25</v>
      </c>
      <c r="B754">
        <v>256</v>
      </c>
      <c r="C754" t="s">
        <v>116</v>
      </c>
      <c r="D754" s="9">
        <v>45938</v>
      </c>
      <c r="E754">
        <v>230</v>
      </c>
      <c r="F754" t="s">
        <v>4</v>
      </c>
      <c r="G754" t="s">
        <v>65</v>
      </c>
      <c r="H754">
        <v>9</v>
      </c>
      <c r="I754" t="s">
        <v>5</v>
      </c>
      <c r="J754" t="s">
        <v>88</v>
      </c>
      <c r="K754">
        <v>0</v>
      </c>
      <c r="L754">
        <v>1</v>
      </c>
      <c r="M754">
        <v>0</v>
      </c>
      <c r="N754">
        <v>1</v>
      </c>
    </row>
    <row r="755" spans="1:14">
      <c r="A755" t="s">
        <v>25</v>
      </c>
      <c r="B755">
        <v>256</v>
      </c>
      <c r="C755" t="s">
        <v>116</v>
      </c>
      <c r="D755" s="9">
        <v>45938</v>
      </c>
      <c r="E755">
        <v>230</v>
      </c>
      <c r="F755" t="s">
        <v>5</v>
      </c>
      <c r="G755" t="s">
        <v>102</v>
      </c>
      <c r="H755">
        <v>10</v>
      </c>
      <c r="I755" t="s">
        <v>4</v>
      </c>
      <c r="J755" t="s">
        <v>89</v>
      </c>
      <c r="K755">
        <v>1</v>
      </c>
      <c r="L755">
        <v>0</v>
      </c>
      <c r="M755">
        <v>0</v>
      </c>
      <c r="N755">
        <v>1</v>
      </c>
    </row>
    <row r="756" spans="1:14">
      <c r="A756" t="s">
        <v>25</v>
      </c>
      <c r="B756">
        <v>256</v>
      </c>
      <c r="C756" t="s">
        <v>116</v>
      </c>
      <c r="D756" s="9">
        <v>45940</v>
      </c>
      <c r="E756">
        <v>231</v>
      </c>
      <c r="F756" t="s">
        <v>4</v>
      </c>
      <c r="G756" t="s">
        <v>65</v>
      </c>
      <c r="H756">
        <v>16</v>
      </c>
      <c r="I756" t="s">
        <v>5</v>
      </c>
      <c r="J756" t="s">
        <v>89</v>
      </c>
      <c r="K756">
        <v>1</v>
      </c>
      <c r="L756">
        <v>0</v>
      </c>
      <c r="M756">
        <v>0</v>
      </c>
      <c r="N756">
        <v>1</v>
      </c>
    </row>
    <row r="757" spans="1:14">
      <c r="A757" t="s">
        <v>25</v>
      </c>
      <c r="B757">
        <v>256</v>
      </c>
      <c r="C757" t="s">
        <v>116</v>
      </c>
      <c r="D757" s="9">
        <v>45940</v>
      </c>
      <c r="E757">
        <v>231</v>
      </c>
      <c r="F757" t="s">
        <v>5</v>
      </c>
      <c r="G757" t="s">
        <v>102</v>
      </c>
      <c r="H757">
        <v>7</v>
      </c>
      <c r="I757" t="s">
        <v>4</v>
      </c>
      <c r="J757" t="s">
        <v>88</v>
      </c>
      <c r="K757">
        <v>0</v>
      </c>
      <c r="L757">
        <v>1</v>
      </c>
      <c r="M757">
        <v>0</v>
      </c>
      <c r="N757">
        <v>1</v>
      </c>
    </row>
    <row r="758" spans="1:14">
      <c r="A758" t="s">
        <v>25</v>
      </c>
      <c r="B758">
        <v>256</v>
      </c>
      <c r="C758" t="s">
        <v>116</v>
      </c>
      <c r="D758" s="9">
        <v>45943</v>
      </c>
      <c r="E758">
        <v>232</v>
      </c>
      <c r="F758" t="s">
        <v>4</v>
      </c>
      <c r="G758" t="s">
        <v>102</v>
      </c>
      <c r="H758">
        <v>11</v>
      </c>
      <c r="I758" t="s">
        <v>5</v>
      </c>
      <c r="J758" t="s">
        <v>89</v>
      </c>
      <c r="K758">
        <v>1</v>
      </c>
      <c r="L758">
        <v>0</v>
      </c>
      <c r="M758">
        <v>0</v>
      </c>
      <c r="N758">
        <v>1</v>
      </c>
    </row>
    <row r="759" spans="1:14">
      <c r="A759" t="s">
        <v>25</v>
      </c>
      <c r="B759">
        <v>256</v>
      </c>
      <c r="C759" t="s">
        <v>116</v>
      </c>
      <c r="D759" s="9">
        <v>45943</v>
      </c>
      <c r="E759">
        <v>232</v>
      </c>
      <c r="F759" t="s">
        <v>5</v>
      </c>
      <c r="G759" t="s">
        <v>65</v>
      </c>
      <c r="H759">
        <v>6</v>
      </c>
      <c r="I759" t="s">
        <v>4</v>
      </c>
      <c r="J759" t="s">
        <v>88</v>
      </c>
      <c r="K759">
        <v>0</v>
      </c>
      <c r="L759">
        <v>1</v>
      </c>
      <c r="M759">
        <v>0</v>
      </c>
      <c r="N759">
        <v>1</v>
      </c>
    </row>
    <row r="760" spans="1:14">
      <c r="A760" t="s">
        <v>25</v>
      </c>
      <c r="B760">
        <v>256</v>
      </c>
      <c r="C760" t="s">
        <v>116</v>
      </c>
      <c r="D760" s="9">
        <v>45952</v>
      </c>
      <c r="E760">
        <v>233</v>
      </c>
      <c r="F760" t="s">
        <v>4</v>
      </c>
      <c r="G760" t="s">
        <v>102</v>
      </c>
      <c r="H760">
        <v>7</v>
      </c>
      <c r="I760" t="s">
        <v>5</v>
      </c>
      <c r="J760" t="s">
        <v>88</v>
      </c>
      <c r="K760">
        <v>0</v>
      </c>
      <c r="L760">
        <v>1</v>
      </c>
      <c r="M760">
        <v>0</v>
      </c>
      <c r="N760">
        <v>1</v>
      </c>
    </row>
    <row r="761" spans="1:14">
      <c r="A761" t="s">
        <v>25</v>
      </c>
      <c r="B761">
        <v>256</v>
      </c>
      <c r="C761" t="s">
        <v>116</v>
      </c>
      <c r="D761" s="9">
        <v>45952</v>
      </c>
      <c r="E761">
        <v>233</v>
      </c>
      <c r="F761" t="s">
        <v>4</v>
      </c>
      <c r="G761" t="s">
        <v>65</v>
      </c>
      <c r="H761">
        <v>7</v>
      </c>
      <c r="I761" t="s">
        <v>6</v>
      </c>
      <c r="J761" t="s">
        <v>88</v>
      </c>
      <c r="K761">
        <v>0</v>
      </c>
      <c r="L761">
        <v>1</v>
      </c>
      <c r="M761">
        <v>0</v>
      </c>
      <c r="N761">
        <v>1</v>
      </c>
    </row>
    <row r="762" spans="1:14">
      <c r="A762" t="s">
        <v>25</v>
      </c>
      <c r="B762">
        <v>256</v>
      </c>
      <c r="C762" t="s">
        <v>116</v>
      </c>
      <c r="D762" s="9">
        <v>45952</v>
      </c>
      <c r="E762">
        <v>233</v>
      </c>
      <c r="F762" t="s">
        <v>5</v>
      </c>
      <c r="G762" t="s">
        <v>65</v>
      </c>
      <c r="H762">
        <v>9</v>
      </c>
      <c r="I762" t="s">
        <v>4</v>
      </c>
      <c r="J762" t="s">
        <v>89</v>
      </c>
      <c r="K762">
        <v>1</v>
      </c>
      <c r="L762">
        <v>0</v>
      </c>
      <c r="M762">
        <v>0</v>
      </c>
      <c r="N762">
        <v>1</v>
      </c>
    </row>
    <row r="763" spans="1:14">
      <c r="A763" t="s">
        <v>25</v>
      </c>
      <c r="B763">
        <v>256</v>
      </c>
      <c r="C763" t="s">
        <v>116</v>
      </c>
      <c r="D763" s="9">
        <v>45952</v>
      </c>
      <c r="E763">
        <v>233</v>
      </c>
      <c r="F763" t="s">
        <v>5</v>
      </c>
      <c r="G763" t="s">
        <v>65</v>
      </c>
      <c r="H763">
        <v>9</v>
      </c>
      <c r="I763" t="s">
        <v>6</v>
      </c>
      <c r="J763" t="s">
        <v>89</v>
      </c>
      <c r="K763">
        <v>1</v>
      </c>
      <c r="L763">
        <v>0</v>
      </c>
      <c r="M763">
        <v>0</v>
      </c>
      <c r="N763">
        <v>1</v>
      </c>
    </row>
    <row r="764" spans="1:14">
      <c r="A764" t="s">
        <v>25</v>
      </c>
      <c r="B764">
        <v>256</v>
      </c>
      <c r="C764" t="s">
        <v>116</v>
      </c>
      <c r="D764" s="9">
        <v>45952</v>
      </c>
      <c r="E764">
        <v>233</v>
      </c>
      <c r="F764" t="s">
        <v>6</v>
      </c>
      <c r="G764" t="s">
        <v>102</v>
      </c>
      <c r="H764">
        <v>8</v>
      </c>
      <c r="I764" t="s">
        <v>4</v>
      </c>
      <c r="J764" t="s">
        <v>89</v>
      </c>
      <c r="K764">
        <v>1</v>
      </c>
      <c r="L764">
        <v>0</v>
      </c>
      <c r="M764">
        <v>0</v>
      </c>
      <c r="N764">
        <v>1</v>
      </c>
    </row>
    <row r="765" spans="1:14">
      <c r="A765" t="s">
        <v>25</v>
      </c>
      <c r="B765">
        <v>256</v>
      </c>
      <c r="C765" t="s">
        <v>116</v>
      </c>
      <c r="D765" s="9">
        <v>45952</v>
      </c>
      <c r="E765">
        <v>233</v>
      </c>
      <c r="F765" t="s">
        <v>6</v>
      </c>
      <c r="G765" t="s">
        <v>102</v>
      </c>
      <c r="H765">
        <v>8</v>
      </c>
      <c r="I765" t="s">
        <v>5</v>
      </c>
      <c r="J765" t="s">
        <v>88</v>
      </c>
      <c r="K765">
        <v>0</v>
      </c>
      <c r="L765">
        <v>1</v>
      </c>
      <c r="M765">
        <v>0</v>
      </c>
      <c r="N765">
        <v>1</v>
      </c>
    </row>
    <row r="766" spans="1:14">
      <c r="A766" t="s">
        <v>25</v>
      </c>
      <c r="B766">
        <v>256</v>
      </c>
      <c r="C766" t="s">
        <v>116</v>
      </c>
      <c r="D766" s="9">
        <v>45953</v>
      </c>
      <c r="E766">
        <v>234</v>
      </c>
      <c r="F766" t="s">
        <v>4</v>
      </c>
      <c r="G766" t="s">
        <v>102</v>
      </c>
      <c r="H766">
        <v>10</v>
      </c>
      <c r="I766" t="s">
        <v>5</v>
      </c>
      <c r="J766" t="s">
        <v>88</v>
      </c>
      <c r="K766">
        <v>0</v>
      </c>
      <c r="L766">
        <v>1</v>
      </c>
      <c r="M766">
        <v>0</v>
      </c>
      <c r="N766">
        <v>1</v>
      </c>
    </row>
    <row r="767" spans="1:14">
      <c r="A767" t="s">
        <v>25</v>
      </c>
      <c r="B767">
        <v>256</v>
      </c>
      <c r="C767" t="s">
        <v>116</v>
      </c>
      <c r="D767" s="9">
        <v>45953</v>
      </c>
      <c r="E767">
        <v>234</v>
      </c>
      <c r="F767" t="s">
        <v>5</v>
      </c>
      <c r="G767" t="s">
        <v>65</v>
      </c>
      <c r="H767">
        <v>13</v>
      </c>
      <c r="I767" t="s">
        <v>4</v>
      </c>
      <c r="J767" t="s">
        <v>89</v>
      </c>
      <c r="K767">
        <v>1</v>
      </c>
      <c r="L767">
        <v>0</v>
      </c>
      <c r="M767">
        <v>0</v>
      </c>
      <c r="N767">
        <v>1</v>
      </c>
    </row>
    <row r="768" spans="1:14">
      <c r="A768" t="s">
        <v>25</v>
      </c>
      <c r="B768">
        <v>256</v>
      </c>
      <c r="C768" t="s">
        <v>116</v>
      </c>
      <c r="D768" s="9">
        <v>45954</v>
      </c>
      <c r="E768">
        <v>235</v>
      </c>
      <c r="F768" t="s">
        <v>4</v>
      </c>
      <c r="G768" t="s">
        <v>65</v>
      </c>
      <c r="H768">
        <v>11</v>
      </c>
      <c r="I768" t="s">
        <v>5</v>
      </c>
      <c r="J768" t="s">
        <v>89</v>
      </c>
      <c r="K768">
        <v>1</v>
      </c>
      <c r="L768">
        <v>0</v>
      </c>
      <c r="M768">
        <v>0</v>
      </c>
      <c r="N768">
        <v>1</v>
      </c>
    </row>
    <row r="769" spans="1:14">
      <c r="A769" t="s">
        <v>25</v>
      </c>
      <c r="B769">
        <v>256</v>
      </c>
      <c r="C769" t="s">
        <v>116</v>
      </c>
      <c r="D769" s="9">
        <v>45954</v>
      </c>
      <c r="E769">
        <v>235</v>
      </c>
      <c r="F769" t="s">
        <v>4</v>
      </c>
      <c r="G769" t="s">
        <v>65</v>
      </c>
      <c r="H769">
        <v>11</v>
      </c>
      <c r="I769" t="s">
        <v>6</v>
      </c>
      <c r="J769" t="s">
        <v>89</v>
      </c>
      <c r="K769">
        <v>1</v>
      </c>
      <c r="L769">
        <v>0</v>
      </c>
      <c r="M769">
        <v>0</v>
      </c>
      <c r="N769">
        <v>1</v>
      </c>
    </row>
    <row r="770" spans="1:14">
      <c r="A770" t="s">
        <v>25</v>
      </c>
      <c r="B770">
        <v>256</v>
      </c>
      <c r="C770" t="s">
        <v>116</v>
      </c>
      <c r="D770" s="9">
        <v>45954</v>
      </c>
      <c r="E770">
        <v>235</v>
      </c>
      <c r="F770" t="s">
        <v>5</v>
      </c>
      <c r="G770" t="s">
        <v>102</v>
      </c>
      <c r="H770">
        <v>9</v>
      </c>
      <c r="I770" t="s">
        <v>4</v>
      </c>
      <c r="J770" t="s">
        <v>88</v>
      </c>
      <c r="K770">
        <v>0</v>
      </c>
      <c r="L770">
        <v>1</v>
      </c>
      <c r="M770">
        <v>0</v>
      </c>
      <c r="N770">
        <v>1</v>
      </c>
    </row>
    <row r="771" spans="1:14">
      <c r="A771" t="s">
        <v>25</v>
      </c>
      <c r="B771">
        <v>256</v>
      </c>
      <c r="C771" t="s">
        <v>116</v>
      </c>
      <c r="D771" s="9">
        <v>45954</v>
      </c>
      <c r="E771">
        <v>235</v>
      </c>
      <c r="F771" t="s">
        <v>5</v>
      </c>
      <c r="G771" t="s">
        <v>65</v>
      </c>
      <c r="H771">
        <v>9</v>
      </c>
      <c r="I771" t="s">
        <v>6</v>
      </c>
      <c r="J771" t="s">
        <v>89</v>
      </c>
      <c r="K771">
        <v>1</v>
      </c>
      <c r="L771">
        <v>0</v>
      </c>
      <c r="M771">
        <v>0</v>
      </c>
      <c r="N771">
        <v>1</v>
      </c>
    </row>
    <row r="772" spans="1:14">
      <c r="A772" t="s">
        <v>25</v>
      </c>
      <c r="B772">
        <v>256</v>
      </c>
      <c r="C772" t="s">
        <v>116</v>
      </c>
      <c r="D772" s="9">
        <v>45954</v>
      </c>
      <c r="E772">
        <v>235</v>
      </c>
      <c r="F772" t="s">
        <v>6</v>
      </c>
      <c r="G772" t="s">
        <v>102</v>
      </c>
      <c r="H772">
        <v>5</v>
      </c>
      <c r="I772" t="s">
        <v>4</v>
      </c>
      <c r="J772" t="s">
        <v>88</v>
      </c>
      <c r="K772">
        <v>0</v>
      </c>
      <c r="L772">
        <v>1</v>
      </c>
      <c r="M772">
        <v>0</v>
      </c>
      <c r="N772">
        <v>1</v>
      </c>
    </row>
    <row r="773" spans="1:14">
      <c r="A773" t="s">
        <v>25</v>
      </c>
      <c r="B773">
        <v>256</v>
      </c>
      <c r="C773" t="s">
        <v>116</v>
      </c>
      <c r="D773" s="9">
        <v>45954</v>
      </c>
      <c r="E773">
        <v>235</v>
      </c>
      <c r="F773" t="s">
        <v>6</v>
      </c>
      <c r="G773" t="s">
        <v>102</v>
      </c>
      <c r="H773">
        <v>5</v>
      </c>
      <c r="I773" t="s">
        <v>5</v>
      </c>
      <c r="J773" t="s">
        <v>88</v>
      </c>
      <c r="K773">
        <v>0</v>
      </c>
      <c r="L773">
        <v>1</v>
      </c>
      <c r="M773">
        <v>0</v>
      </c>
      <c r="N773">
        <v>1</v>
      </c>
    </row>
    <row r="774" spans="1:14">
      <c r="A774" t="s">
        <v>25</v>
      </c>
      <c r="B774">
        <v>256</v>
      </c>
      <c r="C774" t="s">
        <v>116</v>
      </c>
      <c r="D774" s="9">
        <v>45958</v>
      </c>
      <c r="E774">
        <v>236</v>
      </c>
      <c r="F774" t="s">
        <v>4</v>
      </c>
      <c r="G774" t="s">
        <v>102</v>
      </c>
      <c r="H774">
        <v>15</v>
      </c>
      <c r="I774" t="s">
        <v>5</v>
      </c>
      <c r="J774" t="s">
        <v>89</v>
      </c>
      <c r="K774">
        <v>1</v>
      </c>
      <c r="L774">
        <v>0</v>
      </c>
      <c r="M774">
        <v>0</v>
      </c>
      <c r="N774">
        <v>1</v>
      </c>
    </row>
    <row r="775" spans="1:14">
      <c r="A775" t="s">
        <v>25</v>
      </c>
      <c r="B775">
        <v>256</v>
      </c>
      <c r="C775" t="s">
        <v>116</v>
      </c>
      <c r="D775" s="9">
        <v>45958</v>
      </c>
      <c r="E775">
        <v>236</v>
      </c>
      <c r="F775" t="s">
        <v>5</v>
      </c>
      <c r="G775" t="s">
        <v>65</v>
      </c>
      <c r="H775">
        <v>14</v>
      </c>
      <c r="I775" t="s">
        <v>4</v>
      </c>
      <c r="J775" t="s">
        <v>88</v>
      </c>
      <c r="K775">
        <v>0</v>
      </c>
      <c r="L775">
        <v>1</v>
      </c>
      <c r="M775">
        <v>0</v>
      </c>
      <c r="N775">
        <v>1</v>
      </c>
    </row>
    <row r="776" spans="1:14">
      <c r="A776" t="s">
        <v>25</v>
      </c>
      <c r="B776">
        <v>256</v>
      </c>
      <c r="C776" t="s">
        <v>116</v>
      </c>
      <c r="D776" s="9">
        <v>45959</v>
      </c>
      <c r="E776">
        <v>237</v>
      </c>
      <c r="F776" t="s">
        <v>4</v>
      </c>
      <c r="G776" t="s">
        <v>65</v>
      </c>
      <c r="H776">
        <v>10</v>
      </c>
      <c r="I776" t="s">
        <v>5</v>
      </c>
      <c r="J776" t="s">
        <v>88</v>
      </c>
      <c r="K776">
        <v>0</v>
      </c>
      <c r="L776">
        <v>1</v>
      </c>
      <c r="M776">
        <v>0</v>
      </c>
      <c r="N776">
        <v>1</v>
      </c>
    </row>
    <row r="777" spans="1:14">
      <c r="A777" t="s">
        <v>25</v>
      </c>
      <c r="B777">
        <v>256</v>
      </c>
      <c r="C777" t="s">
        <v>116</v>
      </c>
      <c r="D777" s="9">
        <v>45959</v>
      </c>
      <c r="E777">
        <v>237</v>
      </c>
      <c r="F777" t="s">
        <v>5</v>
      </c>
      <c r="G777" t="s">
        <v>102</v>
      </c>
      <c r="H777">
        <v>18</v>
      </c>
      <c r="I777" t="s">
        <v>4</v>
      </c>
      <c r="J777" t="s">
        <v>89</v>
      </c>
      <c r="K777">
        <v>1</v>
      </c>
      <c r="L777">
        <v>0</v>
      </c>
      <c r="M777">
        <v>0</v>
      </c>
      <c r="N777">
        <v>1</v>
      </c>
    </row>
    <row r="778" spans="1:14">
      <c r="A778" t="s">
        <v>25</v>
      </c>
      <c r="B778">
        <v>256</v>
      </c>
      <c r="C778" t="s">
        <v>116</v>
      </c>
      <c r="D778" s="9">
        <v>45961</v>
      </c>
      <c r="E778">
        <v>238</v>
      </c>
      <c r="F778" t="s">
        <v>5</v>
      </c>
      <c r="G778" t="s">
        <v>65</v>
      </c>
      <c r="H778">
        <v>12</v>
      </c>
      <c r="I778" t="s">
        <v>4</v>
      </c>
      <c r="J778" t="s">
        <v>88</v>
      </c>
      <c r="K778">
        <v>0</v>
      </c>
      <c r="L778">
        <v>1</v>
      </c>
      <c r="M778">
        <v>0</v>
      </c>
      <c r="N778">
        <v>1</v>
      </c>
    </row>
    <row r="779" spans="1:14">
      <c r="A779" t="s">
        <v>25</v>
      </c>
      <c r="B779">
        <v>256</v>
      </c>
      <c r="C779" t="s">
        <v>116</v>
      </c>
      <c r="D779" s="9">
        <v>45961</v>
      </c>
      <c r="E779">
        <v>238</v>
      </c>
      <c r="F779" t="s">
        <v>4</v>
      </c>
      <c r="G779" t="s">
        <v>102</v>
      </c>
      <c r="H779">
        <v>19</v>
      </c>
      <c r="I779" t="s">
        <v>5</v>
      </c>
      <c r="J779" t="s">
        <v>89</v>
      </c>
      <c r="K779">
        <v>1</v>
      </c>
      <c r="L779">
        <v>0</v>
      </c>
      <c r="M779">
        <v>0</v>
      </c>
      <c r="N779">
        <v>1</v>
      </c>
    </row>
    <row r="780" spans="1:14">
      <c r="A780" t="s">
        <v>25</v>
      </c>
      <c r="B780">
        <v>256</v>
      </c>
      <c r="C780" t="s">
        <v>116</v>
      </c>
      <c r="D780" s="9">
        <v>45972</v>
      </c>
      <c r="E780">
        <v>239</v>
      </c>
      <c r="F780" t="s">
        <v>5</v>
      </c>
      <c r="G780" t="s">
        <v>65</v>
      </c>
      <c r="H780">
        <v>8</v>
      </c>
      <c r="I780" t="s">
        <v>6</v>
      </c>
      <c r="J780" t="s">
        <v>88</v>
      </c>
      <c r="K780">
        <v>0</v>
      </c>
      <c r="L780">
        <v>1</v>
      </c>
      <c r="M780">
        <v>0</v>
      </c>
      <c r="N780">
        <v>1</v>
      </c>
    </row>
    <row r="781" spans="1:14">
      <c r="A781" t="s">
        <v>25</v>
      </c>
      <c r="B781">
        <v>256</v>
      </c>
      <c r="C781" t="s">
        <v>116</v>
      </c>
      <c r="D781" s="9">
        <v>45972</v>
      </c>
      <c r="E781">
        <v>239</v>
      </c>
      <c r="F781" t="s">
        <v>4</v>
      </c>
      <c r="G781" t="s">
        <v>102</v>
      </c>
      <c r="H781">
        <v>9</v>
      </c>
      <c r="I781" t="s">
        <v>5</v>
      </c>
      <c r="J781" t="s">
        <v>89</v>
      </c>
      <c r="K781">
        <v>1</v>
      </c>
      <c r="L781">
        <v>0</v>
      </c>
      <c r="M781">
        <v>0</v>
      </c>
      <c r="N781">
        <v>1</v>
      </c>
    </row>
    <row r="782" spans="1:14">
      <c r="A782" t="s">
        <v>25</v>
      </c>
      <c r="B782">
        <v>256</v>
      </c>
      <c r="C782" t="s">
        <v>116</v>
      </c>
      <c r="D782" s="9">
        <v>45972</v>
      </c>
      <c r="E782">
        <v>239</v>
      </c>
      <c r="F782" t="s">
        <v>4</v>
      </c>
      <c r="G782" t="s">
        <v>65</v>
      </c>
      <c r="H782">
        <v>9</v>
      </c>
      <c r="I782" t="s">
        <v>6</v>
      </c>
      <c r="J782" t="s">
        <v>88</v>
      </c>
      <c r="K782">
        <v>0</v>
      </c>
      <c r="L782">
        <v>1</v>
      </c>
      <c r="M782">
        <v>0</v>
      </c>
      <c r="N782">
        <v>1</v>
      </c>
    </row>
    <row r="783" spans="1:14">
      <c r="A783" t="s">
        <v>25</v>
      </c>
      <c r="B783">
        <v>256</v>
      </c>
      <c r="C783" t="s">
        <v>116</v>
      </c>
      <c r="D783" s="9">
        <v>45972</v>
      </c>
      <c r="E783">
        <v>239</v>
      </c>
      <c r="F783" t="s">
        <v>5</v>
      </c>
      <c r="G783" t="s">
        <v>65</v>
      </c>
      <c r="H783">
        <v>8</v>
      </c>
      <c r="I783" t="s">
        <v>4</v>
      </c>
      <c r="J783" t="s">
        <v>88</v>
      </c>
      <c r="K783">
        <v>0</v>
      </c>
      <c r="L783">
        <v>1</v>
      </c>
      <c r="M783">
        <v>0</v>
      </c>
      <c r="N783">
        <v>1</v>
      </c>
    </row>
    <row r="784" spans="1:14">
      <c r="A784" t="s">
        <v>25</v>
      </c>
      <c r="B784">
        <v>256</v>
      </c>
      <c r="C784" t="s">
        <v>116</v>
      </c>
      <c r="D784" s="9">
        <v>45972</v>
      </c>
      <c r="E784">
        <v>239</v>
      </c>
      <c r="F784" t="s">
        <v>6</v>
      </c>
      <c r="G784" t="s">
        <v>102</v>
      </c>
      <c r="H784">
        <v>13</v>
      </c>
      <c r="I784" t="s">
        <v>4</v>
      </c>
      <c r="J784" t="s">
        <v>89</v>
      </c>
      <c r="K784">
        <v>1</v>
      </c>
      <c r="L784">
        <v>0</v>
      </c>
      <c r="M784">
        <v>0</v>
      </c>
      <c r="N784">
        <v>1</v>
      </c>
    </row>
    <row r="785" spans="1:14">
      <c r="A785" t="s">
        <v>25</v>
      </c>
      <c r="B785">
        <v>256</v>
      </c>
      <c r="C785" t="s">
        <v>116</v>
      </c>
      <c r="D785" s="9">
        <v>45972</v>
      </c>
      <c r="E785">
        <v>239</v>
      </c>
      <c r="F785" t="s">
        <v>6</v>
      </c>
      <c r="G785" t="s">
        <v>102</v>
      </c>
      <c r="H785">
        <v>13</v>
      </c>
      <c r="I785" t="s">
        <v>5</v>
      </c>
      <c r="J785" t="s">
        <v>89</v>
      </c>
      <c r="K785">
        <v>1</v>
      </c>
      <c r="L785">
        <v>0</v>
      </c>
      <c r="M785">
        <v>0</v>
      </c>
      <c r="N785">
        <v>1</v>
      </c>
    </row>
    <row r="786" spans="1:14">
      <c r="A786" t="s">
        <v>25</v>
      </c>
      <c r="B786">
        <v>256</v>
      </c>
      <c r="C786" t="s">
        <v>116</v>
      </c>
      <c r="D786" s="9">
        <v>45973</v>
      </c>
      <c r="E786">
        <v>240</v>
      </c>
      <c r="F786" t="s">
        <v>6</v>
      </c>
      <c r="G786" t="s">
        <v>65</v>
      </c>
      <c r="H786">
        <v>6</v>
      </c>
      <c r="I786" t="s">
        <v>4</v>
      </c>
      <c r="J786" t="s">
        <v>88</v>
      </c>
      <c r="K786">
        <v>0</v>
      </c>
      <c r="L786">
        <v>1</v>
      </c>
      <c r="M786">
        <v>0</v>
      </c>
      <c r="N786">
        <v>1</v>
      </c>
    </row>
    <row r="787" spans="1:14">
      <c r="A787" t="s">
        <v>25</v>
      </c>
      <c r="B787">
        <v>256</v>
      </c>
      <c r="C787" t="s">
        <v>116</v>
      </c>
      <c r="D787" s="9">
        <v>45973</v>
      </c>
      <c r="E787">
        <v>240</v>
      </c>
      <c r="F787" t="s">
        <v>4</v>
      </c>
      <c r="G787" t="s">
        <v>65</v>
      </c>
      <c r="H787">
        <v>14</v>
      </c>
      <c r="I787" t="s">
        <v>5</v>
      </c>
      <c r="J787" t="s">
        <v>89</v>
      </c>
      <c r="K787">
        <v>1</v>
      </c>
      <c r="L787">
        <v>0</v>
      </c>
      <c r="M787">
        <v>0</v>
      </c>
      <c r="N787">
        <v>1</v>
      </c>
    </row>
    <row r="788" spans="1:14">
      <c r="A788" t="s">
        <v>25</v>
      </c>
      <c r="B788">
        <v>256</v>
      </c>
      <c r="C788" t="s">
        <v>116</v>
      </c>
      <c r="D788" s="9">
        <v>45973</v>
      </c>
      <c r="E788">
        <v>240</v>
      </c>
      <c r="F788" t="s">
        <v>4</v>
      </c>
      <c r="G788" t="s">
        <v>102</v>
      </c>
      <c r="H788">
        <v>14</v>
      </c>
      <c r="I788" t="s">
        <v>6</v>
      </c>
      <c r="J788" t="s">
        <v>89</v>
      </c>
      <c r="K788">
        <v>1</v>
      </c>
      <c r="L788">
        <v>0</v>
      </c>
      <c r="M788">
        <v>0</v>
      </c>
      <c r="N788">
        <v>1</v>
      </c>
    </row>
    <row r="789" spans="1:14">
      <c r="A789" t="s">
        <v>25</v>
      </c>
      <c r="B789">
        <v>256</v>
      </c>
      <c r="C789" t="s">
        <v>116</v>
      </c>
      <c r="D789" s="9">
        <v>45973</v>
      </c>
      <c r="E789">
        <v>240</v>
      </c>
      <c r="F789" t="s">
        <v>5</v>
      </c>
      <c r="G789" t="s">
        <v>102</v>
      </c>
      <c r="H789">
        <v>7</v>
      </c>
      <c r="I789" t="s">
        <v>4</v>
      </c>
      <c r="J789" t="s">
        <v>88</v>
      </c>
      <c r="K789">
        <v>0</v>
      </c>
      <c r="L789">
        <v>1</v>
      </c>
      <c r="M789">
        <v>0</v>
      </c>
      <c r="N789">
        <v>1</v>
      </c>
    </row>
    <row r="790" spans="1:14">
      <c r="A790" t="s">
        <v>25</v>
      </c>
      <c r="B790">
        <v>256</v>
      </c>
      <c r="C790" t="s">
        <v>116</v>
      </c>
      <c r="D790" s="9">
        <v>45973</v>
      </c>
      <c r="E790">
        <v>240</v>
      </c>
      <c r="F790" t="s">
        <v>5</v>
      </c>
      <c r="G790" t="s">
        <v>102</v>
      </c>
      <c r="H790">
        <v>7</v>
      </c>
      <c r="I790" t="s">
        <v>6</v>
      </c>
      <c r="J790" t="s">
        <v>89</v>
      </c>
      <c r="K790">
        <v>1</v>
      </c>
      <c r="L790">
        <v>0</v>
      </c>
      <c r="M790">
        <v>0</v>
      </c>
      <c r="N790">
        <v>1</v>
      </c>
    </row>
    <row r="791" spans="1:14">
      <c r="A791" t="s">
        <v>25</v>
      </c>
      <c r="B791">
        <v>256</v>
      </c>
      <c r="C791" t="s">
        <v>116</v>
      </c>
      <c r="D791" s="9">
        <v>45973</v>
      </c>
      <c r="E791">
        <v>240</v>
      </c>
      <c r="F791" t="s">
        <v>6</v>
      </c>
      <c r="G791" t="s">
        <v>65</v>
      </c>
      <c r="H791">
        <v>6</v>
      </c>
      <c r="I791" t="s">
        <v>5</v>
      </c>
      <c r="J791" t="s">
        <v>88</v>
      </c>
      <c r="K791">
        <v>0</v>
      </c>
      <c r="L791">
        <v>1</v>
      </c>
      <c r="M791">
        <v>0</v>
      </c>
      <c r="N791">
        <v>1</v>
      </c>
    </row>
    <row r="792" spans="1:14">
      <c r="A792" t="s">
        <v>25</v>
      </c>
      <c r="B792">
        <v>256</v>
      </c>
      <c r="C792" t="s">
        <v>116</v>
      </c>
      <c r="D792" s="9">
        <v>45979</v>
      </c>
      <c r="E792">
        <v>241</v>
      </c>
      <c r="F792" t="s">
        <v>5</v>
      </c>
      <c r="G792" t="s">
        <v>65</v>
      </c>
      <c r="H792">
        <v>6</v>
      </c>
      <c r="I792" t="s">
        <v>4</v>
      </c>
      <c r="J792" t="s">
        <v>88</v>
      </c>
      <c r="K792">
        <v>0</v>
      </c>
      <c r="L792">
        <v>1</v>
      </c>
      <c r="M792">
        <v>0</v>
      </c>
      <c r="N792">
        <v>1</v>
      </c>
    </row>
    <row r="793" spans="1:14">
      <c r="A793" t="s">
        <v>25</v>
      </c>
      <c r="B793">
        <v>256</v>
      </c>
      <c r="C793" t="s">
        <v>116</v>
      </c>
      <c r="D793" s="9">
        <v>45979</v>
      </c>
      <c r="E793">
        <v>241</v>
      </c>
      <c r="F793" t="s">
        <v>4</v>
      </c>
      <c r="G793" t="s">
        <v>65</v>
      </c>
      <c r="H793">
        <v>19</v>
      </c>
      <c r="I793" t="s">
        <v>23</v>
      </c>
      <c r="J793" t="s">
        <v>89</v>
      </c>
      <c r="K793">
        <v>1</v>
      </c>
      <c r="L793">
        <v>0</v>
      </c>
      <c r="M793">
        <v>0</v>
      </c>
      <c r="N793">
        <v>1</v>
      </c>
    </row>
    <row r="794" spans="1:14">
      <c r="A794" t="s">
        <v>25</v>
      </c>
      <c r="B794">
        <v>256</v>
      </c>
      <c r="C794" t="s">
        <v>116</v>
      </c>
      <c r="D794" s="9">
        <v>45979</v>
      </c>
      <c r="E794">
        <v>241</v>
      </c>
      <c r="F794" t="s">
        <v>23</v>
      </c>
      <c r="G794" t="s">
        <v>102</v>
      </c>
      <c r="H794">
        <v>4</v>
      </c>
      <c r="I794" t="s">
        <v>5</v>
      </c>
      <c r="J794" t="s">
        <v>88</v>
      </c>
      <c r="K794">
        <v>0</v>
      </c>
      <c r="L794">
        <v>1</v>
      </c>
      <c r="M794">
        <v>0</v>
      </c>
      <c r="N794">
        <v>1</v>
      </c>
    </row>
    <row r="795" spans="1:14">
      <c r="A795" t="s">
        <v>25</v>
      </c>
      <c r="B795">
        <v>256</v>
      </c>
      <c r="C795" t="s">
        <v>116</v>
      </c>
      <c r="D795" s="9">
        <v>45979</v>
      </c>
      <c r="E795">
        <v>241</v>
      </c>
      <c r="F795" t="s">
        <v>23</v>
      </c>
      <c r="G795" t="s">
        <v>102</v>
      </c>
      <c r="H795">
        <v>4</v>
      </c>
      <c r="I795" t="s">
        <v>4</v>
      </c>
      <c r="J795" t="s">
        <v>88</v>
      </c>
      <c r="K795">
        <v>0</v>
      </c>
      <c r="L795">
        <v>1</v>
      </c>
      <c r="M795">
        <v>0</v>
      </c>
      <c r="N795">
        <v>1</v>
      </c>
    </row>
    <row r="796" spans="1:14">
      <c r="A796" t="s">
        <v>25</v>
      </c>
      <c r="B796">
        <v>256</v>
      </c>
      <c r="C796" t="s">
        <v>116</v>
      </c>
      <c r="D796" s="9">
        <v>45979</v>
      </c>
      <c r="E796">
        <v>241</v>
      </c>
      <c r="F796" t="s">
        <v>4</v>
      </c>
      <c r="G796" t="s">
        <v>102</v>
      </c>
      <c r="H796">
        <v>19</v>
      </c>
      <c r="I796" t="s">
        <v>5</v>
      </c>
      <c r="J796" t="s">
        <v>89</v>
      </c>
      <c r="K796">
        <v>1</v>
      </c>
      <c r="L796">
        <v>0</v>
      </c>
      <c r="M796">
        <v>0</v>
      </c>
      <c r="N796">
        <v>1</v>
      </c>
    </row>
    <row r="797" spans="1:14">
      <c r="A797" t="s">
        <v>25</v>
      </c>
      <c r="B797">
        <v>256</v>
      </c>
      <c r="C797" t="s">
        <v>116</v>
      </c>
      <c r="D797" s="9">
        <v>45979</v>
      </c>
      <c r="E797">
        <v>241</v>
      </c>
      <c r="F797" t="s">
        <v>5</v>
      </c>
      <c r="G797" t="s">
        <v>65</v>
      </c>
      <c r="H797">
        <v>6</v>
      </c>
      <c r="I797" t="s">
        <v>23</v>
      </c>
      <c r="J797" t="s">
        <v>89</v>
      </c>
      <c r="K797">
        <v>1</v>
      </c>
      <c r="L797">
        <v>0</v>
      </c>
      <c r="M797">
        <v>0</v>
      </c>
      <c r="N797">
        <v>1</v>
      </c>
    </row>
    <row r="798" spans="1:14">
      <c r="A798" t="s">
        <v>25</v>
      </c>
      <c r="B798">
        <v>256</v>
      </c>
      <c r="C798" t="s">
        <v>116</v>
      </c>
      <c r="D798" s="9">
        <v>45981</v>
      </c>
      <c r="E798">
        <v>242</v>
      </c>
      <c r="F798" t="s">
        <v>5</v>
      </c>
      <c r="G798" t="s">
        <v>102</v>
      </c>
      <c r="H798">
        <v>10</v>
      </c>
      <c r="I798" t="s">
        <v>4</v>
      </c>
      <c r="J798" t="s">
        <v>88</v>
      </c>
      <c r="K798">
        <v>0</v>
      </c>
      <c r="L798">
        <v>1</v>
      </c>
      <c r="M798">
        <v>0</v>
      </c>
      <c r="N798">
        <v>1</v>
      </c>
    </row>
    <row r="799" spans="1:14">
      <c r="A799" t="s">
        <v>25</v>
      </c>
      <c r="B799">
        <v>256</v>
      </c>
      <c r="C799" t="s">
        <v>116</v>
      </c>
      <c r="D799" s="9">
        <v>45981</v>
      </c>
      <c r="E799">
        <v>242</v>
      </c>
      <c r="F799" t="s">
        <v>4</v>
      </c>
      <c r="G799" t="s">
        <v>65</v>
      </c>
      <c r="H799">
        <v>14</v>
      </c>
      <c r="I799" t="s">
        <v>5</v>
      </c>
      <c r="J799" t="s">
        <v>89</v>
      </c>
      <c r="K799">
        <v>1</v>
      </c>
      <c r="L799">
        <v>0</v>
      </c>
      <c r="M799">
        <v>0</v>
      </c>
      <c r="N799">
        <v>1</v>
      </c>
    </row>
    <row r="800" spans="1:14">
      <c r="A800" t="s">
        <v>25</v>
      </c>
      <c r="B800">
        <v>256</v>
      </c>
      <c r="C800" t="s">
        <v>116</v>
      </c>
      <c r="D800" s="9">
        <v>45982</v>
      </c>
      <c r="E800">
        <v>243</v>
      </c>
      <c r="F800" t="s">
        <v>5</v>
      </c>
      <c r="G800" t="s">
        <v>102</v>
      </c>
      <c r="H800">
        <v>13</v>
      </c>
      <c r="I800" t="s">
        <v>4</v>
      </c>
      <c r="J800" t="s">
        <v>89</v>
      </c>
      <c r="K800">
        <v>1</v>
      </c>
      <c r="L800">
        <v>0</v>
      </c>
      <c r="M800">
        <v>0</v>
      </c>
      <c r="N800">
        <v>1</v>
      </c>
    </row>
    <row r="801" spans="1:14">
      <c r="A801" t="s">
        <v>25</v>
      </c>
      <c r="B801">
        <v>256</v>
      </c>
      <c r="C801" t="s">
        <v>116</v>
      </c>
      <c r="D801" s="9">
        <v>45982</v>
      </c>
      <c r="E801">
        <v>243</v>
      </c>
      <c r="F801" t="s">
        <v>4</v>
      </c>
      <c r="G801" t="s">
        <v>65</v>
      </c>
      <c r="H801">
        <v>9</v>
      </c>
      <c r="I801" t="s">
        <v>5</v>
      </c>
      <c r="J801" t="s">
        <v>88</v>
      </c>
      <c r="K801">
        <v>0</v>
      </c>
      <c r="L801">
        <v>1</v>
      </c>
      <c r="M801">
        <v>0</v>
      </c>
      <c r="N801">
        <v>1</v>
      </c>
    </row>
    <row r="802" spans="1:14">
      <c r="A802" t="s">
        <v>25</v>
      </c>
      <c r="B802">
        <v>256</v>
      </c>
      <c r="C802" t="s">
        <v>116</v>
      </c>
      <c r="D802" s="9">
        <v>45992</v>
      </c>
      <c r="E802">
        <v>244</v>
      </c>
      <c r="F802" t="s">
        <v>4</v>
      </c>
      <c r="G802" t="s">
        <v>65</v>
      </c>
      <c r="H802">
        <v>15</v>
      </c>
      <c r="I802" t="s">
        <v>5</v>
      </c>
      <c r="J802" t="s">
        <v>88</v>
      </c>
      <c r="K802">
        <v>0</v>
      </c>
      <c r="L802">
        <v>1</v>
      </c>
      <c r="M802">
        <v>0</v>
      </c>
      <c r="N802">
        <v>1</v>
      </c>
    </row>
    <row r="803" spans="1:14">
      <c r="A803" t="s">
        <v>25</v>
      </c>
      <c r="B803">
        <v>256</v>
      </c>
      <c r="C803" t="s">
        <v>116</v>
      </c>
      <c r="D803" s="9">
        <v>45992</v>
      </c>
      <c r="E803">
        <v>244</v>
      </c>
      <c r="F803" t="s">
        <v>5</v>
      </c>
      <c r="G803" t="s">
        <v>102</v>
      </c>
      <c r="H803">
        <v>18</v>
      </c>
      <c r="I803" t="s">
        <v>4</v>
      </c>
      <c r="J803" t="s">
        <v>89</v>
      </c>
      <c r="K803">
        <v>1</v>
      </c>
      <c r="L803">
        <v>0</v>
      </c>
      <c r="M803">
        <v>0</v>
      </c>
      <c r="N803">
        <v>1</v>
      </c>
    </row>
    <row r="804" spans="1:14">
      <c r="A804" t="s">
        <v>25</v>
      </c>
      <c r="B804">
        <v>256</v>
      </c>
      <c r="C804" t="s">
        <v>116</v>
      </c>
      <c r="D804" s="9">
        <v>45993</v>
      </c>
      <c r="E804">
        <v>245</v>
      </c>
      <c r="F804" t="s">
        <v>4</v>
      </c>
      <c r="G804" t="s">
        <v>102</v>
      </c>
      <c r="H804">
        <v>14</v>
      </c>
      <c r="I804" t="s">
        <v>5</v>
      </c>
      <c r="J804" t="s">
        <v>89</v>
      </c>
      <c r="K804">
        <v>1</v>
      </c>
      <c r="L804">
        <v>0</v>
      </c>
      <c r="M804">
        <v>0</v>
      </c>
      <c r="N804">
        <v>1</v>
      </c>
    </row>
    <row r="805" spans="1:14">
      <c r="A805" t="s">
        <v>25</v>
      </c>
      <c r="B805">
        <v>256</v>
      </c>
      <c r="C805" t="s">
        <v>116</v>
      </c>
      <c r="D805" s="9">
        <v>45993</v>
      </c>
      <c r="E805">
        <v>245</v>
      </c>
      <c r="F805" t="s">
        <v>5</v>
      </c>
      <c r="G805" t="s">
        <v>65</v>
      </c>
      <c r="H805">
        <v>12</v>
      </c>
      <c r="I805" t="s">
        <v>4</v>
      </c>
      <c r="J805" t="s">
        <v>88</v>
      </c>
      <c r="K805">
        <v>0</v>
      </c>
      <c r="L805">
        <v>1</v>
      </c>
      <c r="M805">
        <v>0</v>
      </c>
      <c r="N805">
        <v>1</v>
      </c>
    </row>
    <row r="806" spans="1:14">
      <c r="A806" t="s">
        <v>25</v>
      </c>
      <c r="B806">
        <v>256</v>
      </c>
      <c r="C806" t="s">
        <v>116</v>
      </c>
      <c r="D806" s="9">
        <v>45994</v>
      </c>
      <c r="E806">
        <v>246</v>
      </c>
      <c r="F806" t="s">
        <v>4</v>
      </c>
      <c r="G806" t="s">
        <v>102</v>
      </c>
      <c r="H806">
        <v>13</v>
      </c>
      <c r="I806" t="s">
        <v>5</v>
      </c>
      <c r="J806" t="s">
        <v>89</v>
      </c>
      <c r="K806">
        <v>1</v>
      </c>
      <c r="L806">
        <v>0</v>
      </c>
      <c r="M806">
        <v>0</v>
      </c>
      <c r="N806">
        <v>1</v>
      </c>
    </row>
    <row r="807" spans="1:14">
      <c r="A807" t="s">
        <v>25</v>
      </c>
      <c r="B807">
        <v>256</v>
      </c>
      <c r="C807" t="s">
        <v>116</v>
      </c>
      <c r="D807" s="9">
        <v>45994</v>
      </c>
      <c r="E807">
        <v>246</v>
      </c>
      <c r="F807" t="s">
        <v>5</v>
      </c>
      <c r="G807" t="s">
        <v>65</v>
      </c>
      <c r="H807">
        <v>11</v>
      </c>
      <c r="I807" t="s">
        <v>4</v>
      </c>
      <c r="J807" t="s">
        <v>88</v>
      </c>
      <c r="K807">
        <v>0</v>
      </c>
      <c r="L807">
        <v>1</v>
      </c>
      <c r="M807">
        <v>0</v>
      </c>
      <c r="N807">
        <v>1</v>
      </c>
    </row>
    <row r="808" spans="1:14">
      <c r="A808" t="s">
        <v>25</v>
      </c>
      <c r="B808">
        <v>256</v>
      </c>
      <c r="C808" t="s">
        <v>116</v>
      </c>
      <c r="D808" s="9">
        <v>45995</v>
      </c>
      <c r="E808">
        <v>247</v>
      </c>
      <c r="F808" t="s">
        <v>4</v>
      </c>
      <c r="G808" t="s">
        <v>65</v>
      </c>
      <c r="H808">
        <v>7</v>
      </c>
      <c r="I808" t="s">
        <v>5</v>
      </c>
      <c r="J808" t="s">
        <v>89</v>
      </c>
      <c r="K808">
        <v>1</v>
      </c>
      <c r="L808">
        <v>0</v>
      </c>
      <c r="M808">
        <v>0</v>
      </c>
      <c r="N808">
        <v>1</v>
      </c>
    </row>
    <row r="809" spans="1:14">
      <c r="A809" t="s">
        <v>25</v>
      </c>
      <c r="B809">
        <v>256</v>
      </c>
      <c r="C809" t="s">
        <v>116</v>
      </c>
      <c r="D809" s="9">
        <v>45995</v>
      </c>
      <c r="E809">
        <v>247</v>
      </c>
      <c r="F809" t="s">
        <v>5</v>
      </c>
      <c r="G809" t="s">
        <v>102</v>
      </c>
      <c r="H809">
        <v>6</v>
      </c>
      <c r="I809" t="s">
        <v>4</v>
      </c>
      <c r="J809" t="s">
        <v>88</v>
      </c>
      <c r="K809">
        <v>0</v>
      </c>
      <c r="L809">
        <v>1</v>
      </c>
      <c r="M809">
        <v>0</v>
      </c>
      <c r="N809">
        <v>1</v>
      </c>
    </row>
    <row r="810" spans="1:14">
      <c r="A810" t="s">
        <v>25</v>
      </c>
      <c r="B810">
        <v>256</v>
      </c>
      <c r="C810" t="s">
        <v>116</v>
      </c>
      <c r="D810" s="9">
        <v>45996</v>
      </c>
      <c r="E810">
        <v>248</v>
      </c>
      <c r="F810" t="s">
        <v>4</v>
      </c>
      <c r="G810" t="s">
        <v>65</v>
      </c>
      <c r="H810">
        <v>15</v>
      </c>
      <c r="I810" t="s">
        <v>5</v>
      </c>
      <c r="J810" t="s">
        <v>89</v>
      </c>
      <c r="K810">
        <v>1</v>
      </c>
      <c r="L810">
        <v>0</v>
      </c>
      <c r="M810">
        <v>0</v>
      </c>
      <c r="N810">
        <v>1</v>
      </c>
    </row>
    <row r="811" spans="1:14">
      <c r="A811" t="s">
        <v>25</v>
      </c>
      <c r="B811">
        <v>256</v>
      </c>
      <c r="C811" t="s">
        <v>116</v>
      </c>
      <c r="D811" s="9">
        <v>45996</v>
      </c>
      <c r="E811">
        <v>248</v>
      </c>
      <c r="F811" t="s">
        <v>5</v>
      </c>
      <c r="G811" t="s">
        <v>102</v>
      </c>
      <c r="H811">
        <v>6</v>
      </c>
      <c r="I811" t="s">
        <v>4</v>
      </c>
      <c r="J811" t="s">
        <v>88</v>
      </c>
      <c r="K811">
        <v>0</v>
      </c>
      <c r="L811">
        <v>1</v>
      </c>
      <c r="M811">
        <v>0</v>
      </c>
      <c r="N811">
        <v>1</v>
      </c>
    </row>
    <row r="812" spans="1:14">
      <c r="A812" t="s">
        <v>25</v>
      </c>
      <c r="B812">
        <v>256</v>
      </c>
      <c r="C812" t="s">
        <v>116</v>
      </c>
      <c r="D812" s="9">
        <v>45999</v>
      </c>
      <c r="E812">
        <v>249</v>
      </c>
      <c r="F812" t="s">
        <v>4</v>
      </c>
      <c r="G812" t="s">
        <v>65</v>
      </c>
      <c r="H812">
        <v>12</v>
      </c>
      <c r="I812" t="s">
        <v>5</v>
      </c>
      <c r="J812" t="s">
        <v>88</v>
      </c>
      <c r="K812">
        <v>0</v>
      </c>
      <c r="L812">
        <v>1</v>
      </c>
      <c r="M812">
        <v>0</v>
      </c>
      <c r="N812">
        <v>1</v>
      </c>
    </row>
    <row r="813" spans="1:14">
      <c r="A813" t="s">
        <v>25</v>
      </c>
      <c r="B813">
        <v>256</v>
      </c>
      <c r="C813" t="s">
        <v>116</v>
      </c>
      <c r="D813" s="9">
        <v>45999</v>
      </c>
      <c r="E813">
        <v>249</v>
      </c>
      <c r="F813" t="s">
        <v>4</v>
      </c>
      <c r="G813" t="s">
        <v>65</v>
      </c>
      <c r="H813">
        <v>12</v>
      </c>
      <c r="I813" t="s">
        <v>6</v>
      </c>
      <c r="J813" t="s">
        <v>89</v>
      </c>
      <c r="K813">
        <v>1</v>
      </c>
      <c r="L813">
        <v>0</v>
      </c>
      <c r="M813">
        <v>0</v>
      </c>
      <c r="N813">
        <v>1</v>
      </c>
    </row>
    <row r="814" spans="1:14">
      <c r="A814" t="s">
        <v>25</v>
      </c>
      <c r="B814">
        <v>256</v>
      </c>
      <c r="C814" t="s">
        <v>116</v>
      </c>
      <c r="D814" s="9">
        <v>45999</v>
      </c>
      <c r="E814">
        <v>249</v>
      </c>
      <c r="F814" t="s">
        <v>5</v>
      </c>
      <c r="G814" t="s">
        <v>102</v>
      </c>
      <c r="H814">
        <v>15</v>
      </c>
      <c r="I814" t="s">
        <v>4</v>
      </c>
      <c r="J814" t="s">
        <v>89</v>
      </c>
      <c r="K814">
        <v>1</v>
      </c>
      <c r="L814">
        <v>0</v>
      </c>
      <c r="M814">
        <v>0</v>
      </c>
      <c r="N814">
        <v>1</v>
      </c>
    </row>
    <row r="815" spans="1:14">
      <c r="A815" t="s">
        <v>25</v>
      </c>
      <c r="B815">
        <v>256</v>
      </c>
      <c r="C815" t="s">
        <v>116</v>
      </c>
      <c r="D815" s="9">
        <v>45999</v>
      </c>
      <c r="E815">
        <v>249</v>
      </c>
      <c r="F815" t="s">
        <v>5</v>
      </c>
      <c r="G815" t="s">
        <v>65</v>
      </c>
      <c r="H815">
        <v>15</v>
      </c>
      <c r="I815" t="s">
        <v>6</v>
      </c>
      <c r="J815" t="s">
        <v>89</v>
      </c>
      <c r="K815">
        <v>1</v>
      </c>
      <c r="L815">
        <v>0</v>
      </c>
      <c r="M815">
        <v>0</v>
      </c>
      <c r="N815">
        <v>1</v>
      </c>
    </row>
    <row r="816" spans="1:14">
      <c r="A816" t="s">
        <v>25</v>
      </c>
      <c r="B816">
        <v>256</v>
      </c>
      <c r="C816" t="s">
        <v>116</v>
      </c>
      <c r="D816" s="9">
        <v>45999</v>
      </c>
      <c r="E816">
        <v>249</v>
      </c>
      <c r="F816" t="s">
        <v>6</v>
      </c>
      <c r="G816" t="s">
        <v>102</v>
      </c>
      <c r="H816">
        <v>2</v>
      </c>
      <c r="I816" t="s">
        <v>5</v>
      </c>
      <c r="J816" t="s">
        <v>88</v>
      </c>
      <c r="K816">
        <v>0</v>
      </c>
      <c r="L816">
        <v>1</v>
      </c>
      <c r="M816">
        <v>0</v>
      </c>
      <c r="N816">
        <v>1</v>
      </c>
    </row>
    <row r="817" spans="1:14">
      <c r="A817" t="s">
        <v>25</v>
      </c>
      <c r="B817">
        <v>256</v>
      </c>
      <c r="C817" t="s">
        <v>116</v>
      </c>
      <c r="D817" s="9">
        <v>45999</v>
      </c>
      <c r="E817">
        <v>249</v>
      </c>
      <c r="F817" t="s">
        <v>6</v>
      </c>
      <c r="G817" t="s">
        <v>102</v>
      </c>
      <c r="H817">
        <v>2</v>
      </c>
      <c r="I817" t="s">
        <v>4</v>
      </c>
      <c r="J817" t="s">
        <v>88</v>
      </c>
      <c r="K817">
        <v>0</v>
      </c>
      <c r="L817">
        <v>1</v>
      </c>
      <c r="M817">
        <v>0</v>
      </c>
      <c r="N817">
        <v>1</v>
      </c>
    </row>
    <row r="818" spans="1:14">
      <c r="A818" t="s">
        <v>25</v>
      </c>
      <c r="B818">
        <v>256</v>
      </c>
      <c r="C818" t="s">
        <v>116</v>
      </c>
      <c r="D818" s="9">
        <v>45999</v>
      </c>
      <c r="E818">
        <v>250</v>
      </c>
      <c r="F818" t="s">
        <v>5</v>
      </c>
      <c r="G818" t="s">
        <v>102</v>
      </c>
      <c r="H818">
        <v>16</v>
      </c>
      <c r="I818" t="s">
        <v>6</v>
      </c>
      <c r="J818" t="s">
        <v>89</v>
      </c>
      <c r="K818">
        <v>1</v>
      </c>
      <c r="L818">
        <v>0</v>
      </c>
      <c r="M818">
        <v>0</v>
      </c>
      <c r="N818">
        <v>1</v>
      </c>
    </row>
    <row r="819" spans="1:14">
      <c r="A819" t="s">
        <v>25</v>
      </c>
      <c r="B819">
        <v>256</v>
      </c>
      <c r="C819" t="s">
        <v>116</v>
      </c>
      <c r="D819" s="9">
        <v>45999</v>
      </c>
      <c r="E819">
        <v>250</v>
      </c>
      <c r="F819" t="s">
        <v>5</v>
      </c>
      <c r="G819" t="s">
        <v>65</v>
      </c>
      <c r="H819">
        <v>16</v>
      </c>
      <c r="I819" t="s">
        <v>4</v>
      </c>
      <c r="J819" t="s">
        <v>89</v>
      </c>
      <c r="K819">
        <v>1</v>
      </c>
      <c r="L819">
        <v>0</v>
      </c>
      <c r="M819">
        <v>0</v>
      </c>
      <c r="N819">
        <v>1</v>
      </c>
    </row>
    <row r="820" spans="1:14">
      <c r="A820" t="s">
        <v>25</v>
      </c>
      <c r="B820">
        <v>256</v>
      </c>
      <c r="C820" t="s">
        <v>116</v>
      </c>
      <c r="D820" s="9">
        <v>45999</v>
      </c>
      <c r="E820">
        <v>250</v>
      </c>
      <c r="F820" t="s">
        <v>4</v>
      </c>
      <c r="G820" t="s">
        <v>102</v>
      </c>
      <c r="H820">
        <v>13</v>
      </c>
      <c r="I820" t="s">
        <v>6</v>
      </c>
      <c r="J820" t="s">
        <v>89</v>
      </c>
      <c r="K820">
        <v>1</v>
      </c>
      <c r="L820">
        <v>0</v>
      </c>
      <c r="M820">
        <v>0</v>
      </c>
      <c r="N820">
        <v>1</v>
      </c>
    </row>
    <row r="821" spans="1:14">
      <c r="A821" t="s">
        <v>25</v>
      </c>
      <c r="B821">
        <v>256</v>
      </c>
      <c r="C821" t="s">
        <v>116</v>
      </c>
      <c r="D821" s="9">
        <v>45999</v>
      </c>
      <c r="E821">
        <v>250</v>
      </c>
      <c r="F821" t="s">
        <v>4</v>
      </c>
      <c r="G821" t="s">
        <v>102</v>
      </c>
      <c r="H821">
        <v>13</v>
      </c>
      <c r="I821" t="s">
        <v>5</v>
      </c>
      <c r="J821" t="s">
        <v>88</v>
      </c>
      <c r="K821">
        <v>0</v>
      </c>
      <c r="L821">
        <v>1</v>
      </c>
      <c r="M821">
        <v>0</v>
      </c>
      <c r="N821">
        <v>1</v>
      </c>
    </row>
    <row r="822" spans="1:14">
      <c r="A822" t="s">
        <v>25</v>
      </c>
      <c r="B822">
        <v>256</v>
      </c>
      <c r="C822" t="s">
        <v>116</v>
      </c>
      <c r="D822" s="9">
        <v>45999</v>
      </c>
      <c r="E822">
        <v>250</v>
      </c>
      <c r="F822" t="s">
        <v>6</v>
      </c>
      <c r="G822" t="s">
        <v>65</v>
      </c>
      <c r="H822">
        <v>7</v>
      </c>
      <c r="I822" t="s">
        <v>5</v>
      </c>
      <c r="J822" t="s">
        <v>88</v>
      </c>
      <c r="K822">
        <v>0</v>
      </c>
      <c r="L822">
        <v>1</v>
      </c>
      <c r="M822">
        <v>0</v>
      </c>
      <c r="N822">
        <v>1</v>
      </c>
    </row>
    <row r="823" spans="1:14">
      <c r="A823" t="s">
        <v>25</v>
      </c>
      <c r="B823">
        <v>256</v>
      </c>
      <c r="C823" t="s">
        <v>116</v>
      </c>
      <c r="D823" s="9">
        <v>45999</v>
      </c>
      <c r="E823">
        <v>250</v>
      </c>
      <c r="F823" t="s">
        <v>6</v>
      </c>
      <c r="G823" t="s">
        <v>65</v>
      </c>
      <c r="H823">
        <v>7</v>
      </c>
      <c r="I823" t="s">
        <v>4</v>
      </c>
      <c r="J823" t="s">
        <v>88</v>
      </c>
      <c r="K823">
        <v>0</v>
      </c>
      <c r="L823">
        <v>1</v>
      </c>
      <c r="M823">
        <v>0</v>
      </c>
      <c r="N823">
        <v>1</v>
      </c>
    </row>
    <row r="824" spans="1:14">
      <c r="A824" t="s">
        <v>25</v>
      </c>
      <c r="B824">
        <v>256</v>
      </c>
      <c r="C824" t="s">
        <v>116</v>
      </c>
      <c r="D824" s="9">
        <v>46000</v>
      </c>
      <c r="E824">
        <v>251</v>
      </c>
      <c r="F824" t="s">
        <v>5</v>
      </c>
      <c r="G824" t="s">
        <v>102</v>
      </c>
      <c r="H824">
        <v>11</v>
      </c>
      <c r="I824" t="s">
        <v>4</v>
      </c>
      <c r="J824" t="s">
        <v>88</v>
      </c>
      <c r="K824">
        <v>0</v>
      </c>
      <c r="L824">
        <v>1</v>
      </c>
      <c r="M824">
        <v>0</v>
      </c>
      <c r="N824">
        <v>1</v>
      </c>
    </row>
    <row r="825" spans="1:14">
      <c r="A825" t="s">
        <v>25</v>
      </c>
      <c r="B825">
        <v>256</v>
      </c>
      <c r="C825" t="s">
        <v>116</v>
      </c>
      <c r="D825" s="9">
        <v>46000</v>
      </c>
      <c r="E825">
        <v>251</v>
      </c>
      <c r="F825" t="s">
        <v>4</v>
      </c>
      <c r="G825" t="s">
        <v>65</v>
      </c>
      <c r="H825">
        <v>13</v>
      </c>
      <c r="I825" t="s">
        <v>5</v>
      </c>
      <c r="J825" t="s">
        <v>89</v>
      </c>
      <c r="K825">
        <v>1</v>
      </c>
      <c r="L825">
        <v>0</v>
      </c>
      <c r="M825">
        <v>0</v>
      </c>
      <c r="N825">
        <v>1</v>
      </c>
    </row>
    <row r="826" spans="1:14">
      <c r="A826" t="s">
        <v>25</v>
      </c>
      <c r="B826">
        <v>256</v>
      </c>
      <c r="C826" t="s">
        <v>116</v>
      </c>
      <c r="D826" s="9">
        <v>46006</v>
      </c>
      <c r="E826">
        <v>252</v>
      </c>
      <c r="F826" t="s">
        <v>6</v>
      </c>
      <c r="G826" t="s">
        <v>102</v>
      </c>
      <c r="H826">
        <v>5</v>
      </c>
      <c r="I826" t="s">
        <v>4</v>
      </c>
      <c r="J826" t="s">
        <v>88</v>
      </c>
      <c r="K826">
        <v>0</v>
      </c>
      <c r="L826">
        <v>1</v>
      </c>
      <c r="M826">
        <v>0</v>
      </c>
      <c r="N826">
        <v>1</v>
      </c>
    </row>
    <row r="827" spans="1:14">
      <c r="A827" t="s">
        <v>25</v>
      </c>
      <c r="B827">
        <v>256</v>
      </c>
      <c r="C827" t="s">
        <v>116</v>
      </c>
      <c r="D827" s="9">
        <v>46006</v>
      </c>
      <c r="E827">
        <v>252</v>
      </c>
      <c r="F827" t="s">
        <v>4</v>
      </c>
      <c r="G827" t="s">
        <v>65</v>
      </c>
      <c r="H827">
        <v>11</v>
      </c>
      <c r="I827" t="s">
        <v>6</v>
      </c>
      <c r="J827" t="s">
        <v>89</v>
      </c>
      <c r="K827">
        <v>1</v>
      </c>
      <c r="L827">
        <v>0</v>
      </c>
      <c r="M827">
        <v>0</v>
      </c>
      <c r="N827">
        <v>1</v>
      </c>
    </row>
    <row r="828" spans="1:14">
      <c r="A828" t="s">
        <v>25</v>
      </c>
      <c r="B828">
        <v>256</v>
      </c>
      <c r="C828" t="s">
        <v>116</v>
      </c>
      <c r="D828" s="9">
        <v>46034</v>
      </c>
      <c r="E828">
        <v>253</v>
      </c>
      <c r="F828" t="s">
        <v>4</v>
      </c>
      <c r="G828" t="s">
        <v>102</v>
      </c>
      <c r="H828">
        <v>19</v>
      </c>
      <c r="I828" t="s">
        <v>5</v>
      </c>
      <c r="J828" t="s">
        <v>89</v>
      </c>
      <c r="K828">
        <v>1</v>
      </c>
      <c r="L828">
        <v>0</v>
      </c>
      <c r="M828">
        <v>0</v>
      </c>
      <c r="N828">
        <v>1</v>
      </c>
    </row>
    <row r="829" spans="1:14">
      <c r="A829" t="s">
        <v>25</v>
      </c>
      <c r="B829">
        <v>256</v>
      </c>
      <c r="C829" t="s">
        <v>116</v>
      </c>
      <c r="D829" s="9">
        <v>46034</v>
      </c>
      <c r="E829">
        <v>253</v>
      </c>
      <c r="F829" t="s">
        <v>5</v>
      </c>
      <c r="G829" t="s">
        <v>65</v>
      </c>
      <c r="H829">
        <v>12</v>
      </c>
      <c r="I829" t="s">
        <v>4</v>
      </c>
      <c r="J829" t="s">
        <v>88</v>
      </c>
      <c r="K829">
        <v>0</v>
      </c>
      <c r="L829">
        <v>1</v>
      </c>
      <c r="M829">
        <v>0</v>
      </c>
      <c r="N829">
        <v>1</v>
      </c>
    </row>
    <row r="830" spans="1:14">
      <c r="A830" t="s">
        <v>25</v>
      </c>
      <c r="B830">
        <v>256</v>
      </c>
      <c r="C830" t="s">
        <v>116</v>
      </c>
      <c r="D830" s="9">
        <v>46035</v>
      </c>
      <c r="E830">
        <v>254</v>
      </c>
      <c r="F830" t="s">
        <v>4</v>
      </c>
      <c r="G830" t="s">
        <v>65</v>
      </c>
      <c r="H830">
        <v>7</v>
      </c>
      <c r="I830" t="s">
        <v>5</v>
      </c>
      <c r="J830" t="s">
        <v>88</v>
      </c>
      <c r="K830">
        <v>0</v>
      </c>
      <c r="L830">
        <v>1</v>
      </c>
      <c r="M830">
        <v>0</v>
      </c>
      <c r="N830">
        <v>1</v>
      </c>
    </row>
    <row r="831" spans="1:14">
      <c r="A831" t="s">
        <v>25</v>
      </c>
      <c r="B831">
        <v>256</v>
      </c>
      <c r="C831" t="s">
        <v>116</v>
      </c>
      <c r="D831" s="9">
        <v>46035</v>
      </c>
      <c r="E831">
        <v>254</v>
      </c>
      <c r="F831" t="s">
        <v>5</v>
      </c>
      <c r="G831" t="s">
        <v>102</v>
      </c>
      <c r="H831">
        <v>8</v>
      </c>
      <c r="I831" t="s">
        <v>4</v>
      </c>
      <c r="J831" t="s">
        <v>89</v>
      </c>
      <c r="K831">
        <v>1</v>
      </c>
      <c r="L831">
        <v>0</v>
      </c>
      <c r="M831">
        <v>0</v>
      </c>
      <c r="N831">
        <v>1</v>
      </c>
    </row>
    <row r="832" spans="1:14">
      <c r="A832" t="s">
        <v>25</v>
      </c>
      <c r="B832">
        <v>256</v>
      </c>
      <c r="C832" t="s">
        <v>116</v>
      </c>
      <c r="D832" s="9">
        <v>46036</v>
      </c>
      <c r="E832">
        <v>255</v>
      </c>
      <c r="F832" t="s">
        <v>4</v>
      </c>
      <c r="G832" t="s">
        <v>65</v>
      </c>
      <c r="H832">
        <v>18</v>
      </c>
      <c r="I832" t="s">
        <v>5</v>
      </c>
      <c r="J832" t="s">
        <v>89</v>
      </c>
      <c r="K832">
        <v>1</v>
      </c>
      <c r="L832">
        <v>0</v>
      </c>
      <c r="M832">
        <v>0</v>
      </c>
      <c r="N832">
        <v>1</v>
      </c>
    </row>
    <row r="833" spans="1:14">
      <c r="A833" t="s">
        <v>25</v>
      </c>
      <c r="B833">
        <v>256</v>
      </c>
      <c r="C833" t="s">
        <v>116</v>
      </c>
      <c r="D833" s="9">
        <v>46036</v>
      </c>
      <c r="E833">
        <v>255</v>
      </c>
      <c r="F833" t="s">
        <v>5</v>
      </c>
      <c r="G833" t="s">
        <v>102</v>
      </c>
      <c r="H833">
        <v>9</v>
      </c>
      <c r="I833" t="s">
        <v>4</v>
      </c>
      <c r="J833" t="s">
        <v>88</v>
      </c>
      <c r="K833">
        <v>0</v>
      </c>
      <c r="L833">
        <v>1</v>
      </c>
      <c r="M833">
        <v>0</v>
      </c>
      <c r="N833">
        <v>1</v>
      </c>
    </row>
    <row r="834" spans="1:14">
      <c r="A834" t="s">
        <v>25</v>
      </c>
      <c r="B834">
        <v>256</v>
      </c>
      <c r="C834" t="s">
        <v>116</v>
      </c>
      <c r="D834" s="9">
        <v>46044</v>
      </c>
      <c r="E834">
        <v>256</v>
      </c>
      <c r="F834" t="s">
        <v>5</v>
      </c>
      <c r="G834" t="s">
        <v>65</v>
      </c>
      <c r="H834">
        <v>19</v>
      </c>
      <c r="I834" t="s">
        <v>4</v>
      </c>
      <c r="J834" t="s">
        <v>89</v>
      </c>
      <c r="K834">
        <v>1</v>
      </c>
      <c r="L834">
        <v>0</v>
      </c>
      <c r="M834">
        <v>0</v>
      </c>
      <c r="N834">
        <v>1</v>
      </c>
    </row>
    <row r="835" spans="1:14">
      <c r="A835" t="s">
        <v>25</v>
      </c>
      <c r="B835">
        <v>256</v>
      </c>
      <c r="C835" t="s">
        <v>116</v>
      </c>
      <c r="D835" s="9">
        <v>46044</v>
      </c>
      <c r="E835">
        <v>256</v>
      </c>
      <c r="F835" t="s">
        <v>4</v>
      </c>
      <c r="G835" t="s">
        <v>102</v>
      </c>
      <c r="H835">
        <v>12</v>
      </c>
      <c r="I835" t="s">
        <v>5</v>
      </c>
      <c r="J835" t="s">
        <v>88</v>
      </c>
      <c r="K835">
        <v>0</v>
      </c>
      <c r="L835">
        <v>1</v>
      </c>
      <c r="M835">
        <v>0</v>
      </c>
      <c r="N835">
        <v>1</v>
      </c>
    </row>
    <row r="836" spans="1:14">
      <c r="A836" t="s">
        <v>25</v>
      </c>
      <c r="B836">
        <v>256</v>
      </c>
      <c r="C836" t="s">
        <v>116</v>
      </c>
      <c r="D836" s="9">
        <v>46051</v>
      </c>
      <c r="E836">
        <v>257</v>
      </c>
      <c r="F836" t="s">
        <v>4</v>
      </c>
      <c r="G836" t="s">
        <v>102</v>
      </c>
      <c r="H836">
        <v>11</v>
      </c>
      <c r="I836" t="s">
        <v>5</v>
      </c>
      <c r="J836" t="s">
        <v>89</v>
      </c>
      <c r="K836">
        <v>1</v>
      </c>
      <c r="L836">
        <v>0</v>
      </c>
      <c r="M836">
        <v>0</v>
      </c>
      <c r="N836">
        <v>1</v>
      </c>
    </row>
    <row r="837" spans="1:14">
      <c r="A837" t="s">
        <v>25</v>
      </c>
      <c r="B837">
        <v>256</v>
      </c>
      <c r="C837" t="s">
        <v>116</v>
      </c>
      <c r="D837" s="9">
        <v>46051</v>
      </c>
      <c r="E837">
        <v>257</v>
      </c>
      <c r="F837" t="s">
        <v>5</v>
      </c>
      <c r="G837" t="s">
        <v>65</v>
      </c>
      <c r="H837">
        <v>8</v>
      </c>
      <c r="I837" t="s">
        <v>4</v>
      </c>
      <c r="J837" t="s">
        <v>88</v>
      </c>
      <c r="K837">
        <v>0</v>
      </c>
      <c r="L837">
        <v>1</v>
      </c>
      <c r="M837">
        <v>0</v>
      </c>
      <c r="N837">
        <v>1</v>
      </c>
    </row>
    <row r="838" spans="1:14">
      <c r="A838" t="s">
        <v>25</v>
      </c>
      <c r="B838">
        <v>256</v>
      </c>
      <c r="C838" t="s">
        <v>116</v>
      </c>
      <c r="D838" s="9">
        <v>46055</v>
      </c>
      <c r="E838">
        <v>258</v>
      </c>
      <c r="F838" t="s">
        <v>4</v>
      </c>
      <c r="G838" t="s">
        <v>65</v>
      </c>
      <c r="H838">
        <v>11</v>
      </c>
      <c r="I838" t="s">
        <v>5</v>
      </c>
      <c r="J838" t="s">
        <v>89</v>
      </c>
      <c r="K838">
        <v>1</v>
      </c>
      <c r="L838">
        <v>0</v>
      </c>
      <c r="M838">
        <v>0</v>
      </c>
      <c r="N838">
        <v>1</v>
      </c>
    </row>
    <row r="839" spans="1:14">
      <c r="A839" t="s">
        <v>25</v>
      </c>
      <c r="B839">
        <v>256</v>
      </c>
      <c r="C839" t="s">
        <v>116</v>
      </c>
      <c r="D839" s="9">
        <v>46055</v>
      </c>
      <c r="E839">
        <v>258</v>
      </c>
      <c r="F839" t="s">
        <v>5</v>
      </c>
      <c r="G839" t="s">
        <v>102</v>
      </c>
      <c r="H839">
        <v>6</v>
      </c>
      <c r="I839" t="s">
        <v>4</v>
      </c>
      <c r="J839" t="s">
        <v>88</v>
      </c>
      <c r="K839">
        <v>0</v>
      </c>
      <c r="L839">
        <v>1</v>
      </c>
      <c r="M839">
        <v>0</v>
      </c>
      <c r="N839">
        <v>1</v>
      </c>
    </row>
    <row r="840" spans="1:14">
      <c r="A840" t="s">
        <v>25</v>
      </c>
      <c r="B840">
        <v>256</v>
      </c>
      <c r="C840" t="s">
        <v>116</v>
      </c>
      <c r="D840" s="9">
        <v>46056</v>
      </c>
      <c r="E840">
        <v>259</v>
      </c>
      <c r="F840" t="s">
        <v>4</v>
      </c>
      <c r="G840" t="s">
        <v>65</v>
      </c>
      <c r="H840">
        <v>13</v>
      </c>
      <c r="I840" t="s">
        <v>5</v>
      </c>
      <c r="J840" t="s">
        <v>89</v>
      </c>
      <c r="K840">
        <v>1</v>
      </c>
      <c r="L840">
        <v>0</v>
      </c>
      <c r="M840">
        <v>0</v>
      </c>
      <c r="N840">
        <v>1</v>
      </c>
    </row>
    <row r="841" spans="1:14">
      <c r="A841" t="s">
        <v>25</v>
      </c>
      <c r="B841">
        <v>256</v>
      </c>
      <c r="C841" t="s">
        <v>116</v>
      </c>
      <c r="D841" s="9">
        <v>46056</v>
      </c>
      <c r="E841">
        <v>259</v>
      </c>
      <c r="F841" t="s">
        <v>5</v>
      </c>
      <c r="G841" t="s">
        <v>102</v>
      </c>
      <c r="H841">
        <v>11</v>
      </c>
      <c r="I841" t="s">
        <v>4</v>
      </c>
      <c r="J841" t="s">
        <v>88</v>
      </c>
      <c r="K841">
        <v>0</v>
      </c>
      <c r="L841">
        <v>1</v>
      </c>
      <c r="M841">
        <v>0</v>
      </c>
      <c r="N841">
        <v>1</v>
      </c>
    </row>
    <row r="842" spans="1:14">
      <c r="A842" t="s">
        <v>25</v>
      </c>
      <c r="B842">
        <v>256</v>
      </c>
      <c r="C842" t="s">
        <v>116</v>
      </c>
      <c r="D842" s="9">
        <v>46058</v>
      </c>
      <c r="E842">
        <v>260</v>
      </c>
      <c r="F842" t="s">
        <v>4</v>
      </c>
      <c r="G842" t="s">
        <v>102</v>
      </c>
      <c r="H842">
        <v>20</v>
      </c>
      <c r="I842" t="s">
        <v>5</v>
      </c>
      <c r="J842" t="s">
        <v>89</v>
      </c>
      <c r="K842">
        <v>1</v>
      </c>
      <c r="L842">
        <v>0</v>
      </c>
      <c r="M842">
        <v>0</v>
      </c>
      <c r="N842">
        <v>1</v>
      </c>
    </row>
    <row r="843" spans="1:14">
      <c r="A843" t="s">
        <v>25</v>
      </c>
      <c r="B843">
        <v>256</v>
      </c>
      <c r="C843" t="s">
        <v>116</v>
      </c>
      <c r="D843" s="9">
        <v>46058</v>
      </c>
      <c r="E843">
        <v>260</v>
      </c>
      <c r="F843" t="s">
        <v>5</v>
      </c>
      <c r="G843" t="s">
        <v>65</v>
      </c>
      <c r="H843">
        <v>15</v>
      </c>
      <c r="I843" t="s">
        <v>4</v>
      </c>
      <c r="J843" t="s">
        <v>88</v>
      </c>
      <c r="K843">
        <v>0</v>
      </c>
      <c r="L843">
        <v>1</v>
      </c>
      <c r="M843">
        <v>0</v>
      </c>
      <c r="N843">
        <v>1</v>
      </c>
    </row>
    <row r="844" spans="1:14">
      <c r="A844" t="s">
        <v>25</v>
      </c>
      <c r="B844">
        <v>256</v>
      </c>
      <c r="C844" t="s">
        <v>116</v>
      </c>
      <c r="D844" s="9">
        <v>46059</v>
      </c>
      <c r="E844">
        <v>261</v>
      </c>
      <c r="F844" t="s">
        <v>4</v>
      </c>
      <c r="G844" t="s">
        <v>102</v>
      </c>
      <c r="H844">
        <v>18</v>
      </c>
      <c r="I844" t="s">
        <v>5</v>
      </c>
      <c r="J844" t="s">
        <v>89</v>
      </c>
      <c r="K844">
        <v>1</v>
      </c>
      <c r="L844">
        <v>0</v>
      </c>
      <c r="M844">
        <v>0</v>
      </c>
      <c r="N844">
        <v>1</v>
      </c>
    </row>
    <row r="845" spans="1:14">
      <c r="A845" t="s">
        <v>25</v>
      </c>
      <c r="B845">
        <v>256</v>
      </c>
      <c r="C845" t="s">
        <v>116</v>
      </c>
      <c r="D845" s="9">
        <v>46059</v>
      </c>
      <c r="E845">
        <v>261</v>
      </c>
      <c r="F845" t="s">
        <v>5</v>
      </c>
      <c r="G845" t="s">
        <v>65</v>
      </c>
      <c r="H845">
        <v>5</v>
      </c>
      <c r="I845" t="s">
        <v>4</v>
      </c>
      <c r="J845" t="s">
        <v>88</v>
      </c>
      <c r="K845">
        <v>0</v>
      </c>
      <c r="L845">
        <v>1</v>
      </c>
      <c r="M845">
        <v>0</v>
      </c>
      <c r="N845">
        <v>1</v>
      </c>
    </row>
    <row r="846" spans="1:14">
      <c r="A846" t="s">
        <v>25</v>
      </c>
      <c r="B846">
        <v>256</v>
      </c>
      <c r="C846" t="s">
        <v>116</v>
      </c>
      <c r="D846" s="9">
        <v>46063</v>
      </c>
      <c r="E846">
        <v>262</v>
      </c>
      <c r="F846" t="s">
        <v>5</v>
      </c>
      <c r="G846" t="s">
        <v>65</v>
      </c>
      <c r="H846">
        <v>6</v>
      </c>
      <c r="I846" t="s">
        <v>4</v>
      </c>
      <c r="J846" t="s">
        <v>88</v>
      </c>
      <c r="K846">
        <v>0</v>
      </c>
      <c r="L846">
        <v>1</v>
      </c>
      <c r="M846">
        <v>0</v>
      </c>
      <c r="N846">
        <v>1</v>
      </c>
    </row>
    <row r="847" spans="1:14">
      <c r="A847" t="s">
        <v>25</v>
      </c>
      <c r="B847">
        <v>256</v>
      </c>
      <c r="C847" t="s">
        <v>116</v>
      </c>
      <c r="D847" s="9">
        <v>46063</v>
      </c>
      <c r="E847">
        <v>262</v>
      </c>
      <c r="F847" t="s">
        <v>4</v>
      </c>
      <c r="G847" t="s">
        <v>102</v>
      </c>
      <c r="H847">
        <v>21</v>
      </c>
      <c r="I847" t="s">
        <v>5</v>
      </c>
      <c r="J847" t="s">
        <v>89</v>
      </c>
      <c r="K847">
        <v>1</v>
      </c>
      <c r="L847">
        <v>0</v>
      </c>
      <c r="M847">
        <v>0</v>
      </c>
      <c r="N847">
        <v>1</v>
      </c>
    </row>
    <row r="848" spans="1:14">
      <c r="A848" t="s">
        <v>25</v>
      </c>
      <c r="B848">
        <v>256</v>
      </c>
      <c r="C848" t="s">
        <v>116</v>
      </c>
      <c r="D848" s="9">
        <v>46071</v>
      </c>
      <c r="E848">
        <v>263</v>
      </c>
      <c r="F848" t="s">
        <v>5</v>
      </c>
      <c r="G848" t="s">
        <v>65</v>
      </c>
      <c r="H848">
        <v>4</v>
      </c>
      <c r="I848" t="s">
        <v>4</v>
      </c>
      <c r="J848" t="s">
        <v>88</v>
      </c>
      <c r="K848">
        <v>0</v>
      </c>
      <c r="L848">
        <v>1</v>
      </c>
      <c r="M848">
        <v>0</v>
      </c>
      <c r="N848">
        <v>1</v>
      </c>
    </row>
    <row r="849" spans="1:14">
      <c r="A849" t="s">
        <v>25</v>
      </c>
      <c r="B849">
        <v>256</v>
      </c>
      <c r="C849" t="s">
        <v>116</v>
      </c>
      <c r="D849" s="9">
        <v>46071</v>
      </c>
      <c r="E849">
        <v>263</v>
      </c>
      <c r="F849" t="s">
        <v>4</v>
      </c>
      <c r="G849" t="s">
        <v>102</v>
      </c>
      <c r="H849">
        <v>13</v>
      </c>
      <c r="I849" t="s">
        <v>5</v>
      </c>
      <c r="J849" t="s">
        <v>89</v>
      </c>
      <c r="K849">
        <v>1</v>
      </c>
      <c r="L849">
        <v>0</v>
      </c>
      <c r="M849">
        <v>0</v>
      </c>
      <c r="N849">
        <v>1</v>
      </c>
    </row>
    <row r="850" spans="1:14">
      <c r="A850" t="s">
        <v>25</v>
      </c>
      <c r="B850">
        <v>256</v>
      </c>
      <c r="C850" t="s">
        <v>116</v>
      </c>
      <c r="D850" s="9">
        <v>46073</v>
      </c>
      <c r="E850">
        <v>264</v>
      </c>
      <c r="F850" t="s">
        <v>5</v>
      </c>
      <c r="G850" t="s">
        <v>102</v>
      </c>
      <c r="H850">
        <v>12</v>
      </c>
      <c r="I850" t="s">
        <v>4</v>
      </c>
      <c r="J850" t="s">
        <v>88</v>
      </c>
      <c r="K850">
        <v>0</v>
      </c>
      <c r="L850">
        <v>1</v>
      </c>
      <c r="M850">
        <v>0</v>
      </c>
      <c r="N850">
        <v>1</v>
      </c>
    </row>
    <row r="851" spans="1:14">
      <c r="A851" t="s">
        <v>25</v>
      </c>
      <c r="B851">
        <v>256</v>
      </c>
      <c r="C851" t="s">
        <v>116</v>
      </c>
      <c r="D851" s="9">
        <v>46073</v>
      </c>
      <c r="E851">
        <v>264</v>
      </c>
      <c r="F851" t="s">
        <v>4</v>
      </c>
      <c r="G851" t="s">
        <v>65</v>
      </c>
      <c r="H851">
        <v>20</v>
      </c>
      <c r="I851" t="s">
        <v>5</v>
      </c>
      <c r="J851" t="s">
        <v>89</v>
      </c>
      <c r="K851">
        <v>1</v>
      </c>
      <c r="L851">
        <v>0</v>
      </c>
      <c r="M851">
        <v>0</v>
      </c>
      <c r="N851">
        <v>1</v>
      </c>
    </row>
    <row r="852" spans="1:14">
      <c r="A852" t="s">
        <v>25</v>
      </c>
      <c r="B852">
        <v>256</v>
      </c>
      <c r="C852" t="s">
        <v>116</v>
      </c>
      <c r="D852" s="9">
        <v>46077</v>
      </c>
      <c r="E852">
        <v>265</v>
      </c>
      <c r="F852" t="s">
        <v>4</v>
      </c>
      <c r="G852" t="s">
        <v>65</v>
      </c>
      <c r="H852">
        <v>7</v>
      </c>
      <c r="I852" t="s">
        <v>5</v>
      </c>
      <c r="J852" t="s">
        <v>88</v>
      </c>
      <c r="K852">
        <v>0</v>
      </c>
      <c r="L852">
        <v>1</v>
      </c>
      <c r="M852">
        <v>0</v>
      </c>
      <c r="N852">
        <v>1</v>
      </c>
    </row>
    <row r="853" spans="1:14">
      <c r="A853" t="s">
        <v>25</v>
      </c>
      <c r="B853">
        <v>256</v>
      </c>
      <c r="C853" t="s">
        <v>116</v>
      </c>
      <c r="D853" s="9">
        <v>46077</v>
      </c>
      <c r="E853">
        <v>265</v>
      </c>
      <c r="F853" t="s">
        <v>5</v>
      </c>
      <c r="G853" t="s">
        <v>102</v>
      </c>
      <c r="H853">
        <v>13</v>
      </c>
      <c r="I853" t="s">
        <v>4</v>
      </c>
      <c r="J853" t="s">
        <v>89</v>
      </c>
      <c r="K853">
        <v>1</v>
      </c>
      <c r="L853">
        <v>0</v>
      </c>
      <c r="M853">
        <v>0</v>
      </c>
      <c r="N853">
        <v>1</v>
      </c>
    </row>
    <row r="854" spans="1:14">
      <c r="A854" t="s">
        <v>25</v>
      </c>
      <c r="B854">
        <v>256</v>
      </c>
      <c r="C854" t="s">
        <v>116</v>
      </c>
      <c r="D854" s="9">
        <v>46078</v>
      </c>
      <c r="E854">
        <v>266</v>
      </c>
      <c r="F854" t="s">
        <v>5</v>
      </c>
      <c r="G854" t="s">
        <v>102</v>
      </c>
      <c r="H854">
        <v>16</v>
      </c>
      <c r="I854" t="s">
        <v>4</v>
      </c>
      <c r="J854" t="s">
        <v>88</v>
      </c>
      <c r="K854">
        <v>0</v>
      </c>
      <c r="L854">
        <v>1</v>
      </c>
      <c r="M854">
        <v>0</v>
      </c>
      <c r="N854">
        <v>1</v>
      </c>
    </row>
    <row r="855" spans="1:14">
      <c r="A855" t="s">
        <v>25</v>
      </c>
      <c r="B855">
        <v>256</v>
      </c>
      <c r="C855" t="s">
        <v>116</v>
      </c>
      <c r="D855" s="9">
        <v>46078</v>
      </c>
      <c r="E855">
        <v>266</v>
      </c>
      <c r="F855" t="s">
        <v>4</v>
      </c>
      <c r="G855" t="s">
        <v>65</v>
      </c>
      <c r="H855">
        <v>21</v>
      </c>
      <c r="I855" t="s">
        <v>5</v>
      </c>
      <c r="J855" t="s">
        <v>89</v>
      </c>
      <c r="K855">
        <v>1</v>
      </c>
      <c r="L855">
        <v>0</v>
      </c>
      <c r="M855">
        <v>0</v>
      </c>
      <c r="N855">
        <v>1</v>
      </c>
    </row>
    <row r="856" spans="1:14">
      <c r="A856" t="s">
        <v>25</v>
      </c>
      <c r="B856">
        <v>256</v>
      </c>
      <c r="C856" t="s">
        <v>116</v>
      </c>
      <c r="D856" s="9">
        <v>46080</v>
      </c>
      <c r="E856">
        <v>267</v>
      </c>
      <c r="F856" t="s">
        <v>4</v>
      </c>
      <c r="G856" t="s">
        <v>102</v>
      </c>
      <c r="H856">
        <v>17</v>
      </c>
      <c r="I856" t="s">
        <v>5</v>
      </c>
      <c r="J856" t="s">
        <v>89</v>
      </c>
      <c r="K856">
        <v>1</v>
      </c>
      <c r="L856">
        <v>0</v>
      </c>
      <c r="M856">
        <v>0</v>
      </c>
      <c r="N856">
        <v>1</v>
      </c>
    </row>
    <row r="857" spans="1:14">
      <c r="A857" t="s">
        <v>25</v>
      </c>
      <c r="B857">
        <v>256</v>
      </c>
      <c r="C857" t="s">
        <v>116</v>
      </c>
      <c r="D857" s="9">
        <v>46080</v>
      </c>
      <c r="E857">
        <v>267</v>
      </c>
      <c r="F857" t="s">
        <v>5</v>
      </c>
      <c r="G857" t="s">
        <v>65</v>
      </c>
      <c r="H857">
        <v>10</v>
      </c>
      <c r="I857" t="s">
        <v>4</v>
      </c>
      <c r="J857" t="s">
        <v>88</v>
      </c>
      <c r="K857">
        <v>0</v>
      </c>
      <c r="L857">
        <v>1</v>
      </c>
      <c r="M857">
        <v>0</v>
      </c>
      <c r="N857">
        <v>1</v>
      </c>
    </row>
    <row r="858" spans="1:14">
      <c r="A858" t="s">
        <v>25</v>
      </c>
      <c r="B858">
        <v>256</v>
      </c>
      <c r="C858" t="s">
        <v>116</v>
      </c>
      <c r="D858" s="9">
        <v>46084</v>
      </c>
      <c r="E858">
        <v>268</v>
      </c>
      <c r="F858" t="s">
        <v>4</v>
      </c>
      <c r="G858" t="s">
        <v>102</v>
      </c>
      <c r="H858">
        <v>14</v>
      </c>
      <c r="I858" t="s">
        <v>5</v>
      </c>
      <c r="J858" t="s">
        <v>89</v>
      </c>
      <c r="K858">
        <v>1</v>
      </c>
      <c r="L858">
        <v>0</v>
      </c>
      <c r="M858">
        <v>0</v>
      </c>
      <c r="N858">
        <v>1</v>
      </c>
    </row>
    <row r="859" spans="1:14">
      <c r="A859" t="s">
        <v>25</v>
      </c>
      <c r="B859">
        <v>256</v>
      </c>
      <c r="C859" t="s">
        <v>116</v>
      </c>
      <c r="D859" s="9">
        <v>46084</v>
      </c>
      <c r="E859">
        <v>268</v>
      </c>
      <c r="F859" t="s">
        <v>5</v>
      </c>
      <c r="G859" t="s">
        <v>65</v>
      </c>
      <c r="H859">
        <v>9</v>
      </c>
      <c r="I859" t="s">
        <v>4</v>
      </c>
      <c r="J859" t="s">
        <v>88</v>
      </c>
      <c r="K859">
        <v>0</v>
      </c>
      <c r="L859">
        <v>1</v>
      </c>
      <c r="M859">
        <v>0</v>
      </c>
      <c r="N859">
        <v>1</v>
      </c>
    </row>
    <row r="860" spans="1:14">
      <c r="A860" t="s">
        <v>25</v>
      </c>
      <c r="B860">
        <v>256</v>
      </c>
      <c r="C860" t="s">
        <v>116</v>
      </c>
      <c r="D860" s="9">
        <v>46085</v>
      </c>
      <c r="E860">
        <v>269</v>
      </c>
      <c r="F860" t="s">
        <v>5</v>
      </c>
      <c r="G860" t="s">
        <v>102</v>
      </c>
      <c r="H860">
        <v>5</v>
      </c>
      <c r="I860" t="s">
        <v>6</v>
      </c>
      <c r="J860" t="s">
        <v>87</v>
      </c>
      <c r="K860">
        <v>0</v>
      </c>
      <c r="L860">
        <v>0</v>
      </c>
      <c r="M860">
        <v>1</v>
      </c>
      <c r="N860">
        <v>1</v>
      </c>
    </row>
    <row r="861" spans="1:14">
      <c r="A861" t="s">
        <v>25</v>
      </c>
      <c r="B861">
        <v>256</v>
      </c>
      <c r="C861" t="s">
        <v>116</v>
      </c>
      <c r="D861" s="9">
        <v>46085</v>
      </c>
      <c r="E861">
        <v>269</v>
      </c>
      <c r="F861" t="s">
        <v>5</v>
      </c>
      <c r="G861" t="s">
        <v>102</v>
      </c>
      <c r="H861">
        <v>5</v>
      </c>
      <c r="I861" t="s">
        <v>4</v>
      </c>
      <c r="J861" t="s">
        <v>88</v>
      </c>
      <c r="K861">
        <v>0</v>
      </c>
      <c r="L861">
        <v>1</v>
      </c>
      <c r="M861">
        <v>0</v>
      </c>
      <c r="N861">
        <v>1</v>
      </c>
    </row>
    <row r="862" spans="1:14">
      <c r="A862" t="s">
        <v>25</v>
      </c>
      <c r="B862">
        <v>256</v>
      </c>
      <c r="C862" t="s">
        <v>116</v>
      </c>
      <c r="D862" s="9">
        <v>46085</v>
      </c>
      <c r="E862">
        <v>269</v>
      </c>
      <c r="F862" t="s">
        <v>4</v>
      </c>
      <c r="G862" t="s">
        <v>65</v>
      </c>
      <c r="H862">
        <v>15</v>
      </c>
      <c r="I862" t="s">
        <v>6</v>
      </c>
      <c r="J862" t="s">
        <v>89</v>
      </c>
      <c r="K862">
        <v>1</v>
      </c>
      <c r="L862">
        <v>0</v>
      </c>
      <c r="M862">
        <v>0</v>
      </c>
      <c r="N862">
        <v>1</v>
      </c>
    </row>
    <row r="863" spans="1:14">
      <c r="A863" t="s">
        <v>25</v>
      </c>
      <c r="B863">
        <v>256</v>
      </c>
      <c r="C863" t="s">
        <v>116</v>
      </c>
      <c r="D863" s="9">
        <v>46085</v>
      </c>
      <c r="E863">
        <v>269</v>
      </c>
      <c r="F863" t="s">
        <v>4</v>
      </c>
      <c r="G863" t="s">
        <v>65</v>
      </c>
      <c r="H863">
        <v>15</v>
      </c>
      <c r="I863" t="s">
        <v>5</v>
      </c>
      <c r="J863" t="s">
        <v>89</v>
      </c>
      <c r="K863">
        <v>1</v>
      </c>
      <c r="L863">
        <v>0</v>
      </c>
      <c r="M863">
        <v>0</v>
      </c>
      <c r="N863">
        <v>1</v>
      </c>
    </row>
    <row r="864" spans="1:14">
      <c r="A864" t="s">
        <v>25</v>
      </c>
      <c r="B864">
        <v>256</v>
      </c>
      <c r="C864" t="s">
        <v>116</v>
      </c>
      <c r="D864" s="9">
        <v>46085</v>
      </c>
      <c r="E864">
        <v>269</v>
      </c>
      <c r="F864" t="s">
        <v>6</v>
      </c>
      <c r="G864" t="s">
        <v>102</v>
      </c>
      <c r="H864">
        <v>5</v>
      </c>
      <c r="I864" t="s">
        <v>4</v>
      </c>
      <c r="J864" t="s">
        <v>88</v>
      </c>
      <c r="K864">
        <v>0</v>
      </c>
      <c r="L864">
        <v>1</v>
      </c>
      <c r="M864">
        <v>0</v>
      </c>
      <c r="N864">
        <v>1</v>
      </c>
    </row>
    <row r="865" spans="1:14">
      <c r="A865" t="s">
        <v>25</v>
      </c>
      <c r="B865">
        <v>256</v>
      </c>
      <c r="C865" t="s">
        <v>116</v>
      </c>
      <c r="D865" s="9">
        <v>46085</v>
      </c>
      <c r="E865">
        <v>269</v>
      </c>
      <c r="F865" t="s">
        <v>6</v>
      </c>
      <c r="G865" t="s">
        <v>65</v>
      </c>
      <c r="H865">
        <v>5</v>
      </c>
      <c r="I865" t="s">
        <v>5</v>
      </c>
      <c r="J865" t="s">
        <v>87</v>
      </c>
      <c r="K865">
        <v>0</v>
      </c>
      <c r="L865">
        <v>0</v>
      </c>
      <c r="M865">
        <v>1</v>
      </c>
      <c r="N865">
        <v>1</v>
      </c>
    </row>
    <row r="866" spans="1:14">
      <c r="A866" t="s">
        <v>25</v>
      </c>
      <c r="B866">
        <v>256</v>
      </c>
      <c r="C866" t="s">
        <v>116</v>
      </c>
      <c r="D866" s="9">
        <v>46086</v>
      </c>
      <c r="E866">
        <v>270</v>
      </c>
      <c r="F866" t="s">
        <v>4</v>
      </c>
      <c r="G866" t="s">
        <v>102</v>
      </c>
      <c r="H866">
        <v>13</v>
      </c>
      <c r="I866" t="s">
        <v>5</v>
      </c>
      <c r="J866" t="s">
        <v>89</v>
      </c>
      <c r="K866">
        <v>1</v>
      </c>
      <c r="L866">
        <v>0</v>
      </c>
      <c r="M866">
        <v>0</v>
      </c>
      <c r="N866">
        <v>1</v>
      </c>
    </row>
    <row r="867" spans="1:14">
      <c r="A867" t="s">
        <v>25</v>
      </c>
      <c r="B867">
        <v>256</v>
      </c>
      <c r="C867" t="s">
        <v>116</v>
      </c>
      <c r="D867" s="9">
        <v>46086</v>
      </c>
      <c r="E867">
        <v>270</v>
      </c>
      <c r="F867" t="s">
        <v>5</v>
      </c>
      <c r="G867" t="s">
        <v>65</v>
      </c>
      <c r="H867">
        <v>9</v>
      </c>
      <c r="I867" t="s">
        <v>23</v>
      </c>
      <c r="J867" t="s">
        <v>89</v>
      </c>
      <c r="K867">
        <v>1</v>
      </c>
      <c r="L867">
        <v>0</v>
      </c>
      <c r="M867">
        <v>0</v>
      </c>
      <c r="N867">
        <v>1</v>
      </c>
    </row>
    <row r="868" spans="1:14">
      <c r="A868" t="s">
        <v>25</v>
      </c>
      <c r="B868">
        <v>256</v>
      </c>
      <c r="C868" t="s">
        <v>116</v>
      </c>
      <c r="D868" s="9">
        <v>46086</v>
      </c>
      <c r="E868">
        <v>270</v>
      </c>
      <c r="F868" t="s">
        <v>5</v>
      </c>
      <c r="G868" t="s">
        <v>65</v>
      </c>
      <c r="H868">
        <v>9</v>
      </c>
      <c r="I868" t="s">
        <v>4</v>
      </c>
      <c r="J868" t="s">
        <v>88</v>
      </c>
      <c r="K868">
        <v>0</v>
      </c>
      <c r="L868">
        <v>1</v>
      </c>
      <c r="M868">
        <v>0</v>
      </c>
      <c r="N868">
        <v>1</v>
      </c>
    </row>
    <row r="869" spans="1:14">
      <c r="A869" t="s">
        <v>25</v>
      </c>
      <c r="B869">
        <v>256</v>
      </c>
      <c r="C869" t="s">
        <v>116</v>
      </c>
      <c r="D869" s="9">
        <v>46086</v>
      </c>
      <c r="E869">
        <v>270</v>
      </c>
      <c r="F869" t="s">
        <v>4</v>
      </c>
      <c r="G869" t="s">
        <v>65</v>
      </c>
      <c r="H869">
        <v>13</v>
      </c>
      <c r="I869" t="s">
        <v>23</v>
      </c>
      <c r="J869" t="s">
        <v>89</v>
      </c>
      <c r="K869">
        <v>1</v>
      </c>
      <c r="L869">
        <v>0</v>
      </c>
      <c r="M869">
        <v>0</v>
      </c>
      <c r="N869">
        <v>1</v>
      </c>
    </row>
    <row r="870" spans="1:14">
      <c r="A870" t="s">
        <v>25</v>
      </c>
      <c r="B870">
        <v>256</v>
      </c>
      <c r="C870" t="s">
        <v>116</v>
      </c>
      <c r="D870" s="9">
        <v>46086</v>
      </c>
      <c r="E870">
        <v>270</v>
      </c>
      <c r="F870" t="s">
        <v>23</v>
      </c>
      <c r="G870" t="s">
        <v>102</v>
      </c>
      <c r="H870">
        <v>6</v>
      </c>
      <c r="I870" t="s">
        <v>5</v>
      </c>
      <c r="J870" t="s">
        <v>88</v>
      </c>
      <c r="K870">
        <v>0</v>
      </c>
      <c r="L870">
        <v>1</v>
      </c>
      <c r="M870">
        <v>0</v>
      </c>
      <c r="N870">
        <v>1</v>
      </c>
    </row>
    <row r="871" spans="1:14">
      <c r="A871" t="s">
        <v>25</v>
      </c>
      <c r="B871">
        <v>256</v>
      </c>
      <c r="C871" t="s">
        <v>116</v>
      </c>
      <c r="D871" s="9">
        <v>46086</v>
      </c>
      <c r="E871">
        <v>270</v>
      </c>
      <c r="F871" t="s">
        <v>23</v>
      </c>
      <c r="G871" t="s">
        <v>102</v>
      </c>
      <c r="H871">
        <v>6</v>
      </c>
      <c r="I871" t="s">
        <v>4</v>
      </c>
      <c r="J871" t="s">
        <v>88</v>
      </c>
      <c r="K871">
        <v>0</v>
      </c>
      <c r="L871">
        <v>1</v>
      </c>
      <c r="M871">
        <v>0</v>
      </c>
      <c r="N871">
        <v>1</v>
      </c>
    </row>
    <row r="872" spans="1:14">
      <c r="A872" t="s">
        <v>25</v>
      </c>
      <c r="B872">
        <v>256</v>
      </c>
      <c r="C872" t="s">
        <v>116</v>
      </c>
      <c r="D872" s="9">
        <v>46087</v>
      </c>
      <c r="E872">
        <v>271</v>
      </c>
      <c r="F872" t="s">
        <v>4</v>
      </c>
      <c r="G872" t="s">
        <v>102</v>
      </c>
      <c r="H872">
        <v>12</v>
      </c>
      <c r="I872" t="s">
        <v>5</v>
      </c>
      <c r="J872" t="s">
        <v>89</v>
      </c>
      <c r="K872">
        <v>1</v>
      </c>
      <c r="L872">
        <v>0</v>
      </c>
      <c r="M872">
        <v>0</v>
      </c>
      <c r="N872">
        <v>1</v>
      </c>
    </row>
    <row r="873" spans="1:14">
      <c r="A873" t="s">
        <v>25</v>
      </c>
      <c r="B873">
        <v>256</v>
      </c>
      <c r="C873" t="s">
        <v>116</v>
      </c>
      <c r="D873" s="9">
        <v>46087</v>
      </c>
      <c r="E873">
        <v>271</v>
      </c>
      <c r="F873" t="s">
        <v>5</v>
      </c>
      <c r="G873" t="s">
        <v>65</v>
      </c>
      <c r="H873">
        <v>11</v>
      </c>
      <c r="I873" t="s">
        <v>4</v>
      </c>
      <c r="J873" t="s">
        <v>88</v>
      </c>
      <c r="K873">
        <v>0</v>
      </c>
      <c r="L873">
        <v>1</v>
      </c>
      <c r="M873">
        <v>0</v>
      </c>
      <c r="N873">
        <v>1</v>
      </c>
    </row>
    <row r="874" spans="1:14">
      <c r="A874" t="s">
        <v>25</v>
      </c>
      <c r="B874">
        <v>256</v>
      </c>
      <c r="C874" t="s">
        <v>116</v>
      </c>
      <c r="D874" s="9">
        <v>46091</v>
      </c>
      <c r="E874">
        <v>272</v>
      </c>
      <c r="F874" t="s">
        <v>4</v>
      </c>
      <c r="G874" t="s">
        <v>102</v>
      </c>
      <c r="H874">
        <v>18</v>
      </c>
      <c r="I874" t="s">
        <v>5</v>
      </c>
      <c r="J874" t="s">
        <v>89</v>
      </c>
      <c r="K874">
        <v>1</v>
      </c>
      <c r="L874">
        <v>0</v>
      </c>
      <c r="M874">
        <v>0</v>
      </c>
      <c r="N874">
        <v>1</v>
      </c>
    </row>
    <row r="875" spans="1:14">
      <c r="A875" t="s">
        <v>25</v>
      </c>
      <c r="B875">
        <v>256</v>
      </c>
      <c r="C875" t="s">
        <v>116</v>
      </c>
      <c r="D875" s="9">
        <v>46091</v>
      </c>
      <c r="E875">
        <v>272</v>
      </c>
      <c r="F875" t="s">
        <v>5</v>
      </c>
      <c r="G875" t="s">
        <v>65</v>
      </c>
      <c r="H875">
        <v>4</v>
      </c>
      <c r="I875" t="s">
        <v>4</v>
      </c>
      <c r="J875" t="s">
        <v>88</v>
      </c>
      <c r="K875">
        <v>0</v>
      </c>
      <c r="L875">
        <v>1</v>
      </c>
      <c r="M875">
        <v>0</v>
      </c>
      <c r="N875">
        <v>1</v>
      </c>
    </row>
    <row r="876" spans="1:14">
      <c r="A876" t="s">
        <v>25</v>
      </c>
      <c r="B876">
        <v>256</v>
      </c>
      <c r="C876" t="s">
        <v>116</v>
      </c>
      <c r="D876" s="9">
        <v>46092</v>
      </c>
      <c r="E876">
        <v>273</v>
      </c>
      <c r="F876" t="s">
        <v>6</v>
      </c>
      <c r="G876" t="s">
        <v>102</v>
      </c>
      <c r="H876">
        <v>4</v>
      </c>
      <c r="I876" t="s">
        <v>5</v>
      </c>
      <c r="J876" t="s">
        <v>88</v>
      </c>
      <c r="K876">
        <v>0</v>
      </c>
      <c r="L876">
        <v>1</v>
      </c>
      <c r="M876">
        <v>0</v>
      </c>
      <c r="N876">
        <v>1</v>
      </c>
    </row>
    <row r="877" spans="1:14">
      <c r="A877" t="s">
        <v>25</v>
      </c>
      <c r="B877">
        <v>256</v>
      </c>
      <c r="C877" t="s">
        <v>116</v>
      </c>
      <c r="D877" s="9">
        <v>46092</v>
      </c>
      <c r="E877">
        <v>273</v>
      </c>
      <c r="F877" t="s">
        <v>4</v>
      </c>
      <c r="G877" t="s">
        <v>65</v>
      </c>
      <c r="H877">
        <v>17</v>
      </c>
      <c r="I877" t="s">
        <v>5</v>
      </c>
      <c r="J877" t="s">
        <v>89</v>
      </c>
      <c r="K877">
        <v>1</v>
      </c>
      <c r="L877">
        <v>0</v>
      </c>
      <c r="M877">
        <v>0</v>
      </c>
      <c r="N877">
        <v>1</v>
      </c>
    </row>
    <row r="878" spans="1:14">
      <c r="A878" t="s">
        <v>25</v>
      </c>
      <c r="B878">
        <v>256</v>
      </c>
      <c r="C878" t="s">
        <v>116</v>
      </c>
      <c r="D878" s="9">
        <v>46092</v>
      </c>
      <c r="E878">
        <v>273</v>
      </c>
      <c r="F878" t="s">
        <v>6</v>
      </c>
      <c r="G878" t="s">
        <v>102</v>
      </c>
      <c r="H878">
        <v>4</v>
      </c>
      <c r="I878" t="s">
        <v>4</v>
      </c>
      <c r="J878" t="s">
        <v>88</v>
      </c>
      <c r="K878">
        <v>0</v>
      </c>
      <c r="L878">
        <v>1</v>
      </c>
      <c r="M878">
        <v>0</v>
      </c>
      <c r="N878">
        <v>1</v>
      </c>
    </row>
    <row r="879" spans="1:14">
      <c r="A879" t="s">
        <v>25</v>
      </c>
      <c r="B879">
        <v>256</v>
      </c>
      <c r="C879" t="s">
        <v>116</v>
      </c>
      <c r="D879" s="9">
        <v>46092</v>
      </c>
      <c r="E879">
        <v>273</v>
      </c>
      <c r="F879" t="s">
        <v>5</v>
      </c>
      <c r="G879" t="s">
        <v>65</v>
      </c>
      <c r="H879">
        <v>12</v>
      </c>
      <c r="I879" t="s">
        <v>6</v>
      </c>
      <c r="J879" t="s">
        <v>89</v>
      </c>
      <c r="K879">
        <v>1</v>
      </c>
      <c r="L879">
        <v>0</v>
      </c>
      <c r="M879">
        <v>0</v>
      </c>
      <c r="N879">
        <v>1</v>
      </c>
    </row>
    <row r="880" spans="1:14">
      <c r="A880" t="s">
        <v>25</v>
      </c>
      <c r="B880">
        <v>256</v>
      </c>
      <c r="C880" t="s">
        <v>116</v>
      </c>
      <c r="D880" s="9">
        <v>46092</v>
      </c>
      <c r="E880">
        <v>273</v>
      </c>
      <c r="F880" t="s">
        <v>5</v>
      </c>
      <c r="G880" t="s">
        <v>102</v>
      </c>
      <c r="H880">
        <v>12</v>
      </c>
      <c r="I880" t="s">
        <v>4</v>
      </c>
      <c r="J880" t="s">
        <v>88</v>
      </c>
      <c r="K880">
        <v>0</v>
      </c>
      <c r="L880">
        <v>1</v>
      </c>
      <c r="M880">
        <v>0</v>
      </c>
      <c r="N880">
        <v>1</v>
      </c>
    </row>
    <row r="881" spans="1:14">
      <c r="A881" t="s">
        <v>25</v>
      </c>
      <c r="B881">
        <v>256</v>
      </c>
      <c r="C881" t="s">
        <v>116</v>
      </c>
      <c r="D881" s="9">
        <v>46092</v>
      </c>
      <c r="E881">
        <v>273</v>
      </c>
      <c r="F881" t="s">
        <v>4</v>
      </c>
      <c r="G881" t="s">
        <v>65</v>
      </c>
      <c r="H881">
        <v>17</v>
      </c>
      <c r="I881" t="s">
        <v>6</v>
      </c>
      <c r="J881" t="s">
        <v>89</v>
      </c>
      <c r="K881">
        <v>1</v>
      </c>
      <c r="L881">
        <v>0</v>
      </c>
      <c r="M881">
        <v>0</v>
      </c>
      <c r="N881">
        <v>1</v>
      </c>
    </row>
    <row r="882" spans="1:14">
      <c r="A882" t="s">
        <v>25</v>
      </c>
      <c r="B882">
        <v>256</v>
      </c>
      <c r="C882" t="s">
        <v>116</v>
      </c>
      <c r="D882" s="9">
        <v>46093</v>
      </c>
      <c r="E882">
        <v>274</v>
      </c>
      <c r="F882" t="s">
        <v>5</v>
      </c>
      <c r="G882" t="s">
        <v>65</v>
      </c>
      <c r="H882">
        <v>8</v>
      </c>
      <c r="I882" t="s">
        <v>4</v>
      </c>
      <c r="J882" t="s">
        <v>88</v>
      </c>
      <c r="K882">
        <v>0</v>
      </c>
      <c r="L882">
        <v>1</v>
      </c>
      <c r="M882">
        <v>0</v>
      </c>
      <c r="N882">
        <v>1</v>
      </c>
    </row>
    <row r="883" spans="1:14">
      <c r="A883" t="s">
        <v>25</v>
      </c>
      <c r="B883">
        <v>256</v>
      </c>
      <c r="C883" t="s">
        <v>116</v>
      </c>
      <c r="D883" s="9">
        <v>46093</v>
      </c>
      <c r="E883">
        <v>274</v>
      </c>
      <c r="F883" t="s">
        <v>4</v>
      </c>
      <c r="G883" t="s">
        <v>102</v>
      </c>
      <c r="H883">
        <v>18</v>
      </c>
      <c r="I883" t="s">
        <v>5</v>
      </c>
      <c r="J883" t="s">
        <v>89</v>
      </c>
      <c r="K883">
        <v>1</v>
      </c>
      <c r="L883">
        <v>0</v>
      </c>
      <c r="M883">
        <v>0</v>
      </c>
      <c r="N883">
        <v>1</v>
      </c>
    </row>
    <row r="884" spans="1:14">
      <c r="A884" t="s">
        <v>25</v>
      </c>
      <c r="B884">
        <v>256</v>
      </c>
      <c r="C884" t="s">
        <v>116</v>
      </c>
      <c r="D884" s="9">
        <v>46094</v>
      </c>
      <c r="E884">
        <v>275</v>
      </c>
      <c r="F884" t="s">
        <v>4</v>
      </c>
      <c r="G884" t="s">
        <v>65</v>
      </c>
      <c r="H884">
        <v>19</v>
      </c>
      <c r="I884" t="s">
        <v>5</v>
      </c>
      <c r="J884" t="s">
        <v>89</v>
      </c>
      <c r="K884">
        <v>1</v>
      </c>
      <c r="L884">
        <v>0</v>
      </c>
      <c r="M884">
        <v>0</v>
      </c>
      <c r="N884">
        <v>1</v>
      </c>
    </row>
    <row r="885" spans="1:14">
      <c r="A885" t="s">
        <v>25</v>
      </c>
      <c r="B885">
        <v>256</v>
      </c>
      <c r="C885" t="s">
        <v>116</v>
      </c>
      <c r="D885" s="9">
        <v>46094</v>
      </c>
      <c r="E885">
        <v>275</v>
      </c>
      <c r="F885" t="s">
        <v>5</v>
      </c>
      <c r="G885" t="s">
        <v>102</v>
      </c>
      <c r="H885">
        <v>14</v>
      </c>
      <c r="I885" t="s">
        <v>4</v>
      </c>
      <c r="J885" t="s">
        <v>88</v>
      </c>
      <c r="K885">
        <v>0</v>
      </c>
      <c r="L885">
        <v>1</v>
      </c>
      <c r="M885">
        <v>0</v>
      </c>
      <c r="N885">
        <v>1</v>
      </c>
    </row>
    <row r="886" spans="1:14">
      <c r="A886" t="s">
        <v>25</v>
      </c>
      <c r="B886">
        <v>256</v>
      </c>
      <c r="C886" t="s">
        <v>116</v>
      </c>
      <c r="D886" s="9">
        <v>46105</v>
      </c>
      <c r="E886">
        <v>276</v>
      </c>
      <c r="F886" t="s">
        <v>4</v>
      </c>
      <c r="G886" t="s">
        <v>65</v>
      </c>
      <c r="H886">
        <v>12</v>
      </c>
      <c r="I886" t="s">
        <v>5</v>
      </c>
      <c r="J886" t="s">
        <v>89</v>
      </c>
      <c r="K886">
        <v>1</v>
      </c>
      <c r="L886">
        <v>0</v>
      </c>
      <c r="M886">
        <v>0</v>
      </c>
      <c r="N886">
        <v>1</v>
      </c>
    </row>
    <row r="887" spans="1:14">
      <c r="A887" t="s">
        <v>25</v>
      </c>
      <c r="B887">
        <v>256</v>
      </c>
      <c r="C887" t="s">
        <v>116</v>
      </c>
      <c r="D887" s="9">
        <v>46105</v>
      </c>
      <c r="E887">
        <v>276</v>
      </c>
      <c r="F887" t="s">
        <v>5</v>
      </c>
      <c r="G887" t="s">
        <v>102</v>
      </c>
      <c r="H887">
        <v>10</v>
      </c>
      <c r="I887" t="s">
        <v>4</v>
      </c>
      <c r="J887" t="s">
        <v>88</v>
      </c>
      <c r="K887">
        <v>0</v>
      </c>
      <c r="L887">
        <v>1</v>
      </c>
      <c r="M887">
        <v>0</v>
      </c>
      <c r="N887">
        <v>1</v>
      </c>
    </row>
    <row r="888" spans="1:14">
      <c r="A888" t="s">
        <v>25</v>
      </c>
      <c r="B888">
        <v>256</v>
      </c>
      <c r="C888" t="s">
        <v>116</v>
      </c>
      <c r="D888" s="9">
        <v>46106</v>
      </c>
      <c r="E888">
        <v>277</v>
      </c>
      <c r="F888" t="s">
        <v>4</v>
      </c>
      <c r="G888" t="s">
        <v>65</v>
      </c>
      <c r="H888">
        <v>17</v>
      </c>
      <c r="I888" t="s">
        <v>5</v>
      </c>
      <c r="J888" t="s">
        <v>89</v>
      </c>
      <c r="K888">
        <v>1</v>
      </c>
      <c r="L888">
        <v>0</v>
      </c>
      <c r="M888">
        <v>0</v>
      </c>
      <c r="N888">
        <v>1</v>
      </c>
    </row>
    <row r="889" spans="1:14">
      <c r="A889" t="s">
        <v>25</v>
      </c>
      <c r="B889">
        <v>256</v>
      </c>
      <c r="C889" t="s">
        <v>116</v>
      </c>
      <c r="D889" s="9">
        <v>46106</v>
      </c>
      <c r="E889">
        <v>277</v>
      </c>
      <c r="F889" t="s">
        <v>5</v>
      </c>
      <c r="G889" t="s">
        <v>102</v>
      </c>
      <c r="H889">
        <v>9</v>
      </c>
      <c r="I889" t="s">
        <v>4</v>
      </c>
      <c r="J889" t="s">
        <v>88</v>
      </c>
      <c r="K889">
        <v>0</v>
      </c>
      <c r="L889">
        <v>1</v>
      </c>
      <c r="M889">
        <v>0</v>
      </c>
      <c r="N889">
        <v>1</v>
      </c>
    </row>
    <row r="890" spans="1:14">
      <c r="A890" t="s">
        <v>25</v>
      </c>
      <c r="B890">
        <v>256</v>
      </c>
      <c r="C890" t="s">
        <v>116</v>
      </c>
      <c r="D890" s="9">
        <v>46106</v>
      </c>
      <c r="E890">
        <v>277</v>
      </c>
      <c r="F890" t="s">
        <v>7</v>
      </c>
      <c r="G890" t="s">
        <v>65</v>
      </c>
      <c r="H890">
        <v>9</v>
      </c>
      <c r="I890" t="s">
        <v>5</v>
      </c>
      <c r="J890" t="s">
        <v>87</v>
      </c>
      <c r="K890">
        <v>0</v>
      </c>
      <c r="L890">
        <v>0</v>
      </c>
      <c r="M890">
        <v>1</v>
      </c>
      <c r="N890">
        <v>1</v>
      </c>
    </row>
    <row r="891" spans="1:14">
      <c r="A891" t="s">
        <v>25</v>
      </c>
      <c r="B891">
        <v>256</v>
      </c>
      <c r="C891" t="s">
        <v>116</v>
      </c>
      <c r="D891" s="9">
        <v>46106</v>
      </c>
      <c r="E891">
        <v>277</v>
      </c>
      <c r="F891" t="s">
        <v>5</v>
      </c>
      <c r="G891" t="s">
        <v>102</v>
      </c>
      <c r="H891">
        <v>9</v>
      </c>
      <c r="I891" t="s">
        <v>7</v>
      </c>
      <c r="J891" t="s">
        <v>87</v>
      </c>
      <c r="K891">
        <v>0</v>
      </c>
      <c r="L891">
        <v>0</v>
      </c>
      <c r="M891">
        <v>1</v>
      </c>
      <c r="N891">
        <v>1</v>
      </c>
    </row>
    <row r="892" spans="1:14">
      <c r="A892" t="s">
        <v>25</v>
      </c>
      <c r="B892">
        <v>256</v>
      </c>
      <c r="C892" t="s">
        <v>116</v>
      </c>
      <c r="D892" s="9">
        <v>46106</v>
      </c>
      <c r="E892">
        <v>277</v>
      </c>
      <c r="F892" t="s">
        <v>7</v>
      </c>
      <c r="G892" t="s">
        <v>65</v>
      </c>
      <c r="H892">
        <v>9</v>
      </c>
      <c r="I892" t="s">
        <v>4</v>
      </c>
      <c r="J892" t="s">
        <v>88</v>
      </c>
      <c r="K892">
        <v>0</v>
      </c>
      <c r="L892">
        <v>1</v>
      </c>
      <c r="M892">
        <v>0</v>
      </c>
      <c r="N892">
        <v>1</v>
      </c>
    </row>
    <row r="893" spans="1:14">
      <c r="A893" t="s">
        <v>25</v>
      </c>
      <c r="B893">
        <v>256</v>
      </c>
      <c r="C893" t="s">
        <v>116</v>
      </c>
      <c r="D893" s="9">
        <v>46106</v>
      </c>
      <c r="E893">
        <v>277</v>
      </c>
      <c r="F893" t="s">
        <v>4</v>
      </c>
      <c r="G893" t="s">
        <v>102</v>
      </c>
      <c r="H893">
        <v>17</v>
      </c>
      <c r="I893" t="s">
        <v>7</v>
      </c>
      <c r="J893" t="s">
        <v>89</v>
      </c>
      <c r="K893">
        <v>1</v>
      </c>
      <c r="L893">
        <v>0</v>
      </c>
      <c r="M893">
        <v>0</v>
      </c>
      <c r="N893">
        <v>1</v>
      </c>
    </row>
    <row r="894" spans="1:14">
      <c r="A894" t="s">
        <v>25</v>
      </c>
      <c r="B894">
        <v>256</v>
      </c>
      <c r="C894" t="s">
        <v>116</v>
      </c>
      <c r="D894" s="9">
        <v>46108</v>
      </c>
      <c r="E894">
        <v>278</v>
      </c>
      <c r="F894" t="s">
        <v>4</v>
      </c>
      <c r="G894" t="s">
        <v>102</v>
      </c>
      <c r="H894">
        <v>14</v>
      </c>
      <c r="I894" t="s">
        <v>5</v>
      </c>
      <c r="J894" t="s">
        <v>89</v>
      </c>
      <c r="K894">
        <v>1</v>
      </c>
      <c r="L894">
        <v>0</v>
      </c>
      <c r="M894">
        <v>0</v>
      </c>
      <c r="N894">
        <v>1</v>
      </c>
    </row>
    <row r="895" spans="1:14">
      <c r="A895" t="s">
        <v>25</v>
      </c>
      <c r="B895">
        <v>256</v>
      </c>
      <c r="C895" t="s">
        <v>116</v>
      </c>
      <c r="D895" s="9">
        <v>46108</v>
      </c>
      <c r="E895">
        <v>278</v>
      </c>
      <c r="F895" t="s">
        <v>5</v>
      </c>
      <c r="G895" t="s">
        <v>65</v>
      </c>
      <c r="H895">
        <v>9</v>
      </c>
      <c r="I895" t="s">
        <v>4</v>
      </c>
      <c r="J895" t="s">
        <v>88</v>
      </c>
      <c r="K895">
        <v>0</v>
      </c>
      <c r="L895">
        <v>1</v>
      </c>
      <c r="M895">
        <v>0</v>
      </c>
      <c r="N895">
        <v>1</v>
      </c>
    </row>
    <row r="896" spans="1:14">
      <c r="A896" t="s">
        <v>25</v>
      </c>
      <c r="B896">
        <v>256</v>
      </c>
      <c r="C896" t="s">
        <v>116</v>
      </c>
      <c r="D896" s="9">
        <v>46114</v>
      </c>
      <c r="E896">
        <v>279</v>
      </c>
      <c r="F896" t="s">
        <v>4</v>
      </c>
      <c r="G896" t="s">
        <v>102</v>
      </c>
      <c r="H896">
        <v>18</v>
      </c>
      <c r="I896" t="s">
        <v>5</v>
      </c>
      <c r="J896" t="s">
        <v>89</v>
      </c>
      <c r="K896">
        <v>1</v>
      </c>
      <c r="L896">
        <v>0</v>
      </c>
      <c r="M896">
        <v>0</v>
      </c>
      <c r="N896">
        <v>1</v>
      </c>
    </row>
    <row r="897" spans="1:14">
      <c r="A897" t="s">
        <v>25</v>
      </c>
      <c r="B897">
        <v>256</v>
      </c>
      <c r="C897" t="s">
        <v>116</v>
      </c>
      <c r="D897" s="9">
        <v>46114</v>
      </c>
      <c r="E897">
        <v>279</v>
      </c>
      <c r="F897" t="s">
        <v>5</v>
      </c>
      <c r="G897" t="s">
        <v>65</v>
      </c>
      <c r="H897">
        <v>10</v>
      </c>
      <c r="I897" t="s">
        <v>4</v>
      </c>
      <c r="J897" t="s">
        <v>88</v>
      </c>
      <c r="K897">
        <v>0</v>
      </c>
      <c r="L897">
        <v>1</v>
      </c>
      <c r="M897">
        <v>0</v>
      </c>
      <c r="N897">
        <v>1</v>
      </c>
    </row>
    <row r="898" spans="1:14">
      <c r="A898" t="s">
        <v>25</v>
      </c>
      <c r="B898">
        <v>256</v>
      </c>
      <c r="C898" t="s">
        <v>116</v>
      </c>
      <c r="D898" s="9">
        <v>46121</v>
      </c>
      <c r="E898">
        <v>280</v>
      </c>
      <c r="F898" t="s">
        <v>4</v>
      </c>
      <c r="G898" t="s">
        <v>65</v>
      </c>
      <c r="H898">
        <v>18</v>
      </c>
      <c r="I898" t="s">
        <v>5</v>
      </c>
      <c r="J898" t="s">
        <v>89</v>
      </c>
      <c r="K898">
        <v>1</v>
      </c>
      <c r="L898">
        <v>0</v>
      </c>
      <c r="M898">
        <v>0</v>
      </c>
      <c r="N898">
        <v>1</v>
      </c>
    </row>
    <row r="899" spans="1:14">
      <c r="A899" t="s">
        <v>25</v>
      </c>
      <c r="B899">
        <v>256</v>
      </c>
      <c r="C899" t="s">
        <v>116</v>
      </c>
      <c r="D899" s="9">
        <v>46121</v>
      </c>
      <c r="E899">
        <v>280</v>
      </c>
      <c r="F899" t="s">
        <v>5</v>
      </c>
      <c r="G899" t="s">
        <v>102</v>
      </c>
      <c r="H899">
        <v>5</v>
      </c>
      <c r="I899" t="s">
        <v>4</v>
      </c>
      <c r="J899" t="s">
        <v>88</v>
      </c>
      <c r="K899">
        <v>0</v>
      </c>
      <c r="L899">
        <v>1</v>
      </c>
      <c r="M899">
        <v>0</v>
      </c>
      <c r="N899">
        <v>1</v>
      </c>
    </row>
    <row r="900" spans="1:14">
      <c r="A900" t="s">
        <v>25</v>
      </c>
      <c r="B900">
        <v>256</v>
      </c>
      <c r="C900" t="s">
        <v>116</v>
      </c>
      <c r="D900" s="9">
        <v>46122</v>
      </c>
      <c r="E900">
        <v>281</v>
      </c>
      <c r="F900" t="s">
        <v>4</v>
      </c>
      <c r="G900" t="s">
        <v>102</v>
      </c>
      <c r="H900">
        <v>21</v>
      </c>
      <c r="I900" t="s">
        <v>5</v>
      </c>
      <c r="J900" t="s">
        <v>89</v>
      </c>
      <c r="K900">
        <v>1</v>
      </c>
      <c r="L900">
        <v>0</v>
      </c>
      <c r="M900">
        <v>0</v>
      </c>
      <c r="N900">
        <v>1</v>
      </c>
    </row>
    <row r="901" spans="1:14">
      <c r="A901" t="s">
        <v>25</v>
      </c>
      <c r="B901">
        <v>256</v>
      </c>
      <c r="C901" t="s">
        <v>116</v>
      </c>
      <c r="D901" s="9">
        <v>46122</v>
      </c>
      <c r="E901">
        <v>281</v>
      </c>
      <c r="F901" t="s">
        <v>5</v>
      </c>
      <c r="G901" t="s">
        <v>65</v>
      </c>
      <c r="H901">
        <v>9</v>
      </c>
      <c r="I901" t="s">
        <v>4</v>
      </c>
      <c r="J901" t="s">
        <v>88</v>
      </c>
      <c r="K901">
        <v>0</v>
      </c>
      <c r="L901">
        <v>1</v>
      </c>
      <c r="M901">
        <v>0</v>
      </c>
      <c r="N901">
        <v>1</v>
      </c>
    </row>
    <row r="902" spans="1:14">
      <c r="A902" t="s">
        <v>25</v>
      </c>
      <c r="B902">
        <v>256</v>
      </c>
      <c r="C902" t="s">
        <v>116</v>
      </c>
      <c r="D902" s="9">
        <v>46127</v>
      </c>
      <c r="E902">
        <v>282</v>
      </c>
      <c r="F902" t="s">
        <v>4</v>
      </c>
      <c r="G902" t="s">
        <v>65</v>
      </c>
      <c r="H902">
        <v>20</v>
      </c>
      <c r="I902" t="s">
        <v>5</v>
      </c>
      <c r="J902" t="s">
        <v>89</v>
      </c>
      <c r="K902">
        <v>1</v>
      </c>
      <c r="L902">
        <v>0</v>
      </c>
      <c r="M902">
        <v>0</v>
      </c>
      <c r="N902">
        <v>1</v>
      </c>
    </row>
    <row r="903" spans="1:14">
      <c r="A903" t="s">
        <v>25</v>
      </c>
      <c r="B903">
        <v>256</v>
      </c>
      <c r="C903" t="s">
        <v>116</v>
      </c>
      <c r="D903" s="9">
        <v>46127</v>
      </c>
      <c r="E903">
        <v>282</v>
      </c>
      <c r="F903" t="s">
        <v>5</v>
      </c>
      <c r="G903" t="s">
        <v>102</v>
      </c>
      <c r="H903">
        <v>8</v>
      </c>
      <c r="I903" t="s">
        <v>4</v>
      </c>
      <c r="J903" t="s">
        <v>88</v>
      </c>
      <c r="K903">
        <v>0</v>
      </c>
      <c r="L903">
        <v>1</v>
      </c>
      <c r="M903">
        <v>0</v>
      </c>
      <c r="N903">
        <v>1</v>
      </c>
    </row>
    <row r="904" spans="1:14">
      <c r="A904" t="s">
        <v>25</v>
      </c>
      <c r="B904">
        <v>256</v>
      </c>
      <c r="C904" t="s">
        <v>116</v>
      </c>
      <c r="D904" s="9">
        <v>46132</v>
      </c>
      <c r="E904">
        <v>283</v>
      </c>
      <c r="F904" t="s">
        <v>4</v>
      </c>
      <c r="G904" t="s">
        <v>65</v>
      </c>
      <c r="H904">
        <v>20</v>
      </c>
      <c r="I904" t="s">
        <v>5</v>
      </c>
      <c r="J904" t="s">
        <v>89</v>
      </c>
      <c r="K904">
        <v>1</v>
      </c>
      <c r="L904">
        <v>0</v>
      </c>
      <c r="M904">
        <v>0</v>
      </c>
      <c r="N904">
        <v>1</v>
      </c>
    </row>
    <row r="905" spans="1:14">
      <c r="A905" t="s">
        <v>25</v>
      </c>
      <c r="B905">
        <v>256</v>
      </c>
      <c r="C905" t="s">
        <v>116</v>
      </c>
      <c r="D905" s="9">
        <v>46132</v>
      </c>
      <c r="E905">
        <v>283</v>
      </c>
      <c r="F905" t="s">
        <v>5</v>
      </c>
      <c r="G905" t="s">
        <v>102</v>
      </c>
      <c r="H905">
        <v>6</v>
      </c>
      <c r="I905" t="s">
        <v>4</v>
      </c>
      <c r="J905" t="s">
        <v>88</v>
      </c>
      <c r="K905">
        <v>0</v>
      </c>
      <c r="L905">
        <v>1</v>
      </c>
      <c r="M905">
        <v>0</v>
      </c>
      <c r="N905">
        <v>1</v>
      </c>
    </row>
    <row r="906" spans="1:14">
      <c r="A906" t="s">
        <v>25</v>
      </c>
      <c r="B906">
        <v>256</v>
      </c>
      <c r="C906" t="s">
        <v>116</v>
      </c>
      <c r="D906" s="9">
        <v>46148</v>
      </c>
      <c r="E906">
        <v>284</v>
      </c>
      <c r="F906" t="s">
        <v>5</v>
      </c>
      <c r="G906" t="s">
        <v>102</v>
      </c>
      <c r="H906">
        <v>7</v>
      </c>
      <c r="I906" t="s">
        <v>4</v>
      </c>
      <c r="J906" t="s">
        <v>88</v>
      </c>
      <c r="K906">
        <v>0</v>
      </c>
      <c r="L906">
        <v>1</v>
      </c>
      <c r="M906">
        <v>0</v>
      </c>
      <c r="N906">
        <v>1</v>
      </c>
    </row>
    <row r="907" spans="1:14">
      <c r="A907" t="s">
        <v>25</v>
      </c>
      <c r="B907">
        <v>256</v>
      </c>
      <c r="C907" t="s">
        <v>116</v>
      </c>
      <c r="D907" s="9">
        <v>46148</v>
      </c>
      <c r="E907">
        <v>284</v>
      </c>
      <c r="F907" t="s">
        <v>4</v>
      </c>
      <c r="G907" t="s">
        <v>65</v>
      </c>
      <c r="H907">
        <v>10</v>
      </c>
      <c r="I907" t="s">
        <v>5</v>
      </c>
      <c r="J907" t="s">
        <v>89</v>
      </c>
      <c r="K907">
        <v>1</v>
      </c>
      <c r="L907">
        <v>0</v>
      </c>
      <c r="M907">
        <v>0</v>
      </c>
      <c r="N907">
        <v>1</v>
      </c>
    </row>
    <row r="908" spans="1:14">
      <c r="A908" t="s">
        <v>25</v>
      </c>
      <c r="B908">
        <v>256</v>
      </c>
      <c r="C908" t="s">
        <v>116</v>
      </c>
      <c r="D908" s="9">
        <v>46154</v>
      </c>
      <c r="E908">
        <v>285</v>
      </c>
      <c r="F908" t="s">
        <v>5</v>
      </c>
      <c r="G908" t="s">
        <v>102</v>
      </c>
      <c r="H908">
        <v>9</v>
      </c>
      <c r="I908" t="s">
        <v>4</v>
      </c>
      <c r="J908" t="s">
        <v>88</v>
      </c>
      <c r="K908">
        <v>0</v>
      </c>
      <c r="L908">
        <v>1</v>
      </c>
      <c r="M908">
        <v>0</v>
      </c>
      <c r="N908">
        <v>1</v>
      </c>
    </row>
    <row r="909" spans="1:14">
      <c r="A909" t="s">
        <v>25</v>
      </c>
      <c r="B909">
        <v>256</v>
      </c>
      <c r="C909" t="s">
        <v>116</v>
      </c>
      <c r="D909" s="9">
        <v>46154</v>
      </c>
      <c r="E909">
        <v>285</v>
      </c>
      <c r="F909" t="s">
        <v>4</v>
      </c>
      <c r="G909" t="s">
        <v>65</v>
      </c>
      <c r="H909">
        <v>17</v>
      </c>
      <c r="I909" t="s">
        <v>5</v>
      </c>
      <c r="J909" t="s">
        <v>89</v>
      </c>
      <c r="K909">
        <v>1</v>
      </c>
      <c r="L909">
        <v>0</v>
      </c>
      <c r="M909">
        <v>0</v>
      </c>
      <c r="N909">
        <v>1</v>
      </c>
    </row>
    <row r="910" spans="1:14">
      <c r="A910" t="s">
        <v>25</v>
      </c>
      <c r="B910">
        <v>256</v>
      </c>
      <c r="C910" t="s">
        <v>116</v>
      </c>
      <c r="D910" s="9">
        <v>46156</v>
      </c>
      <c r="E910">
        <v>286</v>
      </c>
      <c r="F910" t="s">
        <v>5</v>
      </c>
      <c r="G910" t="s">
        <v>65</v>
      </c>
      <c r="H910">
        <v>10</v>
      </c>
      <c r="I910" t="s">
        <v>4</v>
      </c>
      <c r="J910" t="s">
        <v>88</v>
      </c>
      <c r="K910">
        <v>0</v>
      </c>
      <c r="L910">
        <v>1</v>
      </c>
      <c r="M910">
        <v>0</v>
      </c>
      <c r="N910">
        <v>1</v>
      </c>
    </row>
    <row r="911" spans="1:14">
      <c r="A911" t="s">
        <v>25</v>
      </c>
      <c r="B911">
        <v>256</v>
      </c>
      <c r="C911" t="s">
        <v>116</v>
      </c>
      <c r="D911" s="9">
        <v>46156</v>
      </c>
      <c r="E911">
        <v>286</v>
      </c>
      <c r="F911" t="s">
        <v>4</v>
      </c>
      <c r="G911" t="s">
        <v>102</v>
      </c>
      <c r="H911">
        <v>18</v>
      </c>
      <c r="I911" t="s">
        <v>5</v>
      </c>
      <c r="J911" t="s">
        <v>89</v>
      </c>
      <c r="K911">
        <v>1</v>
      </c>
      <c r="L911">
        <v>0</v>
      </c>
      <c r="M911">
        <v>0</v>
      </c>
      <c r="N911">
        <v>1</v>
      </c>
    </row>
    <row r="912" spans="1:14">
      <c r="A912" t="s">
        <v>25</v>
      </c>
      <c r="B912">
        <v>256</v>
      </c>
      <c r="C912" t="s">
        <v>116</v>
      </c>
      <c r="D912" s="9">
        <v>46197</v>
      </c>
      <c r="E912">
        <v>287</v>
      </c>
      <c r="F912" t="s">
        <v>5</v>
      </c>
      <c r="G912" t="s">
        <v>65</v>
      </c>
      <c r="H912">
        <v>13</v>
      </c>
      <c r="I912" t="s">
        <v>4</v>
      </c>
      <c r="J912" t="s">
        <v>88</v>
      </c>
      <c r="K912">
        <v>0</v>
      </c>
      <c r="L912">
        <v>1</v>
      </c>
      <c r="M912">
        <v>0</v>
      </c>
      <c r="N912">
        <v>1</v>
      </c>
    </row>
    <row r="913" spans="1:14">
      <c r="A913" t="s">
        <v>25</v>
      </c>
      <c r="B913">
        <v>256</v>
      </c>
      <c r="C913" t="s">
        <v>116</v>
      </c>
      <c r="D913" s="9">
        <v>46197</v>
      </c>
      <c r="E913">
        <v>287</v>
      </c>
      <c r="F913" t="s">
        <v>4</v>
      </c>
      <c r="G913" t="s">
        <v>102</v>
      </c>
      <c r="H913">
        <v>16</v>
      </c>
      <c r="I913" t="s">
        <v>5</v>
      </c>
      <c r="J913" t="s">
        <v>89</v>
      </c>
      <c r="K913">
        <v>1</v>
      </c>
      <c r="L913">
        <v>0</v>
      </c>
      <c r="M913">
        <v>0</v>
      </c>
      <c r="N913">
        <v>1</v>
      </c>
    </row>
    <row r="914" spans="1:14">
      <c r="A914" t="s">
        <v>25</v>
      </c>
      <c r="B914">
        <v>256</v>
      </c>
      <c r="C914" t="s">
        <v>116</v>
      </c>
      <c r="D914" s="9">
        <v>46198</v>
      </c>
      <c r="E914">
        <v>288</v>
      </c>
      <c r="F914" t="s">
        <v>4</v>
      </c>
      <c r="G914" t="s">
        <v>65</v>
      </c>
      <c r="H914">
        <v>19</v>
      </c>
      <c r="I914" t="s">
        <v>5</v>
      </c>
      <c r="J914" t="s">
        <v>89</v>
      </c>
      <c r="K914">
        <v>1</v>
      </c>
      <c r="L914">
        <v>0</v>
      </c>
      <c r="M914">
        <v>0</v>
      </c>
      <c r="N914">
        <v>1</v>
      </c>
    </row>
    <row r="915" spans="1:14">
      <c r="A915" t="s">
        <v>25</v>
      </c>
      <c r="B915">
        <v>256</v>
      </c>
      <c r="C915" t="s">
        <v>116</v>
      </c>
      <c r="D915" s="9">
        <v>46198</v>
      </c>
      <c r="E915">
        <v>288</v>
      </c>
      <c r="F915" t="s">
        <v>5</v>
      </c>
      <c r="G915" t="s">
        <v>102</v>
      </c>
      <c r="H915">
        <v>10</v>
      </c>
      <c r="I915" t="s">
        <v>4</v>
      </c>
      <c r="J915" t="s">
        <v>88</v>
      </c>
      <c r="K915">
        <v>0</v>
      </c>
      <c r="L915">
        <v>1</v>
      </c>
      <c r="M915">
        <v>0</v>
      </c>
      <c r="N915">
        <v>1</v>
      </c>
    </row>
  </sheetData>
  <phoneticPr fontId="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0108D-8CCF-0D4F-BE6A-DBCC0BBDC739}">
  <dimension ref="A1:M394"/>
  <sheetViews>
    <sheetView topLeftCell="A299" workbookViewId="0">
      <selection activeCell="F311" sqref="F311"/>
    </sheetView>
  </sheetViews>
  <sheetFormatPr baseColWidth="10" defaultRowHeight="16"/>
  <cols>
    <col min="1" max="1" width="8.1640625" bestFit="1" customWidth="1"/>
    <col min="2" max="2" width="8.6640625" bestFit="1" customWidth="1"/>
    <col min="3" max="3" width="7.6640625" bestFit="1" customWidth="1"/>
    <col min="4" max="4" width="9" bestFit="1" customWidth="1"/>
    <col min="5" max="5" width="9.6640625" bestFit="1" customWidth="1"/>
    <col min="6" max="6" width="9.1640625" bestFit="1" customWidth="1"/>
    <col min="7" max="7" width="10.1640625" customWidth="1"/>
    <col min="8" max="8" width="9" bestFit="1" customWidth="1"/>
    <col min="9" max="9" width="8.33203125" bestFit="1" customWidth="1"/>
    <col min="10" max="10" width="8.6640625" bestFit="1" customWidth="1"/>
    <col min="11" max="11" width="13.83203125" bestFit="1" customWidth="1"/>
    <col min="12" max="12" width="13.1640625" bestFit="1" customWidth="1"/>
    <col min="13" max="13" width="12.1640625" bestFit="1" customWidth="1"/>
    <col min="14" max="14" width="9.83203125" bestFit="1" customWidth="1"/>
    <col min="15" max="16" width="9.1640625" bestFit="1" customWidth="1"/>
    <col min="17" max="17" width="9.33203125" bestFit="1" customWidth="1"/>
    <col min="18" max="18" width="11.33203125" bestFit="1" customWidth="1"/>
    <col min="19" max="20" width="9.1640625" bestFit="1" customWidth="1"/>
    <col min="21" max="21" width="9.33203125" bestFit="1" customWidth="1"/>
    <col min="22" max="22" width="11.33203125" bestFit="1" customWidth="1"/>
    <col min="23" max="23" width="12.6640625" bestFit="1" customWidth="1"/>
    <col min="24" max="24" width="13.33203125" bestFit="1" customWidth="1"/>
    <col min="25" max="26" width="14.5" bestFit="1" customWidth="1"/>
    <col min="27" max="28" width="13.83203125" bestFit="1" customWidth="1"/>
    <col min="29" max="29" width="14" bestFit="1" customWidth="1"/>
    <col min="30" max="30" width="16" bestFit="1" customWidth="1"/>
    <col min="31" max="31" width="13.1640625" bestFit="1" customWidth="1"/>
    <col min="32" max="32" width="10" bestFit="1" customWidth="1"/>
    <col min="33" max="33" width="8.1640625" bestFit="1" customWidth="1"/>
    <col min="34" max="43" width="12.6640625" bestFit="1" customWidth="1"/>
  </cols>
  <sheetData>
    <row r="1" spans="1:13">
      <c r="A1" t="s">
        <v>0</v>
      </c>
      <c r="B1" t="s">
        <v>1</v>
      </c>
      <c r="C1" t="s">
        <v>65</v>
      </c>
      <c r="D1" t="s">
        <v>35</v>
      </c>
      <c r="E1" t="s">
        <v>2</v>
      </c>
      <c r="F1" t="s">
        <v>74</v>
      </c>
      <c r="G1" t="s">
        <v>67</v>
      </c>
    </row>
    <row r="2" spans="1:13">
      <c r="A2" s="9">
        <v>45707</v>
      </c>
      <c r="B2">
        <v>1</v>
      </c>
      <c r="C2" t="s">
        <v>4</v>
      </c>
      <c r="D2" t="s">
        <v>5</v>
      </c>
      <c r="E2" t="s">
        <v>73</v>
      </c>
      <c r="F2">
        <v>11</v>
      </c>
      <c r="G2">
        <v>0</v>
      </c>
      <c r="K2" s="5" t="s">
        <v>2</v>
      </c>
      <c r="L2" t="s">
        <v>75</v>
      </c>
    </row>
    <row r="3" spans="1:13">
      <c r="A3" s="9">
        <v>45707</v>
      </c>
      <c r="B3">
        <v>2</v>
      </c>
      <c r="C3" t="s">
        <v>5</v>
      </c>
      <c r="D3" t="s">
        <v>5</v>
      </c>
      <c r="E3" t="s">
        <v>73</v>
      </c>
      <c r="F3">
        <v>13</v>
      </c>
      <c r="G3">
        <v>0</v>
      </c>
      <c r="K3" s="5" t="s">
        <v>65</v>
      </c>
      <c r="L3" t="s">
        <v>75</v>
      </c>
    </row>
    <row r="4" spans="1:13">
      <c r="A4" s="9">
        <v>45708</v>
      </c>
      <c r="B4">
        <v>3</v>
      </c>
      <c r="C4" t="s">
        <v>5</v>
      </c>
      <c r="D4" t="s">
        <v>5</v>
      </c>
      <c r="E4" t="s">
        <v>73</v>
      </c>
      <c r="F4">
        <v>7</v>
      </c>
      <c r="G4">
        <v>0</v>
      </c>
    </row>
    <row r="5" spans="1:13">
      <c r="A5" s="9">
        <v>45708</v>
      </c>
      <c r="B5">
        <v>4</v>
      </c>
      <c r="C5" t="s">
        <v>4</v>
      </c>
      <c r="D5" t="s">
        <v>5</v>
      </c>
      <c r="E5" t="s">
        <v>73</v>
      </c>
      <c r="F5">
        <v>4</v>
      </c>
      <c r="G5">
        <v>0</v>
      </c>
      <c r="K5" s="5" t="s">
        <v>66</v>
      </c>
      <c r="L5" t="s">
        <v>76</v>
      </c>
      <c r="M5" t="s">
        <v>68</v>
      </c>
    </row>
    <row r="6" spans="1:13">
      <c r="A6" s="9">
        <v>45708</v>
      </c>
      <c r="B6">
        <v>5</v>
      </c>
      <c r="C6" t="s">
        <v>5</v>
      </c>
      <c r="D6" t="s">
        <v>5</v>
      </c>
      <c r="E6" t="s">
        <v>73</v>
      </c>
      <c r="F6">
        <v>8</v>
      </c>
      <c r="G6">
        <v>0</v>
      </c>
      <c r="K6" s="6" t="s">
        <v>4</v>
      </c>
      <c r="L6">
        <v>6</v>
      </c>
      <c r="M6" s="10">
        <v>0.33333333333333331</v>
      </c>
    </row>
    <row r="7" spans="1:13">
      <c r="A7" s="9">
        <v>45709</v>
      </c>
      <c r="B7">
        <v>6</v>
      </c>
      <c r="C7" t="s">
        <v>5</v>
      </c>
      <c r="D7" t="s">
        <v>5</v>
      </c>
      <c r="E7" t="s">
        <v>73</v>
      </c>
      <c r="F7">
        <v>5</v>
      </c>
      <c r="G7">
        <v>0</v>
      </c>
      <c r="K7" s="6" t="s">
        <v>5</v>
      </c>
      <c r="L7">
        <v>20</v>
      </c>
      <c r="M7" s="10">
        <v>0.25</v>
      </c>
    </row>
    <row r="8" spans="1:13">
      <c r="A8" s="9">
        <v>45712</v>
      </c>
      <c r="B8">
        <v>7</v>
      </c>
      <c r="C8" t="s">
        <v>4</v>
      </c>
      <c r="D8" t="s">
        <v>5</v>
      </c>
      <c r="E8" t="s">
        <v>73</v>
      </c>
      <c r="F8">
        <v>2</v>
      </c>
      <c r="G8">
        <v>1</v>
      </c>
      <c r="K8" s="6" t="s">
        <v>38</v>
      </c>
      <c r="L8">
        <v>26</v>
      </c>
      <c r="M8" s="10">
        <v>0.26923076923076922</v>
      </c>
    </row>
    <row r="9" spans="1:13">
      <c r="A9" s="9">
        <v>45712</v>
      </c>
      <c r="B9">
        <v>8</v>
      </c>
      <c r="C9" t="s">
        <v>4</v>
      </c>
      <c r="D9" t="s">
        <v>5</v>
      </c>
      <c r="E9" t="s">
        <v>73</v>
      </c>
      <c r="F9">
        <v>4</v>
      </c>
      <c r="G9">
        <v>0</v>
      </c>
    </row>
    <row r="10" spans="1:13">
      <c r="A10" s="9">
        <v>45713</v>
      </c>
      <c r="B10">
        <v>9</v>
      </c>
      <c r="C10" t="s">
        <v>4</v>
      </c>
      <c r="D10" t="s">
        <v>5</v>
      </c>
      <c r="E10" t="s">
        <v>73</v>
      </c>
      <c r="F10">
        <v>5</v>
      </c>
      <c r="G10">
        <v>1</v>
      </c>
    </row>
    <row r="11" spans="1:13">
      <c r="A11" s="9">
        <v>45713</v>
      </c>
      <c r="B11">
        <v>10</v>
      </c>
      <c r="C11" t="s">
        <v>4</v>
      </c>
      <c r="D11" t="s">
        <v>5</v>
      </c>
      <c r="E11" t="s">
        <v>73</v>
      </c>
      <c r="F11">
        <v>5</v>
      </c>
      <c r="G11">
        <v>0</v>
      </c>
    </row>
    <row r="12" spans="1:13">
      <c r="A12" s="9">
        <v>45714</v>
      </c>
      <c r="B12">
        <v>11</v>
      </c>
      <c r="C12" t="s">
        <v>4</v>
      </c>
      <c r="D12" t="s">
        <v>5</v>
      </c>
      <c r="E12" t="s">
        <v>73</v>
      </c>
      <c r="F12">
        <v>12</v>
      </c>
      <c r="G12">
        <v>0</v>
      </c>
    </row>
    <row r="13" spans="1:13">
      <c r="A13" s="9">
        <v>45715</v>
      </c>
      <c r="B13">
        <v>12</v>
      </c>
      <c r="C13" t="s">
        <v>4</v>
      </c>
      <c r="D13" t="s">
        <v>5</v>
      </c>
      <c r="E13" t="s">
        <v>73</v>
      </c>
      <c r="F13">
        <v>9</v>
      </c>
      <c r="G13">
        <v>0</v>
      </c>
    </row>
    <row r="14" spans="1:13">
      <c r="A14" s="9">
        <v>45715</v>
      </c>
      <c r="B14">
        <v>13</v>
      </c>
      <c r="C14" t="s">
        <v>4</v>
      </c>
      <c r="D14" t="s">
        <v>5</v>
      </c>
      <c r="E14" t="s">
        <v>73</v>
      </c>
      <c r="F14">
        <v>10</v>
      </c>
      <c r="G14">
        <v>0</v>
      </c>
    </row>
    <row r="15" spans="1:13">
      <c r="A15" s="9">
        <v>45716</v>
      </c>
      <c r="B15">
        <v>14</v>
      </c>
      <c r="C15" t="s">
        <v>5</v>
      </c>
      <c r="D15" t="s">
        <v>5</v>
      </c>
      <c r="E15" t="s">
        <v>73</v>
      </c>
      <c r="F15">
        <v>6</v>
      </c>
      <c r="G15">
        <v>0</v>
      </c>
    </row>
    <row r="16" spans="1:13">
      <c r="A16" s="9">
        <v>45716</v>
      </c>
      <c r="B16">
        <v>15</v>
      </c>
      <c r="C16" t="s">
        <v>4</v>
      </c>
      <c r="D16" t="s">
        <v>5</v>
      </c>
      <c r="E16" t="s">
        <v>73</v>
      </c>
      <c r="F16">
        <v>4</v>
      </c>
      <c r="G16">
        <v>0</v>
      </c>
    </row>
    <row r="17" spans="1:7">
      <c r="A17" s="9">
        <v>45720</v>
      </c>
      <c r="B17">
        <v>16</v>
      </c>
      <c r="C17" t="s">
        <v>5</v>
      </c>
      <c r="D17" t="s">
        <v>5</v>
      </c>
      <c r="E17" t="s">
        <v>73</v>
      </c>
      <c r="F17">
        <v>8</v>
      </c>
      <c r="G17">
        <v>0</v>
      </c>
    </row>
    <row r="18" spans="1:7">
      <c r="A18" s="9">
        <v>45721</v>
      </c>
      <c r="B18">
        <v>17</v>
      </c>
      <c r="C18" t="s">
        <v>5</v>
      </c>
      <c r="D18" t="s">
        <v>5</v>
      </c>
      <c r="E18" t="s">
        <v>73</v>
      </c>
      <c r="F18">
        <v>4</v>
      </c>
      <c r="G18">
        <v>0</v>
      </c>
    </row>
    <row r="19" spans="1:7">
      <c r="A19" s="9">
        <v>45722</v>
      </c>
      <c r="B19">
        <v>18</v>
      </c>
      <c r="C19" t="s">
        <v>4</v>
      </c>
      <c r="D19" t="s">
        <v>5</v>
      </c>
      <c r="E19" t="s">
        <v>73</v>
      </c>
      <c r="F19">
        <v>8</v>
      </c>
      <c r="G19">
        <v>0</v>
      </c>
    </row>
    <row r="20" spans="1:7">
      <c r="A20" s="9">
        <v>45722</v>
      </c>
      <c r="B20">
        <v>19</v>
      </c>
      <c r="C20" t="s">
        <v>5</v>
      </c>
      <c r="D20" t="s">
        <v>4</v>
      </c>
      <c r="E20" t="s">
        <v>73</v>
      </c>
      <c r="F20">
        <v>6</v>
      </c>
      <c r="G20">
        <v>0</v>
      </c>
    </row>
    <row r="21" spans="1:7">
      <c r="A21" s="9">
        <v>45723</v>
      </c>
      <c r="B21">
        <v>20</v>
      </c>
      <c r="C21" t="s">
        <v>5</v>
      </c>
      <c r="D21" t="s">
        <v>4</v>
      </c>
      <c r="E21" t="s">
        <v>73</v>
      </c>
      <c r="F21">
        <v>0</v>
      </c>
      <c r="G21">
        <v>1</v>
      </c>
    </row>
    <row r="22" spans="1:7">
      <c r="A22" s="9">
        <v>45723</v>
      </c>
      <c r="B22">
        <v>20</v>
      </c>
      <c r="C22" t="s">
        <v>5</v>
      </c>
      <c r="D22" t="s">
        <v>5</v>
      </c>
      <c r="E22" t="s">
        <v>73</v>
      </c>
      <c r="F22">
        <v>1</v>
      </c>
      <c r="G22">
        <v>1</v>
      </c>
    </row>
    <row r="23" spans="1:7">
      <c r="A23" s="9">
        <v>45726</v>
      </c>
      <c r="B23">
        <v>21</v>
      </c>
      <c r="C23" t="s">
        <v>4</v>
      </c>
      <c r="D23" t="s">
        <v>5</v>
      </c>
      <c r="E23" t="s">
        <v>73</v>
      </c>
      <c r="F23">
        <v>5</v>
      </c>
      <c r="G23">
        <v>0</v>
      </c>
    </row>
    <row r="24" spans="1:7">
      <c r="A24" s="9">
        <v>45727</v>
      </c>
      <c r="B24">
        <v>22</v>
      </c>
      <c r="C24" t="s">
        <v>4</v>
      </c>
      <c r="D24" t="s">
        <v>5</v>
      </c>
      <c r="E24" t="s">
        <v>73</v>
      </c>
      <c r="F24">
        <v>4</v>
      </c>
      <c r="G24">
        <v>0</v>
      </c>
    </row>
    <row r="25" spans="1:7">
      <c r="A25" s="9">
        <v>45728</v>
      </c>
      <c r="B25">
        <v>23</v>
      </c>
      <c r="C25" t="s">
        <v>5</v>
      </c>
      <c r="D25" t="s">
        <v>5</v>
      </c>
      <c r="E25" t="s">
        <v>73</v>
      </c>
      <c r="F25">
        <v>3</v>
      </c>
      <c r="G25">
        <v>0</v>
      </c>
    </row>
    <row r="26" spans="1:7">
      <c r="A26" s="9">
        <v>45729</v>
      </c>
      <c r="B26">
        <v>24</v>
      </c>
      <c r="C26" t="s">
        <v>5</v>
      </c>
      <c r="D26" t="s">
        <v>5</v>
      </c>
      <c r="E26" t="s">
        <v>73</v>
      </c>
      <c r="F26">
        <v>8</v>
      </c>
      <c r="G26">
        <v>0</v>
      </c>
    </row>
    <row r="27" spans="1:7">
      <c r="A27" s="9">
        <v>45740</v>
      </c>
      <c r="B27">
        <v>25</v>
      </c>
      <c r="C27" t="s">
        <v>4</v>
      </c>
      <c r="D27" t="s">
        <v>5</v>
      </c>
      <c r="E27" t="s">
        <v>73</v>
      </c>
      <c r="F27">
        <v>4</v>
      </c>
      <c r="G27">
        <v>0</v>
      </c>
    </row>
    <row r="28" spans="1:7">
      <c r="A28" s="9">
        <v>45741</v>
      </c>
      <c r="B28">
        <v>26</v>
      </c>
      <c r="C28" t="s">
        <v>4</v>
      </c>
      <c r="D28" t="s">
        <v>5</v>
      </c>
      <c r="E28" t="s">
        <v>73</v>
      </c>
      <c r="F28">
        <v>4</v>
      </c>
      <c r="G28">
        <v>0</v>
      </c>
    </row>
    <row r="29" spans="1:7">
      <c r="A29" s="9">
        <v>45742</v>
      </c>
      <c r="B29">
        <v>27</v>
      </c>
      <c r="C29" t="s">
        <v>5</v>
      </c>
      <c r="D29" t="s">
        <v>5</v>
      </c>
      <c r="E29" t="s">
        <v>73</v>
      </c>
      <c r="F29">
        <v>6</v>
      </c>
      <c r="G29">
        <v>0</v>
      </c>
    </row>
    <row r="30" spans="1:7">
      <c r="A30" s="9">
        <v>45743</v>
      </c>
      <c r="B30">
        <v>28</v>
      </c>
      <c r="C30" t="s">
        <v>4</v>
      </c>
      <c r="D30" t="s">
        <v>5</v>
      </c>
      <c r="E30" t="s">
        <v>73</v>
      </c>
      <c r="F30">
        <v>4</v>
      </c>
      <c r="G30">
        <v>0</v>
      </c>
    </row>
    <row r="31" spans="1:7">
      <c r="A31" s="9">
        <v>45744</v>
      </c>
      <c r="B31">
        <v>29</v>
      </c>
      <c r="C31" t="s">
        <v>5</v>
      </c>
      <c r="D31" t="s">
        <v>4</v>
      </c>
      <c r="E31" t="s">
        <v>73</v>
      </c>
      <c r="F31">
        <v>8</v>
      </c>
      <c r="G31">
        <v>0</v>
      </c>
    </row>
    <row r="32" spans="1:7">
      <c r="A32" s="9">
        <v>45747</v>
      </c>
      <c r="B32">
        <v>30</v>
      </c>
      <c r="C32" t="s">
        <v>5</v>
      </c>
      <c r="D32" t="s">
        <v>5</v>
      </c>
      <c r="E32" t="s">
        <v>73</v>
      </c>
      <c r="F32">
        <v>2</v>
      </c>
      <c r="G32">
        <v>0</v>
      </c>
    </row>
    <row r="33" spans="1:7">
      <c r="A33" s="9">
        <v>45748</v>
      </c>
      <c r="B33">
        <v>31</v>
      </c>
      <c r="C33" t="s">
        <v>4</v>
      </c>
      <c r="D33" t="s">
        <v>5</v>
      </c>
      <c r="E33" t="s">
        <v>73</v>
      </c>
      <c r="F33">
        <v>4</v>
      </c>
      <c r="G33">
        <v>0</v>
      </c>
    </row>
    <row r="34" spans="1:7">
      <c r="A34" s="9">
        <v>45749</v>
      </c>
      <c r="B34">
        <v>32</v>
      </c>
      <c r="C34" t="s">
        <v>5</v>
      </c>
      <c r="D34" t="s">
        <v>4</v>
      </c>
      <c r="E34" t="s">
        <v>73</v>
      </c>
      <c r="F34">
        <v>3</v>
      </c>
      <c r="G34">
        <v>0</v>
      </c>
    </row>
    <row r="35" spans="1:7">
      <c r="A35" s="9">
        <v>45749</v>
      </c>
      <c r="B35">
        <v>33</v>
      </c>
      <c r="C35" t="s">
        <v>5</v>
      </c>
      <c r="D35" t="s">
        <v>4</v>
      </c>
      <c r="E35" t="s">
        <v>73</v>
      </c>
      <c r="F35">
        <v>1</v>
      </c>
      <c r="G35">
        <v>0</v>
      </c>
    </row>
    <row r="36" spans="1:7">
      <c r="A36" s="9">
        <v>45749</v>
      </c>
      <c r="B36">
        <v>33</v>
      </c>
      <c r="C36" t="s">
        <v>5</v>
      </c>
      <c r="D36" t="s">
        <v>5</v>
      </c>
      <c r="E36" t="s">
        <v>73</v>
      </c>
      <c r="F36">
        <v>1</v>
      </c>
      <c r="G36">
        <v>1</v>
      </c>
    </row>
    <row r="37" spans="1:7">
      <c r="A37" s="9">
        <v>45750</v>
      </c>
      <c r="B37">
        <v>34</v>
      </c>
      <c r="C37" t="s">
        <v>5</v>
      </c>
      <c r="D37" t="s">
        <v>5</v>
      </c>
      <c r="E37" t="s">
        <v>73</v>
      </c>
      <c r="F37">
        <v>5</v>
      </c>
      <c r="G37">
        <v>0</v>
      </c>
    </row>
    <row r="38" spans="1:7">
      <c r="A38" s="9">
        <v>45751</v>
      </c>
      <c r="B38">
        <v>35</v>
      </c>
      <c r="C38" t="s">
        <v>4</v>
      </c>
      <c r="D38" t="s">
        <v>5</v>
      </c>
      <c r="E38" t="s">
        <v>73</v>
      </c>
      <c r="F38">
        <v>6</v>
      </c>
      <c r="G38">
        <v>0</v>
      </c>
    </row>
    <row r="39" spans="1:7">
      <c r="A39" s="9">
        <v>45754</v>
      </c>
      <c r="B39">
        <v>36</v>
      </c>
      <c r="C39" t="s">
        <v>5</v>
      </c>
      <c r="D39" t="s">
        <v>4</v>
      </c>
      <c r="E39" t="s">
        <v>73</v>
      </c>
      <c r="F39">
        <v>1</v>
      </c>
      <c r="G39">
        <v>0</v>
      </c>
    </row>
    <row r="40" spans="1:7">
      <c r="A40" s="9">
        <v>45754</v>
      </c>
      <c r="B40">
        <v>36</v>
      </c>
      <c r="C40" t="s">
        <v>5</v>
      </c>
      <c r="D40" t="s">
        <v>5</v>
      </c>
      <c r="E40" t="s">
        <v>73</v>
      </c>
      <c r="F40">
        <v>0</v>
      </c>
      <c r="G40">
        <v>1</v>
      </c>
    </row>
    <row r="41" spans="1:7">
      <c r="A41" s="9">
        <v>45754</v>
      </c>
      <c r="B41">
        <v>37</v>
      </c>
      <c r="C41" t="s">
        <v>5</v>
      </c>
      <c r="D41" t="s">
        <v>4</v>
      </c>
      <c r="E41" t="s">
        <v>73</v>
      </c>
      <c r="F41">
        <v>3</v>
      </c>
      <c r="G41">
        <v>1</v>
      </c>
    </row>
    <row r="42" spans="1:7">
      <c r="A42" s="9">
        <v>45754</v>
      </c>
      <c r="B42">
        <v>37</v>
      </c>
      <c r="C42" t="s">
        <v>5</v>
      </c>
      <c r="D42" t="s">
        <v>5</v>
      </c>
      <c r="E42" t="s">
        <v>73</v>
      </c>
      <c r="F42">
        <v>0</v>
      </c>
      <c r="G42">
        <v>1</v>
      </c>
    </row>
    <row r="43" spans="1:7">
      <c r="A43" s="9">
        <v>45755</v>
      </c>
      <c r="B43">
        <v>38</v>
      </c>
      <c r="C43" t="s">
        <v>4</v>
      </c>
      <c r="D43" t="s">
        <v>4</v>
      </c>
      <c r="E43" t="s">
        <v>73</v>
      </c>
      <c r="F43">
        <v>3</v>
      </c>
      <c r="G43">
        <v>0</v>
      </c>
    </row>
    <row r="44" spans="1:7">
      <c r="A44" s="9">
        <v>45756</v>
      </c>
      <c r="B44">
        <v>39</v>
      </c>
      <c r="C44" t="s">
        <v>4</v>
      </c>
      <c r="D44" t="s">
        <v>5</v>
      </c>
      <c r="E44" t="s">
        <v>73</v>
      </c>
      <c r="F44">
        <v>11</v>
      </c>
      <c r="G44">
        <v>0</v>
      </c>
    </row>
    <row r="45" spans="1:7">
      <c r="A45" s="9">
        <v>45756</v>
      </c>
      <c r="B45">
        <v>40</v>
      </c>
      <c r="C45" t="s">
        <v>4</v>
      </c>
      <c r="D45" t="s">
        <v>4</v>
      </c>
      <c r="E45" t="s">
        <v>73</v>
      </c>
      <c r="F45">
        <v>3</v>
      </c>
      <c r="G45">
        <v>1</v>
      </c>
    </row>
    <row r="46" spans="1:7">
      <c r="A46" s="9">
        <v>45756</v>
      </c>
      <c r="B46">
        <v>40</v>
      </c>
      <c r="C46" t="s">
        <v>4</v>
      </c>
      <c r="D46" t="s">
        <v>5</v>
      </c>
      <c r="E46" t="s">
        <v>73</v>
      </c>
      <c r="F46">
        <v>2</v>
      </c>
      <c r="G46">
        <v>0</v>
      </c>
    </row>
    <row r="47" spans="1:7">
      <c r="A47" s="9">
        <v>45756</v>
      </c>
      <c r="B47">
        <v>41</v>
      </c>
      <c r="C47" t="s">
        <v>4</v>
      </c>
      <c r="D47" t="s">
        <v>5</v>
      </c>
      <c r="E47" t="s">
        <v>73</v>
      </c>
      <c r="F47">
        <v>2</v>
      </c>
      <c r="G47">
        <v>0</v>
      </c>
    </row>
    <row r="48" spans="1:7">
      <c r="A48" s="9">
        <v>45757</v>
      </c>
      <c r="B48">
        <v>42</v>
      </c>
      <c r="C48" t="s">
        <v>5</v>
      </c>
      <c r="D48" t="s">
        <v>4</v>
      </c>
      <c r="E48" t="s">
        <v>73</v>
      </c>
      <c r="F48">
        <v>2</v>
      </c>
      <c r="G48">
        <v>0</v>
      </c>
    </row>
    <row r="49" spans="1:7">
      <c r="A49" s="9">
        <v>45757</v>
      </c>
      <c r="B49">
        <v>42</v>
      </c>
      <c r="C49" t="s">
        <v>5</v>
      </c>
      <c r="D49" t="s">
        <v>5</v>
      </c>
      <c r="E49" t="s">
        <v>73</v>
      </c>
      <c r="F49">
        <v>1</v>
      </c>
      <c r="G49">
        <v>1</v>
      </c>
    </row>
    <row r="50" spans="1:7">
      <c r="A50" s="9">
        <v>45761</v>
      </c>
      <c r="B50">
        <v>43</v>
      </c>
      <c r="C50" t="s">
        <v>5</v>
      </c>
      <c r="D50" t="s">
        <v>4</v>
      </c>
      <c r="E50" t="s">
        <v>73</v>
      </c>
      <c r="F50">
        <v>0</v>
      </c>
      <c r="G50">
        <v>1</v>
      </c>
    </row>
    <row r="51" spans="1:7">
      <c r="A51" s="9">
        <v>45761</v>
      </c>
      <c r="B51">
        <v>43</v>
      </c>
      <c r="C51" t="s">
        <v>5</v>
      </c>
      <c r="D51" t="s">
        <v>5</v>
      </c>
      <c r="E51" t="s">
        <v>73</v>
      </c>
      <c r="F51">
        <v>4</v>
      </c>
      <c r="G51">
        <v>1</v>
      </c>
    </row>
    <row r="52" spans="1:7">
      <c r="A52" s="9">
        <v>45762</v>
      </c>
      <c r="B52">
        <v>44</v>
      </c>
      <c r="C52" t="s">
        <v>4</v>
      </c>
      <c r="D52" t="s">
        <v>4</v>
      </c>
      <c r="E52" t="s">
        <v>73</v>
      </c>
      <c r="F52">
        <v>1</v>
      </c>
      <c r="G52">
        <v>1</v>
      </c>
    </row>
    <row r="53" spans="1:7">
      <c r="A53" s="9">
        <v>45762</v>
      </c>
      <c r="B53">
        <v>44</v>
      </c>
      <c r="C53" t="s">
        <v>4</v>
      </c>
      <c r="D53" t="s">
        <v>5</v>
      </c>
      <c r="E53" t="s">
        <v>73</v>
      </c>
      <c r="F53">
        <v>5</v>
      </c>
      <c r="G53">
        <v>0</v>
      </c>
    </row>
    <row r="54" spans="1:7">
      <c r="A54" s="9">
        <v>45762</v>
      </c>
      <c r="B54">
        <v>45</v>
      </c>
      <c r="C54" t="s">
        <v>5</v>
      </c>
      <c r="D54" t="s">
        <v>5</v>
      </c>
      <c r="E54" t="s">
        <v>73</v>
      </c>
      <c r="F54">
        <v>3</v>
      </c>
      <c r="G54">
        <v>0</v>
      </c>
    </row>
    <row r="55" spans="1:7">
      <c r="A55" s="9">
        <v>45762</v>
      </c>
      <c r="B55">
        <v>46</v>
      </c>
      <c r="C55" t="s">
        <v>4</v>
      </c>
      <c r="D55" t="s">
        <v>5</v>
      </c>
      <c r="E55" t="s">
        <v>73</v>
      </c>
      <c r="F55">
        <v>9</v>
      </c>
      <c r="G55">
        <v>0</v>
      </c>
    </row>
    <row r="56" spans="1:7">
      <c r="A56" s="9">
        <v>45763</v>
      </c>
      <c r="B56">
        <v>48</v>
      </c>
      <c r="C56" t="s">
        <v>5</v>
      </c>
      <c r="D56" t="s">
        <v>4</v>
      </c>
      <c r="E56" t="s">
        <v>73</v>
      </c>
      <c r="F56">
        <v>2</v>
      </c>
      <c r="G56">
        <v>0</v>
      </c>
    </row>
    <row r="57" spans="1:7">
      <c r="A57" s="9">
        <v>45763</v>
      </c>
      <c r="B57">
        <v>49</v>
      </c>
      <c r="C57" t="s">
        <v>4</v>
      </c>
      <c r="D57" t="s">
        <v>5</v>
      </c>
      <c r="E57" t="s">
        <v>73</v>
      </c>
      <c r="F57">
        <v>6</v>
      </c>
      <c r="G57">
        <v>0</v>
      </c>
    </row>
    <row r="58" spans="1:7">
      <c r="A58" s="9">
        <v>45763</v>
      </c>
      <c r="B58">
        <v>50</v>
      </c>
      <c r="C58" t="s">
        <v>4</v>
      </c>
      <c r="D58" t="s">
        <v>4</v>
      </c>
      <c r="E58" t="s">
        <v>73</v>
      </c>
      <c r="F58">
        <v>1</v>
      </c>
      <c r="G58">
        <v>1</v>
      </c>
    </row>
    <row r="59" spans="1:7">
      <c r="A59" s="9">
        <v>45763</v>
      </c>
      <c r="B59">
        <v>50</v>
      </c>
      <c r="C59" t="s">
        <v>4</v>
      </c>
      <c r="D59" t="s">
        <v>5</v>
      </c>
      <c r="E59" t="s">
        <v>73</v>
      </c>
      <c r="F59">
        <v>2</v>
      </c>
      <c r="G59">
        <v>1</v>
      </c>
    </row>
    <row r="60" spans="1:7">
      <c r="A60" s="9">
        <v>45763</v>
      </c>
      <c r="B60">
        <v>51</v>
      </c>
      <c r="C60" t="s">
        <v>5</v>
      </c>
      <c r="D60" t="s">
        <v>4</v>
      </c>
      <c r="E60" t="s">
        <v>73</v>
      </c>
      <c r="F60">
        <v>4</v>
      </c>
      <c r="G60">
        <v>0</v>
      </c>
    </row>
    <row r="61" spans="1:7">
      <c r="A61" s="9">
        <v>45763</v>
      </c>
      <c r="B61">
        <v>51</v>
      </c>
      <c r="C61" t="s">
        <v>5</v>
      </c>
      <c r="D61" t="s">
        <v>5</v>
      </c>
      <c r="E61" t="s">
        <v>73</v>
      </c>
      <c r="F61">
        <v>1</v>
      </c>
      <c r="G61">
        <v>1</v>
      </c>
    </row>
    <row r="62" spans="1:7">
      <c r="A62" s="9">
        <v>45763</v>
      </c>
      <c r="B62">
        <v>52</v>
      </c>
      <c r="C62" t="s">
        <v>4</v>
      </c>
      <c r="D62" t="s">
        <v>5</v>
      </c>
      <c r="E62" t="s">
        <v>73</v>
      </c>
      <c r="F62">
        <v>7</v>
      </c>
      <c r="G62">
        <v>0</v>
      </c>
    </row>
    <row r="63" spans="1:7">
      <c r="A63" s="9">
        <v>45764</v>
      </c>
      <c r="B63">
        <v>53</v>
      </c>
      <c r="C63" t="s">
        <v>4</v>
      </c>
      <c r="D63" t="s">
        <v>5</v>
      </c>
      <c r="E63" t="s">
        <v>73</v>
      </c>
      <c r="F63">
        <v>10</v>
      </c>
      <c r="G63">
        <v>0</v>
      </c>
    </row>
    <row r="64" spans="1:7">
      <c r="A64" s="9">
        <v>45764</v>
      </c>
      <c r="B64">
        <v>54</v>
      </c>
      <c r="C64" t="s">
        <v>5</v>
      </c>
      <c r="D64" t="s">
        <v>4</v>
      </c>
      <c r="E64" t="s">
        <v>73</v>
      </c>
      <c r="F64">
        <v>0</v>
      </c>
      <c r="G64">
        <v>1</v>
      </c>
    </row>
    <row r="65" spans="1:7">
      <c r="A65" s="9">
        <v>45764</v>
      </c>
      <c r="B65">
        <v>54</v>
      </c>
      <c r="C65" t="s">
        <v>5</v>
      </c>
      <c r="D65" t="s">
        <v>5</v>
      </c>
      <c r="E65" t="s">
        <v>73</v>
      </c>
      <c r="F65">
        <v>1</v>
      </c>
      <c r="G65">
        <v>1</v>
      </c>
    </row>
    <row r="66" spans="1:7">
      <c r="A66" s="9">
        <v>45765</v>
      </c>
      <c r="B66">
        <v>55</v>
      </c>
      <c r="C66" t="s">
        <v>4</v>
      </c>
      <c r="D66" t="s">
        <v>4</v>
      </c>
      <c r="E66" t="s">
        <v>73</v>
      </c>
      <c r="F66">
        <v>2</v>
      </c>
      <c r="G66">
        <v>1</v>
      </c>
    </row>
    <row r="67" spans="1:7">
      <c r="A67" s="9">
        <v>45765</v>
      </c>
      <c r="B67">
        <v>55</v>
      </c>
      <c r="C67" t="s">
        <v>4</v>
      </c>
      <c r="D67" t="s">
        <v>5</v>
      </c>
      <c r="E67" t="s">
        <v>73</v>
      </c>
      <c r="F67">
        <v>4</v>
      </c>
      <c r="G67">
        <v>0</v>
      </c>
    </row>
    <row r="68" spans="1:7">
      <c r="A68" s="9">
        <v>45765</v>
      </c>
      <c r="B68">
        <v>56</v>
      </c>
      <c r="C68" t="s">
        <v>4</v>
      </c>
      <c r="D68" t="s">
        <v>5</v>
      </c>
      <c r="E68" t="s">
        <v>73</v>
      </c>
      <c r="F68">
        <v>7</v>
      </c>
      <c r="G68">
        <v>0</v>
      </c>
    </row>
    <row r="69" spans="1:7">
      <c r="A69" s="9">
        <v>45768</v>
      </c>
      <c r="B69">
        <v>57</v>
      </c>
      <c r="C69" t="s">
        <v>5</v>
      </c>
      <c r="D69" t="s">
        <v>4</v>
      </c>
      <c r="E69" t="s">
        <v>73</v>
      </c>
      <c r="F69">
        <v>2</v>
      </c>
      <c r="G69">
        <v>0</v>
      </c>
    </row>
    <row r="70" spans="1:7">
      <c r="A70" s="9">
        <v>45768</v>
      </c>
      <c r="B70">
        <v>57</v>
      </c>
      <c r="C70" t="s">
        <v>5</v>
      </c>
      <c r="D70" t="s">
        <v>5</v>
      </c>
      <c r="E70" t="s">
        <v>73</v>
      </c>
      <c r="F70">
        <v>1</v>
      </c>
      <c r="G70">
        <v>1</v>
      </c>
    </row>
    <row r="71" spans="1:7">
      <c r="A71" s="9">
        <v>45768</v>
      </c>
      <c r="B71">
        <v>58</v>
      </c>
      <c r="C71" t="s">
        <v>4</v>
      </c>
      <c r="D71" t="s">
        <v>5</v>
      </c>
      <c r="E71" t="s">
        <v>73</v>
      </c>
      <c r="F71">
        <v>3</v>
      </c>
      <c r="G71">
        <v>0</v>
      </c>
    </row>
    <row r="72" spans="1:7">
      <c r="A72" s="9">
        <v>45768</v>
      </c>
      <c r="B72">
        <v>59</v>
      </c>
      <c r="C72" t="s">
        <v>4</v>
      </c>
      <c r="D72" t="s">
        <v>5</v>
      </c>
      <c r="E72" t="s">
        <v>73</v>
      </c>
      <c r="F72">
        <v>11</v>
      </c>
      <c r="G72">
        <v>0</v>
      </c>
    </row>
    <row r="73" spans="1:7">
      <c r="A73" s="9">
        <v>45769</v>
      </c>
      <c r="B73">
        <v>60</v>
      </c>
      <c r="C73" t="s">
        <v>5</v>
      </c>
      <c r="D73" t="s">
        <v>4</v>
      </c>
      <c r="E73" t="s">
        <v>73</v>
      </c>
      <c r="F73">
        <v>7</v>
      </c>
      <c r="G73">
        <v>0</v>
      </c>
    </row>
    <row r="74" spans="1:7">
      <c r="A74" s="9">
        <v>45769</v>
      </c>
      <c r="B74">
        <v>61</v>
      </c>
      <c r="C74" t="s">
        <v>4</v>
      </c>
      <c r="D74" t="s">
        <v>5</v>
      </c>
      <c r="E74" t="s">
        <v>73</v>
      </c>
      <c r="F74">
        <v>11</v>
      </c>
      <c r="G74">
        <v>0</v>
      </c>
    </row>
    <row r="75" spans="1:7">
      <c r="A75" s="9">
        <v>45769</v>
      </c>
      <c r="B75">
        <v>62</v>
      </c>
      <c r="C75" t="s">
        <v>5</v>
      </c>
      <c r="D75" t="s">
        <v>5</v>
      </c>
      <c r="E75" t="s">
        <v>73</v>
      </c>
      <c r="F75">
        <v>5</v>
      </c>
      <c r="G75">
        <v>0</v>
      </c>
    </row>
    <row r="76" spans="1:7">
      <c r="A76" s="9">
        <v>45770</v>
      </c>
      <c r="B76">
        <v>63</v>
      </c>
      <c r="C76" t="s">
        <v>4</v>
      </c>
      <c r="D76" t="s">
        <v>5</v>
      </c>
      <c r="E76" t="s">
        <v>73</v>
      </c>
      <c r="F76">
        <v>5</v>
      </c>
      <c r="G76">
        <v>0</v>
      </c>
    </row>
    <row r="77" spans="1:7">
      <c r="A77" s="9">
        <v>45770</v>
      </c>
      <c r="B77">
        <v>65</v>
      </c>
      <c r="C77" t="s">
        <v>4</v>
      </c>
      <c r="D77" t="s">
        <v>5</v>
      </c>
      <c r="E77" t="s">
        <v>73</v>
      </c>
      <c r="F77">
        <v>4</v>
      </c>
      <c r="G77">
        <v>0</v>
      </c>
    </row>
    <row r="78" spans="1:7">
      <c r="A78" s="9">
        <v>45771</v>
      </c>
      <c r="B78">
        <v>66</v>
      </c>
      <c r="C78" t="s">
        <v>5</v>
      </c>
      <c r="D78" t="s">
        <v>5</v>
      </c>
      <c r="E78" t="s">
        <v>73</v>
      </c>
      <c r="F78">
        <v>2</v>
      </c>
      <c r="G78">
        <v>0</v>
      </c>
    </row>
    <row r="79" spans="1:7">
      <c r="A79" s="9">
        <v>45771</v>
      </c>
      <c r="B79">
        <v>67</v>
      </c>
      <c r="C79" t="s">
        <v>4</v>
      </c>
      <c r="D79" t="s">
        <v>5</v>
      </c>
      <c r="E79" t="s">
        <v>73</v>
      </c>
      <c r="F79">
        <v>9</v>
      </c>
      <c r="G79">
        <v>0</v>
      </c>
    </row>
    <row r="80" spans="1:7">
      <c r="A80" s="9">
        <v>45771</v>
      </c>
      <c r="B80">
        <v>68</v>
      </c>
      <c r="C80" t="s">
        <v>5</v>
      </c>
      <c r="D80" t="s">
        <v>5</v>
      </c>
      <c r="E80" t="s">
        <v>73</v>
      </c>
      <c r="F80">
        <v>5</v>
      </c>
      <c r="G80">
        <v>0</v>
      </c>
    </row>
    <row r="81" spans="1:7">
      <c r="A81" s="9">
        <v>45771</v>
      </c>
      <c r="B81">
        <v>69</v>
      </c>
      <c r="C81" t="s">
        <v>4</v>
      </c>
      <c r="D81" t="s">
        <v>5</v>
      </c>
      <c r="E81" t="s">
        <v>73</v>
      </c>
      <c r="F81">
        <v>9</v>
      </c>
      <c r="G81">
        <v>0</v>
      </c>
    </row>
    <row r="82" spans="1:7">
      <c r="A82" s="9">
        <v>45772</v>
      </c>
      <c r="B82">
        <v>70</v>
      </c>
      <c r="C82" t="s">
        <v>5</v>
      </c>
      <c r="D82" t="s">
        <v>4</v>
      </c>
      <c r="E82" t="s">
        <v>73</v>
      </c>
      <c r="F82">
        <v>2</v>
      </c>
      <c r="G82">
        <v>1</v>
      </c>
    </row>
    <row r="83" spans="1:7">
      <c r="A83" s="9">
        <v>45772</v>
      </c>
      <c r="B83">
        <v>71</v>
      </c>
      <c r="C83" t="s">
        <v>4</v>
      </c>
      <c r="D83" t="s">
        <v>5</v>
      </c>
      <c r="E83" t="s">
        <v>73</v>
      </c>
      <c r="F83">
        <v>8</v>
      </c>
      <c r="G83">
        <v>0</v>
      </c>
    </row>
    <row r="84" spans="1:7">
      <c r="A84" s="9">
        <v>45775</v>
      </c>
      <c r="B84">
        <v>72</v>
      </c>
      <c r="C84" t="s">
        <v>4</v>
      </c>
      <c r="D84" t="s">
        <v>5</v>
      </c>
      <c r="E84" t="s">
        <v>73</v>
      </c>
      <c r="F84">
        <v>3</v>
      </c>
      <c r="G84">
        <v>0</v>
      </c>
    </row>
    <row r="85" spans="1:7">
      <c r="A85" s="9">
        <v>45775</v>
      </c>
      <c r="B85">
        <v>73</v>
      </c>
      <c r="C85" t="s">
        <v>5</v>
      </c>
      <c r="D85" t="s">
        <v>4</v>
      </c>
      <c r="E85" t="s">
        <v>73</v>
      </c>
      <c r="F85">
        <v>9</v>
      </c>
      <c r="G85">
        <v>0</v>
      </c>
    </row>
    <row r="86" spans="1:7">
      <c r="A86" s="9">
        <v>45775</v>
      </c>
      <c r="B86">
        <v>74</v>
      </c>
      <c r="C86" t="s">
        <v>5</v>
      </c>
      <c r="D86" t="s">
        <v>5</v>
      </c>
      <c r="E86" t="s">
        <v>73</v>
      </c>
      <c r="F86">
        <v>4</v>
      </c>
      <c r="G86">
        <v>0</v>
      </c>
    </row>
    <row r="87" spans="1:7">
      <c r="A87" s="9">
        <v>45775</v>
      </c>
      <c r="B87">
        <v>75</v>
      </c>
      <c r="C87" t="s">
        <v>4</v>
      </c>
      <c r="D87" t="s">
        <v>4</v>
      </c>
      <c r="E87" t="s">
        <v>73</v>
      </c>
      <c r="F87">
        <v>0</v>
      </c>
      <c r="G87">
        <v>0</v>
      </c>
    </row>
    <row r="88" spans="1:7">
      <c r="A88" s="9">
        <v>45775</v>
      </c>
      <c r="B88">
        <v>75</v>
      </c>
      <c r="C88" t="s">
        <v>4</v>
      </c>
      <c r="D88" t="s">
        <v>4</v>
      </c>
      <c r="E88" t="s">
        <v>82</v>
      </c>
      <c r="F88">
        <v>0</v>
      </c>
      <c r="G88">
        <v>1</v>
      </c>
    </row>
    <row r="89" spans="1:7">
      <c r="A89" s="9">
        <v>45775</v>
      </c>
      <c r="B89">
        <v>75</v>
      </c>
      <c r="C89" t="s">
        <v>4</v>
      </c>
      <c r="D89" t="s">
        <v>5</v>
      </c>
      <c r="E89" t="s">
        <v>73</v>
      </c>
      <c r="F89">
        <v>0</v>
      </c>
      <c r="G89">
        <v>0</v>
      </c>
    </row>
    <row r="90" spans="1:7">
      <c r="A90" s="9">
        <v>45775</v>
      </c>
      <c r="B90">
        <v>75</v>
      </c>
      <c r="C90" t="s">
        <v>4</v>
      </c>
      <c r="D90" t="s">
        <v>5</v>
      </c>
      <c r="E90" t="s">
        <v>82</v>
      </c>
      <c r="F90">
        <v>3</v>
      </c>
      <c r="G90">
        <v>0</v>
      </c>
    </row>
    <row r="91" spans="1:7">
      <c r="A91" s="9">
        <v>45776</v>
      </c>
      <c r="B91">
        <v>76</v>
      </c>
      <c r="C91" t="s">
        <v>5</v>
      </c>
      <c r="D91" t="s">
        <v>5</v>
      </c>
      <c r="E91" t="s">
        <v>73</v>
      </c>
      <c r="F91">
        <v>1</v>
      </c>
      <c r="G91">
        <v>0</v>
      </c>
    </row>
    <row r="92" spans="1:7">
      <c r="A92" s="9">
        <v>45776</v>
      </c>
      <c r="B92">
        <v>77</v>
      </c>
      <c r="C92" t="s">
        <v>4</v>
      </c>
      <c r="D92" t="s">
        <v>4</v>
      </c>
      <c r="E92" t="s">
        <v>73</v>
      </c>
      <c r="F92">
        <v>4</v>
      </c>
      <c r="G92">
        <v>0</v>
      </c>
    </row>
    <row r="93" spans="1:7">
      <c r="A93" s="9">
        <v>45776</v>
      </c>
      <c r="B93">
        <v>79</v>
      </c>
      <c r="C93" t="s">
        <v>4</v>
      </c>
      <c r="D93" t="s">
        <v>5</v>
      </c>
      <c r="E93" t="s">
        <v>73</v>
      </c>
      <c r="F93">
        <v>6</v>
      </c>
      <c r="G93">
        <v>0</v>
      </c>
    </row>
    <row r="94" spans="1:7">
      <c r="A94" s="9">
        <v>45777</v>
      </c>
      <c r="B94">
        <v>80</v>
      </c>
      <c r="C94" t="s">
        <v>4</v>
      </c>
      <c r="D94" t="s">
        <v>5</v>
      </c>
      <c r="E94" t="s">
        <v>73</v>
      </c>
      <c r="F94">
        <v>9</v>
      </c>
      <c r="G94">
        <v>0</v>
      </c>
    </row>
    <row r="95" spans="1:7">
      <c r="A95" s="9">
        <v>45777</v>
      </c>
      <c r="B95">
        <v>81</v>
      </c>
      <c r="C95" t="s">
        <v>4</v>
      </c>
      <c r="D95" t="s">
        <v>5</v>
      </c>
      <c r="E95" t="s">
        <v>73</v>
      </c>
      <c r="F95">
        <v>6</v>
      </c>
      <c r="G95">
        <v>0</v>
      </c>
    </row>
    <row r="96" spans="1:7">
      <c r="A96" s="9">
        <v>45777</v>
      </c>
      <c r="B96">
        <v>82</v>
      </c>
      <c r="C96" t="s">
        <v>5</v>
      </c>
      <c r="D96" t="s">
        <v>5</v>
      </c>
      <c r="E96" t="s">
        <v>73</v>
      </c>
      <c r="F96">
        <v>7</v>
      </c>
      <c r="G96">
        <v>0</v>
      </c>
    </row>
    <row r="97" spans="1:7">
      <c r="A97" s="9">
        <v>45777</v>
      </c>
      <c r="B97">
        <v>83</v>
      </c>
      <c r="C97" t="s">
        <v>4</v>
      </c>
      <c r="D97" t="s">
        <v>5</v>
      </c>
      <c r="E97" t="s">
        <v>73</v>
      </c>
      <c r="F97">
        <v>8</v>
      </c>
      <c r="G97">
        <v>0</v>
      </c>
    </row>
    <row r="98" spans="1:7">
      <c r="A98" s="9">
        <v>45778</v>
      </c>
      <c r="B98">
        <v>84</v>
      </c>
      <c r="C98" t="s">
        <v>5</v>
      </c>
      <c r="D98" t="s">
        <v>4</v>
      </c>
      <c r="E98" t="s">
        <v>73</v>
      </c>
      <c r="F98">
        <v>2</v>
      </c>
      <c r="G98">
        <v>1</v>
      </c>
    </row>
    <row r="99" spans="1:7">
      <c r="A99" s="9">
        <v>45778</v>
      </c>
      <c r="B99">
        <v>84</v>
      </c>
      <c r="C99" t="s">
        <v>5</v>
      </c>
      <c r="D99" t="s">
        <v>5</v>
      </c>
      <c r="E99" t="s">
        <v>73</v>
      </c>
      <c r="F99">
        <v>0</v>
      </c>
      <c r="G99">
        <v>1</v>
      </c>
    </row>
    <row r="100" spans="1:7">
      <c r="A100" s="9">
        <v>45778</v>
      </c>
      <c r="B100">
        <v>85</v>
      </c>
      <c r="C100" t="s">
        <v>5</v>
      </c>
      <c r="D100" t="s">
        <v>4</v>
      </c>
      <c r="E100" t="s">
        <v>73</v>
      </c>
      <c r="F100">
        <v>4</v>
      </c>
      <c r="G100">
        <v>1</v>
      </c>
    </row>
    <row r="101" spans="1:7">
      <c r="A101" s="9">
        <v>45778</v>
      </c>
      <c r="B101">
        <v>85</v>
      </c>
      <c r="C101" t="s">
        <v>5</v>
      </c>
      <c r="D101" t="s">
        <v>4</v>
      </c>
      <c r="E101" t="s">
        <v>82</v>
      </c>
      <c r="F101">
        <v>1</v>
      </c>
      <c r="G101">
        <v>1</v>
      </c>
    </row>
    <row r="102" spans="1:7">
      <c r="A102" s="9">
        <v>45778</v>
      </c>
      <c r="B102">
        <v>85</v>
      </c>
      <c r="C102" t="s">
        <v>5</v>
      </c>
      <c r="D102" t="s">
        <v>5</v>
      </c>
      <c r="E102" t="s">
        <v>82</v>
      </c>
      <c r="F102">
        <v>0</v>
      </c>
      <c r="G102">
        <v>1</v>
      </c>
    </row>
    <row r="103" spans="1:7">
      <c r="A103" s="9">
        <v>45778</v>
      </c>
      <c r="B103">
        <v>86</v>
      </c>
      <c r="C103" t="s">
        <v>4</v>
      </c>
      <c r="D103" t="s">
        <v>5</v>
      </c>
      <c r="E103" t="s">
        <v>73</v>
      </c>
      <c r="F103">
        <v>8</v>
      </c>
      <c r="G103">
        <v>0</v>
      </c>
    </row>
    <row r="104" spans="1:7">
      <c r="A104" s="9">
        <v>45778</v>
      </c>
      <c r="B104">
        <v>87</v>
      </c>
      <c r="C104" t="s">
        <v>5</v>
      </c>
      <c r="D104" t="s">
        <v>4</v>
      </c>
      <c r="E104" t="s">
        <v>73</v>
      </c>
      <c r="F104">
        <v>0</v>
      </c>
      <c r="G104">
        <v>1</v>
      </c>
    </row>
    <row r="105" spans="1:7">
      <c r="A105" s="9">
        <v>45778</v>
      </c>
      <c r="B105">
        <v>87</v>
      </c>
      <c r="C105" t="s">
        <v>5</v>
      </c>
      <c r="D105" t="s">
        <v>5</v>
      </c>
      <c r="E105" t="s">
        <v>73</v>
      </c>
      <c r="F105">
        <v>3</v>
      </c>
      <c r="G105">
        <v>1</v>
      </c>
    </row>
    <row r="106" spans="1:7">
      <c r="A106" s="9">
        <v>45779</v>
      </c>
      <c r="B106">
        <v>88</v>
      </c>
      <c r="C106" t="s">
        <v>4</v>
      </c>
      <c r="D106" t="s">
        <v>5</v>
      </c>
      <c r="E106" t="s">
        <v>73</v>
      </c>
      <c r="F106">
        <v>5</v>
      </c>
      <c r="G106">
        <v>0</v>
      </c>
    </row>
    <row r="107" spans="1:7">
      <c r="A107" s="9">
        <v>45779</v>
      </c>
      <c r="B107">
        <v>89</v>
      </c>
      <c r="C107" t="s">
        <v>5</v>
      </c>
      <c r="D107" t="s">
        <v>4</v>
      </c>
      <c r="E107" t="s">
        <v>73</v>
      </c>
      <c r="F107">
        <v>3</v>
      </c>
      <c r="G107">
        <v>0</v>
      </c>
    </row>
    <row r="108" spans="1:7">
      <c r="A108" s="9">
        <v>45782</v>
      </c>
      <c r="B108">
        <v>90</v>
      </c>
      <c r="C108" t="s">
        <v>5</v>
      </c>
      <c r="D108" t="s">
        <v>4</v>
      </c>
      <c r="E108" t="s">
        <v>73</v>
      </c>
      <c r="F108">
        <v>0</v>
      </c>
      <c r="G108">
        <v>1</v>
      </c>
    </row>
    <row r="109" spans="1:7">
      <c r="A109" s="9">
        <v>45782</v>
      </c>
      <c r="B109">
        <v>90</v>
      </c>
      <c r="C109" t="s">
        <v>5</v>
      </c>
      <c r="D109" t="s">
        <v>5</v>
      </c>
      <c r="E109" t="s">
        <v>73</v>
      </c>
      <c r="F109">
        <v>1</v>
      </c>
      <c r="G109">
        <v>1</v>
      </c>
    </row>
    <row r="110" spans="1:7">
      <c r="A110" s="9">
        <v>45782</v>
      </c>
      <c r="B110">
        <v>91</v>
      </c>
      <c r="C110" t="s">
        <v>5</v>
      </c>
      <c r="D110" t="s">
        <v>4</v>
      </c>
      <c r="E110" t="s">
        <v>73</v>
      </c>
      <c r="F110">
        <v>6</v>
      </c>
      <c r="G110">
        <v>0</v>
      </c>
    </row>
    <row r="111" spans="1:7">
      <c r="A111" s="9">
        <v>45783</v>
      </c>
      <c r="B111">
        <v>92</v>
      </c>
      <c r="C111" t="s">
        <v>4</v>
      </c>
      <c r="D111" t="s">
        <v>5</v>
      </c>
      <c r="E111" t="s">
        <v>73</v>
      </c>
      <c r="F111">
        <v>4</v>
      </c>
      <c r="G111">
        <v>0</v>
      </c>
    </row>
    <row r="112" spans="1:7">
      <c r="A112" s="9">
        <v>45784</v>
      </c>
      <c r="B112">
        <v>93</v>
      </c>
      <c r="C112" t="s">
        <v>4</v>
      </c>
      <c r="D112" t="s">
        <v>5</v>
      </c>
      <c r="E112" t="s">
        <v>73</v>
      </c>
      <c r="F112">
        <v>14</v>
      </c>
      <c r="G112">
        <v>0</v>
      </c>
    </row>
    <row r="113" spans="1:7">
      <c r="A113" s="9">
        <v>45784</v>
      </c>
      <c r="B113">
        <v>94</v>
      </c>
      <c r="C113" t="s">
        <v>5</v>
      </c>
      <c r="D113" t="s">
        <v>4</v>
      </c>
      <c r="E113" t="s">
        <v>73</v>
      </c>
      <c r="F113">
        <v>3</v>
      </c>
      <c r="G113">
        <v>0</v>
      </c>
    </row>
    <row r="114" spans="1:7">
      <c r="A114" s="9">
        <v>45784</v>
      </c>
      <c r="B114">
        <v>95</v>
      </c>
      <c r="C114" t="s">
        <v>5</v>
      </c>
      <c r="D114" t="s">
        <v>5</v>
      </c>
      <c r="E114" t="s">
        <v>73</v>
      </c>
      <c r="F114">
        <v>1</v>
      </c>
      <c r="G114">
        <v>0</v>
      </c>
    </row>
    <row r="115" spans="1:7">
      <c r="A115" s="9">
        <v>45790</v>
      </c>
      <c r="B115">
        <v>96</v>
      </c>
      <c r="C115" t="s">
        <v>5</v>
      </c>
      <c r="D115" t="s">
        <v>5</v>
      </c>
      <c r="E115" t="s">
        <v>73</v>
      </c>
      <c r="F115">
        <v>2</v>
      </c>
      <c r="G115">
        <v>0</v>
      </c>
    </row>
    <row r="116" spans="1:7">
      <c r="A116" s="9">
        <v>45790</v>
      </c>
      <c r="B116">
        <v>97</v>
      </c>
      <c r="C116" t="s">
        <v>4</v>
      </c>
      <c r="D116" t="s">
        <v>4</v>
      </c>
      <c r="E116" t="s">
        <v>82</v>
      </c>
      <c r="F116">
        <v>0</v>
      </c>
      <c r="G116">
        <v>1</v>
      </c>
    </row>
    <row r="117" spans="1:7">
      <c r="A117" s="9">
        <v>45790</v>
      </c>
      <c r="B117">
        <v>97</v>
      </c>
      <c r="C117" t="s">
        <v>4</v>
      </c>
      <c r="D117" t="s">
        <v>5</v>
      </c>
      <c r="E117" t="s">
        <v>73</v>
      </c>
      <c r="F117">
        <v>2</v>
      </c>
      <c r="G117">
        <v>1</v>
      </c>
    </row>
    <row r="118" spans="1:7">
      <c r="A118" s="9">
        <v>45790</v>
      </c>
      <c r="B118">
        <v>97</v>
      </c>
      <c r="C118" t="s">
        <v>4</v>
      </c>
      <c r="D118" t="s">
        <v>5</v>
      </c>
      <c r="E118" t="s">
        <v>82</v>
      </c>
      <c r="F118">
        <v>3</v>
      </c>
      <c r="G118">
        <v>0</v>
      </c>
    </row>
    <row r="119" spans="1:7">
      <c r="A119" s="9">
        <v>45791</v>
      </c>
      <c r="B119">
        <v>98</v>
      </c>
      <c r="C119" t="s">
        <v>4</v>
      </c>
      <c r="D119" t="s">
        <v>5</v>
      </c>
      <c r="E119" t="s">
        <v>73</v>
      </c>
      <c r="F119">
        <v>10</v>
      </c>
      <c r="G119">
        <v>0</v>
      </c>
    </row>
    <row r="120" spans="1:7">
      <c r="A120" s="9">
        <v>45791</v>
      </c>
      <c r="B120">
        <v>99</v>
      </c>
      <c r="C120" t="s">
        <v>5</v>
      </c>
      <c r="D120" t="s">
        <v>4</v>
      </c>
      <c r="E120" t="s">
        <v>73</v>
      </c>
      <c r="F120">
        <v>7</v>
      </c>
      <c r="G120">
        <v>0</v>
      </c>
    </row>
    <row r="121" spans="1:7">
      <c r="A121" s="9">
        <v>45791</v>
      </c>
      <c r="B121">
        <v>100</v>
      </c>
      <c r="C121" t="s">
        <v>4</v>
      </c>
      <c r="D121" t="s">
        <v>4</v>
      </c>
      <c r="E121" t="s">
        <v>73</v>
      </c>
      <c r="F121">
        <v>1</v>
      </c>
      <c r="G121">
        <v>1</v>
      </c>
    </row>
    <row r="122" spans="1:7">
      <c r="A122" s="9">
        <v>45791</v>
      </c>
      <c r="B122">
        <v>100</v>
      </c>
      <c r="C122" t="s">
        <v>4</v>
      </c>
      <c r="D122" t="s">
        <v>5</v>
      </c>
      <c r="E122" t="s">
        <v>73</v>
      </c>
      <c r="F122">
        <v>2</v>
      </c>
      <c r="G122">
        <v>0</v>
      </c>
    </row>
    <row r="123" spans="1:7">
      <c r="A123" s="9">
        <v>45818</v>
      </c>
      <c r="B123">
        <v>107</v>
      </c>
      <c r="C123" t="s">
        <v>4</v>
      </c>
      <c r="D123" t="s">
        <v>4</v>
      </c>
      <c r="E123" t="s">
        <v>73</v>
      </c>
      <c r="F123">
        <v>1</v>
      </c>
      <c r="G123">
        <v>1</v>
      </c>
    </row>
    <row r="124" spans="1:7">
      <c r="A124" s="9">
        <v>45818</v>
      </c>
      <c r="B124">
        <v>107</v>
      </c>
      <c r="C124" t="s">
        <v>4</v>
      </c>
      <c r="D124" t="s">
        <v>5</v>
      </c>
      <c r="E124" t="s">
        <v>73</v>
      </c>
      <c r="F124">
        <v>2</v>
      </c>
      <c r="G124">
        <v>0</v>
      </c>
    </row>
    <row r="125" spans="1:7">
      <c r="A125" s="9">
        <v>45819</v>
      </c>
      <c r="B125">
        <v>108</v>
      </c>
      <c r="C125" t="s">
        <v>5</v>
      </c>
      <c r="D125" t="s">
        <v>4</v>
      </c>
      <c r="E125" t="s">
        <v>73</v>
      </c>
      <c r="F125">
        <v>3</v>
      </c>
      <c r="G125">
        <v>1</v>
      </c>
    </row>
    <row r="126" spans="1:7">
      <c r="A126" s="9">
        <v>45820</v>
      </c>
      <c r="B126">
        <v>109</v>
      </c>
      <c r="C126" t="s">
        <v>4</v>
      </c>
      <c r="D126" t="s">
        <v>4</v>
      </c>
      <c r="E126" t="s">
        <v>73</v>
      </c>
      <c r="F126">
        <v>0</v>
      </c>
      <c r="G126">
        <v>1</v>
      </c>
    </row>
    <row r="127" spans="1:7">
      <c r="A127" s="9">
        <v>45820</v>
      </c>
      <c r="B127">
        <v>109</v>
      </c>
      <c r="C127" t="s">
        <v>4</v>
      </c>
      <c r="D127" t="s">
        <v>5</v>
      </c>
      <c r="E127" t="s">
        <v>73</v>
      </c>
      <c r="F127">
        <v>2</v>
      </c>
      <c r="G127">
        <v>1</v>
      </c>
    </row>
    <row r="128" spans="1:7">
      <c r="A128" s="9">
        <v>45821</v>
      </c>
      <c r="B128">
        <v>110</v>
      </c>
      <c r="C128" t="s">
        <v>4</v>
      </c>
      <c r="D128" t="s">
        <v>5</v>
      </c>
      <c r="E128" t="s">
        <v>73</v>
      </c>
      <c r="F128">
        <v>2</v>
      </c>
      <c r="G128">
        <v>0</v>
      </c>
    </row>
    <row r="129" spans="1:7">
      <c r="A129" s="9">
        <v>45824</v>
      </c>
      <c r="B129">
        <v>111</v>
      </c>
      <c r="C129" t="s">
        <v>5</v>
      </c>
      <c r="D129" t="s">
        <v>5</v>
      </c>
      <c r="E129" t="s">
        <v>73</v>
      </c>
      <c r="F129">
        <v>7</v>
      </c>
      <c r="G129">
        <v>0</v>
      </c>
    </row>
    <row r="130" spans="1:7">
      <c r="A130" s="9">
        <v>45824</v>
      </c>
      <c r="B130">
        <v>112</v>
      </c>
      <c r="C130" t="s">
        <v>4</v>
      </c>
      <c r="D130" t="s">
        <v>5</v>
      </c>
      <c r="E130" t="s">
        <v>73</v>
      </c>
      <c r="F130">
        <v>2</v>
      </c>
      <c r="G130">
        <v>0</v>
      </c>
    </row>
    <row r="131" spans="1:7">
      <c r="A131" s="9">
        <v>45825</v>
      </c>
      <c r="B131">
        <v>113</v>
      </c>
      <c r="C131" t="s">
        <v>4</v>
      </c>
      <c r="D131" t="s">
        <v>5</v>
      </c>
      <c r="E131" t="s">
        <v>73</v>
      </c>
      <c r="F131">
        <v>10</v>
      </c>
      <c r="G131">
        <v>0</v>
      </c>
    </row>
    <row r="132" spans="1:7">
      <c r="A132" s="9">
        <v>45825</v>
      </c>
      <c r="B132">
        <v>114</v>
      </c>
      <c r="C132" t="s">
        <v>4</v>
      </c>
      <c r="D132" t="s">
        <v>4</v>
      </c>
      <c r="E132" t="s">
        <v>73</v>
      </c>
      <c r="F132">
        <v>8</v>
      </c>
      <c r="G132">
        <v>0</v>
      </c>
    </row>
    <row r="133" spans="1:7">
      <c r="A133" s="9">
        <v>45825</v>
      </c>
      <c r="B133">
        <v>115</v>
      </c>
      <c r="C133" t="s">
        <v>4</v>
      </c>
      <c r="D133" t="s">
        <v>5</v>
      </c>
      <c r="E133" t="s">
        <v>73</v>
      </c>
      <c r="F133">
        <v>7</v>
      </c>
      <c r="G133">
        <v>0</v>
      </c>
    </row>
    <row r="134" spans="1:7">
      <c r="A134" s="9">
        <v>45826</v>
      </c>
      <c r="B134">
        <v>116</v>
      </c>
      <c r="C134" t="s">
        <v>5</v>
      </c>
      <c r="D134" t="s">
        <v>4</v>
      </c>
      <c r="E134" t="s">
        <v>73</v>
      </c>
      <c r="F134">
        <v>1</v>
      </c>
      <c r="G134">
        <v>1</v>
      </c>
    </row>
    <row r="135" spans="1:7">
      <c r="A135" s="9">
        <v>45826</v>
      </c>
      <c r="B135">
        <v>116</v>
      </c>
      <c r="C135" t="s">
        <v>5</v>
      </c>
      <c r="D135" t="s">
        <v>4</v>
      </c>
      <c r="E135" t="s">
        <v>82</v>
      </c>
      <c r="F135">
        <v>5</v>
      </c>
      <c r="G135">
        <v>0</v>
      </c>
    </row>
    <row r="136" spans="1:7">
      <c r="A136" s="9">
        <v>45826</v>
      </c>
      <c r="B136">
        <v>116</v>
      </c>
      <c r="C136" t="s">
        <v>5</v>
      </c>
      <c r="D136" t="s">
        <v>5</v>
      </c>
      <c r="E136" t="s">
        <v>82</v>
      </c>
      <c r="F136">
        <v>0</v>
      </c>
      <c r="G136">
        <v>1</v>
      </c>
    </row>
    <row r="137" spans="1:7">
      <c r="A137" s="9">
        <v>45826</v>
      </c>
      <c r="B137">
        <v>117</v>
      </c>
      <c r="C137" t="s">
        <v>4</v>
      </c>
      <c r="D137" t="s">
        <v>5</v>
      </c>
      <c r="E137" t="s">
        <v>73</v>
      </c>
      <c r="F137">
        <v>14</v>
      </c>
      <c r="G137">
        <v>0</v>
      </c>
    </row>
    <row r="138" spans="1:7">
      <c r="A138" s="9">
        <v>45826</v>
      </c>
      <c r="B138">
        <v>118</v>
      </c>
      <c r="C138" t="s">
        <v>5</v>
      </c>
      <c r="D138" t="s">
        <v>5</v>
      </c>
      <c r="E138" t="s">
        <v>73</v>
      </c>
      <c r="F138">
        <v>6</v>
      </c>
      <c r="G138">
        <v>0</v>
      </c>
    </row>
    <row r="139" spans="1:7">
      <c r="A139" s="9">
        <v>45827</v>
      </c>
      <c r="B139">
        <v>119</v>
      </c>
      <c r="C139" t="s">
        <v>5</v>
      </c>
      <c r="D139" t="s">
        <v>4</v>
      </c>
      <c r="E139" t="s">
        <v>73</v>
      </c>
      <c r="F139">
        <v>5</v>
      </c>
      <c r="G139">
        <v>0</v>
      </c>
    </row>
    <row r="140" spans="1:7">
      <c r="A140" s="9">
        <v>45827</v>
      </c>
      <c r="B140">
        <v>119</v>
      </c>
      <c r="C140" t="s">
        <v>5</v>
      </c>
      <c r="D140" t="s">
        <v>5</v>
      </c>
      <c r="E140" t="s">
        <v>73</v>
      </c>
      <c r="F140">
        <v>0</v>
      </c>
      <c r="G140">
        <v>1</v>
      </c>
    </row>
    <row r="141" spans="1:7">
      <c r="A141" s="9">
        <v>45827</v>
      </c>
      <c r="B141">
        <v>120</v>
      </c>
      <c r="C141" t="s">
        <v>4</v>
      </c>
      <c r="D141" t="s">
        <v>4</v>
      </c>
      <c r="E141" t="s">
        <v>73</v>
      </c>
      <c r="F141">
        <v>1</v>
      </c>
      <c r="G141">
        <v>1</v>
      </c>
    </row>
    <row r="142" spans="1:7">
      <c r="A142" s="9">
        <v>45827</v>
      </c>
      <c r="B142">
        <v>120</v>
      </c>
      <c r="C142" t="s">
        <v>4</v>
      </c>
      <c r="D142" t="s">
        <v>4</v>
      </c>
      <c r="E142" t="s">
        <v>82</v>
      </c>
      <c r="F142">
        <v>0</v>
      </c>
      <c r="G142">
        <v>1</v>
      </c>
    </row>
    <row r="143" spans="1:7">
      <c r="A143" s="9">
        <v>45827</v>
      </c>
      <c r="B143">
        <v>120</v>
      </c>
      <c r="C143" t="s">
        <v>4</v>
      </c>
      <c r="D143" t="s">
        <v>5</v>
      </c>
      <c r="E143" t="s">
        <v>73</v>
      </c>
      <c r="F143">
        <v>1</v>
      </c>
      <c r="G143">
        <v>1</v>
      </c>
    </row>
    <row r="144" spans="1:7">
      <c r="A144" s="9">
        <v>45827</v>
      </c>
      <c r="B144">
        <v>120</v>
      </c>
      <c r="C144" t="s">
        <v>4</v>
      </c>
      <c r="D144" t="s">
        <v>5</v>
      </c>
      <c r="E144" t="s">
        <v>82</v>
      </c>
      <c r="F144">
        <v>5</v>
      </c>
      <c r="G144">
        <v>0</v>
      </c>
    </row>
    <row r="145" spans="1:7">
      <c r="A145" s="9">
        <v>45828</v>
      </c>
      <c r="B145">
        <v>121</v>
      </c>
      <c r="C145" t="s">
        <v>5</v>
      </c>
      <c r="D145" t="s">
        <v>4</v>
      </c>
      <c r="E145" t="s">
        <v>73</v>
      </c>
      <c r="F145">
        <v>3</v>
      </c>
      <c r="G145">
        <v>1</v>
      </c>
    </row>
    <row r="146" spans="1:7">
      <c r="A146" s="9">
        <v>45828</v>
      </c>
      <c r="B146">
        <v>121</v>
      </c>
      <c r="C146" t="s">
        <v>5</v>
      </c>
      <c r="D146" t="s">
        <v>5</v>
      </c>
      <c r="E146" t="s">
        <v>73</v>
      </c>
      <c r="F146">
        <v>1</v>
      </c>
      <c r="G146">
        <v>1</v>
      </c>
    </row>
    <row r="147" spans="1:7">
      <c r="A147" s="9">
        <v>45828</v>
      </c>
      <c r="B147">
        <v>122</v>
      </c>
      <c r="C147" t="s">
        <v>4</v>
      </c>
      <c r="D147" t="s">
        <v>4</v>
      </c>
      <c r="E147" t="s">
        <v>73</v>
      </c>
      <c r="F147">
        <v>1</v>
      </c>
      <c r="G147">
        <v>1</v>
      </c>
    </row>
    <row r="148" spans="1:7">
      <c r="A148" s="9">
        <v>45828</v>
      </c>
      <c r="B148">
        <v>122</v>
      </c>
      <c r="C148" t="s">
        <v>4</v>
      </c>
      <c r="D148" t="s">
        <v>5</v>
      </c>
      <c r="E148" t="s">
        <v>73</v>
      </c>
      <c r="F148">
        <v>2</v>
      </c>
      <c r="G148">
        <v>1</v>
      </c>
    </row>
    <row r="149" spans="1:7">
      <c r="A149" s="9">
        <v>45828</v>
      </c>
      <c r="B149">
        <v>123</v>
      </c>
      <c r="C149" t="s">
        <v>5</v>
      </c>
      <c r="D149" t="s">
        <v>5</v>
      </c>
      <c r="E149" t="s">
        <v>73</v>
      </c>
      <c r="F149">
        <v>5</v>
      </c>
      <c r="G149">
        <v>0</v>
      </c>
    </row>
    <row r="150" spans="1:7">
      <c r="A150" s="9">
        <v>45831</v>
      </c>
      <c r="B150">
        <v>125</v>
      </c>
      <c r="C150" t="s">
        <v>4</v>
      </c>
      <c r="D150" t="s">
        <v>4</v>
      </c>
      <c r="E150" t="s">
        <v>73</v>
      </c>
      <c r="F150">
        <v>1</v>
      </c>
      <c r="G150">
        <v>1</v>
      </c>
    </row>
    <row r="151" spans="1:7">
      <c r="A151" s="9">
        <v>45831</v>
      </c>
      <c r="B151">
        <v>125</v>
      </c>
      <c r="C151" t="s">
        <v>4</v>
      </c>
      <c r="D151" t="s">
        <v>5</v>
      </c>
      <c r="E151" t="s">
        <v>73</v>
      </c>
      <c r="F151">
        <v>2</v>
      </c>
      <c r="G151">
        <v>1</v>
      </c>
    </row>
    <row r="152" spans="1:7">
      <c r="A152" s="9">
        <v>45832</v>
      </c>
      <c r="B152">
        <v>126</v>
      </c>
      <c r="C152" t="s">
        <v>5</v>
      </c>
      <c r="D152" t="s">
        <v>4</v>
      </c>
      <c r="E152" t="s">
        <v>73</v>
      </c>
      <c r="F152">
        <v>2</v>
      </c>
      <c r="G152">
        <v>1</v>
      </c>
    </row>
    <row r="153" spans="1:7">
      <c r="A153" s="9">
        <v>45832</v>
      </c>
      <c r="B153">
        <v>126</v>
      </c>
      <c r="C153" t="s">
        <v>5</v>
      </c>
      <c r="D153" t="s">
        <v>4</v>
      </c>
      <c r="E153" t="s">
        <v>82</v>
      </c>
      <c r="F153">
        <v>0</v>
      </c>
      <c r="G153">
        <v>0</v>
      </c>
    </row>
    <row r="154" spans="1:7">
      <c r="A154" s="9">
        <v>45832</v>
      </c>
      <c r="B154">
        <v>126</v>
      </c>
      <c r="C154" t="s">
        <v>5</v>
      </c>
      <c r="D154" t="s">
        <v>4</v>
      </c>
      <c r="E154" t="s">
        <v>83</v>
      </c>
      <c r="F154">
        <v>1</v>
      </c>
      <c r="G154">
        <v>1</v>
      </c>
    </row>
    <row r="155" spans="1:7">
      <c r="A155" s="9">
        <v>45832</v>
      </c>
      <c r="B155">
        <v>126</v>
      </c>
      <c r="C155" t="s">
        <v>5</v>
      </c>
      <c r="D155" t="s">
        <v>5</v>
      </c>
      <c r="E155" t="s">
        <v>82</v>
      </c>
      <c r="F155">
        <v>0</v>
      </c>
      <c r="G155">
        <v>0</v>
      </c>
    </row>
    <row r="156" spans="1:7">
      <c r="A156" s="9">
        <v>45832</v>
      </c>
      <c r="B156">
        <v>126</v>
      </c>
      <c r="C156" t="s">
        <v>5</v>
      </c>
      <c r="D156" t="s">
        <v>5</v>
      </c>
      <c r="E156" t="s">
        <v>83</v>
      </c>
      <c r="F156">
        <v>0</v>
      </c>
      <c r="G156">
        <v>1</v>
      </c>
    </row>
    <row r="157" spans="1:7">
      <c r="A157" s="9">
        <v>45832</v>
      </c>
      <c r="B157">
        <v>127</v>
      </c>
      <c r="C157" t="s">
        <v>4</v>
      </c>
      <c r="D157" t="s">
        <v>4</v>
      </c>
      <c r="E157" t="s">
        <v>73</v>
      </c>
      <c r="F157">
        <v>6</v>
      </c>
      <c r="G157">
        <v>0</v>
      </c>
    </row>
    <row r="158" spans="1:7">
      <c r="A158" s="9">
        <v>45832</v>
      </c>
      <c r="B158">
        <v>128</v>
      </c>
      <c r="C158" t="s">
        <v>5</v>
      </c>
      <c r="D158" t="s">
        <v>5</v>
      </c>
      <c r="E158" t="s">
        <v>73</v>
      </c>
      <c r="F158">
        <v>4</v>
      </c>
      <c r="G158">
        <v>0</v>
      </c>
    </row>
    <row r="159" spans="1:7">
      <c r="A159" s="9">
        <v>45833</v>
      </c>
      <c r="B159">
        <v>129</v>
      </c>
      <c r="C159" t="s">
        <v>4</v>
      </c>
      <c r="D159" t="s">
        <v>4</v>
      </c>
      <c r="E159" t="s">
        <v>73</v>
      </c>
      <c r="F159">
        <v>5</v>
      </c>
      <c r="G159">
        <v>0</v>
      </c>
    </row>
    <row r="160" spans="1:7">
      <c r="A160" s="9">
        <v>45833</v>
      </c>
      <c r="B160">
        <v>130</v>
      </c>
      <c r="C160" t="s">
        <v>5</v>
      </c>
      <c r="D160" t="s">
        <v>5</v>
      </c>
      <c r="E160" t="s">
        <v>73</v>
      </c>
      <c r="F160">
        <v>10</v>
      </c>
      <c r="G160">
        <v>0</v>
      </c>
    </row>
    <row r="161" spans="1:7">
      <c r="A161" s="9">
        <v>45833</v>
      </c>
      <c r="B161">
        <v>131</v>
      </c>
      <c r="C161" t="s">
        <v>5</v>
      </c>
      <c r="D161" t="s">
        <v>4</v>
      </c>
      <c r="E161" t="s">
        <v>73</v>
      </c>
      <c r="F161">
        <v>1</v>
      </c>
      <c r="G161">
        <v>1</v>
      </c>
    </row>
    <row r="162" spans="1:7">
      <c r="A162" s="9">
        <v>45833</v>
      </c>
      <c r="B162">
        <v>131</v>
      </c>
      <c r="C162" t="s">
        <v>5</v>
      </c>
      <c r="D162" t="s">
        <v>4</v>
      </c>
      <c r="E162" t="s">
        <v>82</v>
      </c>
      <c r="F162">
        <v>3</v>
      </c>
      <c r="G162">
        <v>1</v>
      </c>
    </row>
    <row r="163" spans="1:7">
      <c r="A163" s="9">
        <v>45833</v>
      </c>
      <c r="B163">
        <v>131</v>
      </c>
      <c r="C163" t="s">
        <v>5</v>
      </c>
      <c r="D163" t="s">
        <v>5</v>
      </c>
      <c r="E163" t="s">
        <v>73</v>
      </c>
      <c r="F163">
        <v>1</v>
      </c>
      <c r="G163">
        <v>1</v>
      </c>
    </row>
    <row r="164" spans="1:7">
      <c r="A164" s="9">
        <v>45833</v>
      </c>
      <c r="B164">
        <v>131</v>
      </c>
      <c r="C164" t="s">
        <v>5</v>
      </c>
      <c r="D164" t="s">
        <v>5</v>
      </c>
      <c r="E164" t="s">
        <v>82</v>
      </c>
      <c r="F164">
        <v>0</v>
      </c>
      <c r="G164">
        <v>1</v>
      </c>
    </row>
    <row r="165" spans="1:7">
      <c r="A165" s="9">
        <v>45834</v>
      </c>
      <c r="B165">
        <v>132</v>
      </c>
      <c r="C165" t="s">
        <v>5</v>
      </c>
      <c r="D165" t="s">
        <v>5</v>
      </c>
      <c r="E165" t="s">
        <v>73</v>
      </c>
      <c r="F165">
        <v>1</v>
      </c>
      <c r="G165">
        <v>0</v>
      </c>
    </row>
    <row r="166" spans="1:7">
      <c r="A166" s="9">
        <v>45834</v>
      </c>
      <c r="B166">
        <v>133</v>
      </c>
      <c r="C166" t="s">
        <v>4</v>
      </c>
      <c r="D166" t="s">
        <v>5</v>
      </c>
      <c r="E166" t="s">
        <v>73</v>
      </c>
      <c r="F166">
        <v>7</v>
      </c>
      <c r="G166">
        <v>0</v>
      </c>
    </row>
    <row r="167" spans="1:7">
      <c r="A167" s="9">
        <v>45835</v>
      </c>
      <c r="B167">
        <v>135</v>
      </c>
      <c r="C167" t="s">
        <v>4</v>
      </c>
      <c r="D167" t="s">
        <v>5</v>
      </c>
      <c r="E167" t="s">
        <v>73</v>
      </c>
      <c r="F167">
        <v>16</v>
      </c>
      <c r="G167">
        <v>0</v>
      </c>
    </row>
    <row r="168" spans="1:7">
      <c r="A168" s="9">
        <v>45835</v>
      </c>
      <c r="B168">
        <v>136</v>
      </c>
      <c r="C168" t="s">
        <v>5</v>
      </c>
      <c r="D168" t="s">
        <v>4</v>
      </c>
      <c r="E168" t="s">
        <v>73</v>
      </c>
      <c r="F168">
        <v>6</v>
      </c>
      <c r="G168">
        <v>0</v>
      </c>
    </row>
    <row r="169" spans="1:7">
      <c r="A169" s="9">
        <v>45835</v>
      </c>
      <c r="B169">
        <v>136</v>
      </c>
      <c r="C169" t="s">
        <v>5</v>
      </c>
      <c r="D169" t="s">
        <v>5</v>
      </c>
      <c r="E169" t="s">
        <v>73</v>
      </c>
      <c r="F169">
        <v>1</v>
      </c>
      <c r="G169">
        <v>1</v>
      </c>
    </row>
    <row r="170" spans="1:7">
      <c r="A170" s="9">
        <v>45838</v>
      </c>
      <c r="B170">
        <v>137</v>
      </c>
      <c r="C170" t="s">
        <v>4</v>
      </c>
      <c r="D170" t="s">
        <v>4</v>
      </c>
      <c r="E170" t="s">
        <v>73</v>
      </c>
      <c r="F170">
        <v>6</v>
      </c>
      <c r="G170">
        <v>0</v>
      </c>
    </row>
    <row r="171" spans="1:7">
      <c r="A171" s="9">
        <v>45838</v>
      </c>
      <c r="B171">
        <v>138</v>
      </c>
      <c r="C171" t="s">
        <v>5</v>
      </c>
      <c r="D171" t="s">
        <v>5</v>
      </c>
      <c r="E171" t="s">
        <v>73</v>
      </c>
      <c r="F171">
        <v>6</v>
      </c>
      <c r="G171">
        <v>0</v>
      </c>
    </row>
    <row r="172" spans="1:7">
      <c r="A172" s="9">
        <v>45838</v>
      </c>
      <c r="B172">
        <v>139</v>
      </c>
      <c r="C172" t="s">
        <v>4</v>
      </c>
      <c r="D172" t="s">
        <v>4</v>
      </c>
      <c r="E172" t="s">
        <v>73</v>
      </c>
      <c r="F172">
        <v>1</v>
      </c>
      <c r="G172">
        <v>1</v>
      </c>
    </row>
    <row r="173" spans="1:7">
      <c r="A173" s="9">
        <v>45838</v>
      </c>
      <c r="B173">
        <v>139</v>
      </c>
      <c r="C173" t="s">
        <v>4</v>
      </c>
      <c r="D173" t="s">
        <v>5</v>
      </c>
      <c r="E173" t="s">
        <v>73</v>
      </c>
      <c r="F173">
        <v>2</v>
      </c>
      <c r="G173">
        <v>1</v>
      </c>
    </row>
    <row r="174" spans="1:7">
      <c r="A174" s="9">
        <v>45839</v>
      </c>
      <c r="B174">
        <v>140</v>
      </c>
      <c r="C174" t="s">
        <v>5</v>
      </c>
      <c r="D174" t="s">
        <v>4</v>
      </c>
      <c r="E174" t="s">
        <v>73</v>
      </c>
      <c r="F174">
        <v>3</v>
      </c>
      <c r="G174">
        <v>1</v>
      </c>
    </row>
    <row r="175" spans="1:7">
      <c r="A175" s="9">
        <v>45839</v>
      </c>
      <c r="B175">
        <v>140</v>
      </c>
      <c r="C175" t="s">
        <v>5</v>
      </c>
      <c r="D175" t="s">
        <v>4</v>
      </c>
      <c r="E175" t="s">
        <v>82</v>
      </c>
      <c r="F175">
        <v>7</v>
      </c>
      <c r="G175">
        <v>0</v>
      </c>
    </row>
    <row r="176" spans="1:7">
      <c r="A176" s="9">
        <v>45839</v>
      </c>
      <c r="B176">
        <v>140</v>
      </c>
      <c r="C176" t="s">
        <v>5</v>
      </c>
      <c r="D176" t="s">
        <v>5</v>
      </c>
      <c r="E176" t="s">
        <v>82</v>
      </c>
      <c r="F176">
        <v>0</v>
      </c>
      <c r="G176">
        <v>1</v>
      </c>
    </row>
    <row r="177" spans="1:7">
      <c r="A177" s="9">
        <v>45839</v>
      </c>
      <c r="B177">
        <v>141</v>
      </c>
      <c r="C177" t="s">
        <v>4</v>
      </c>
      <c r="D177" t="s">
        <v>4</v>
      </c>
      <c r="E177" t="s">
        <v>73</v>
      </c>
      <c r="F177">
        <v>7</v>
      </c>
      <c r="G177">
        <v>0</v>
      </c>
    </row>
    <row r="178" spans="1:7">
      <c r="A178" s="9">
        <v>45839</v>
      </c>
      <c r="B178">
        <v>142</v>
      </c>
      <c r="C178" t="s">
        <v>5</v>
      </c>
      <c r="D178" t="s">
        <v>4</v>
      </c>
      <c r="E178" t="s">
        <v>73</v>
      </c>
      <c r="F178">
        <v>8</v>
      </c>
      <c r="G178">
        <v>0</v>
      </c>
    </row>
    <row r="179" spans="1:7">
      <c r="A179" s="9">
        <v>45840</v>
      </c>
      <c r="B179">
        <v>143</v>
      </c>
      <c r="C179" t="s">
        <v>5</v>
      </c>
      <c r="D179" t="s">
        <v>4</v>
      </c>
      <c r="E179" t="s">
        <v>73</v>
      </c>
      <c r="F179">
        <v>9</v>
      </c>
      <c r="G179">
        <v>0</v>
      </c>
    </row>
    <row r="180" spans="1:7">
      <c r="A180" s="9">
        <v>45840</v>
      </c>
      <c r="B180">
        <v>144</v>
      </c>
      <c r="C180" t="s">
        <v>4</v>
      </c>
      <c r="D180" t="s">
        <v>4</v>
      </c>
      <c r="E180" t="s">
        <v>73</v>
      </c>
      <c r="F180">
        <v>0</v>
      </c>
      <c r="G180">
        <v>1</v>
      </c>
    </row>
    <row r="181" spans="1:7">
      <c r="A181" s="9">
        <v>45840</v>
      </c>
      <c r="B181">
        <v>144</v>
      </c>
      <c r="C181" t="s">
        <v>4</v>
      </c>
      <c r="D181" t="s">
        <v>5</v>
      </c>
      <c r="E181" t="s">
        <v>73</v>
      </c>
      <c r="F181">
        <v>8</v>
      </c>
      <c r="G181">
        <v>0</v>
      </c>
    </row>
    <row r="182" spans="1:7">
      <c r="A182" s="9">
        <v>45841</v>
      </c>
      <c r="B182">
        <v>145</v>
      </c>
      <c r="C182" t="s">
        <v>4</v>
      </c>
      <c r="D182" t="s">
        <v>4</v>
      </c>
      <c r="E182" t="s">
        <v>73</v>
      </c>
      <c r="F182">
        <v>0</v>
      </c>
      <c r="G182">
        <v>1</v>
      </c>
    </row>
    <row r="183" spans="1:7">
      <c r="A183" s="9">
        <v>45841</v>
      </c>
      <c r="B183">
        <v>145</v>
      </c>
      <c r="C183" t="s">
        <v>4</v>
      </c>
      <c r="D183" t="s">
        <v>5</v>
      </c>
      <c r="E183" t="s">
        <v>73</v>
      </c>
      <c r="F183">
        <v>1</v>
      </c>
      <c r="G183">
        <v>0</v>
      </c>
    </row>
    <row r="184" spans="1:7">
      <c r="A184" s="9">
        <v>45841</v>
      </c>
      <c r="B184">
        <v>146</v>
      </c>
      <c r="C184" t="s">
        <v>4</v>
      </c>
      <c r="D184" t="s">
        <v>4</v>
      </c>
      <c r="E184" t="s">
        <v>73</v>
      </c>
      <c r="F184">
        <v>3</v>
      </c>
      <c r="G184">
        <v>0</v>
      </c>
    </row>
    <row r="185" spans="1:7">
      <c r="A185" s="9">
        <v>45841</v>
      </c>
      <c r="B185">
        <v>147</v>
      </c>
      <c r="C185" t="s">
        <v>5</v>
      </c>
      <c r="D185" t="s">
        <v>5</v>
      </c>
      <c r="E185" t="s">
        <v>73</v>
      </c>
      <c r="F185">
        <v>7</v>
      </c>
      <c r="G185">
        <v>0</v>
      </c>
    </row>
    <row r="186" spans="1:7">
      <c r="A186" s="9">
        <v>45853</v>
      </c>
      <c r="B186">
        <v>165</v>
      </c>
      <c r="C186" t="s">
        <v>4</v>
      </c>
      <c r="D186" t="s">
        <v>5</v>
      </c>
      <c r="E186" t="s">
        <v>73</v>
      </c>
      <c r="F186">
        <v>4</v>
      </c>
      <c r="G186">
        <v>0</v>
      </c>
    </row>
    <row r="187" spans="1:7">
      <c r="A187" s="9">
        <v>45853</v>
      </c>
      <c r="B187">
        <v>166</v>
      </c>
      <c r="C187" t="s">
        <v>5</v>
      </c>
      <c r="D187" t="s">
        <v>5</v>
      </c>
      <c r="E187" t="s">
        <v>73</v>
      </c>
      <c r="F187">
        <v>4</v>
      </c>
      <c r="G187">
        <v>0</v>
      </c>
    </row>
    <row r="188" spans="1:7">
      <c r="A188" s="9">
        <v>45854</v>
      </c>
      <c r="B188">
        <v>168</v>
      </c>
      <c r="C188" t="s">
        <v>4</v>
      </c>
      <c r="D188" t="s">
        <v>5</v>
      </c>
      <c r="E188" t="s">
        <v>73</v>
      </c>
      <c r="F188">
        <v>8</v>
      </c>
      <c r="G188">
        <v>0</v>
      </c>
    </row>
    <row r="189" spans="1:7">
      <c r="A189" s="9">
        <v>45854</v>
      </c>
      <c r="B189">
        <v>169</v>
      </c>
      <c r="C189" t="s">
        <v>4</v>
      </c>
      <c r="D189" t="s">
        <v>5</v>
      </c>
      <c r="E189" t="s">
        <v>73</v>
      </c>
      <c r="F189">
        <v>8</v>
      </c>
      <c r="G189">
        <v>0</v>
      </c>
    </row>
    <row r="190" spans="1:7">
      <c r="A190" s="9">
        <v>45855</v>
      </c>
      <c r="B190">
        <v>170</v>
      </c>
      <c r="C190" t="s">
        <v>4</v>
      </c>
      <c r="D190" t="s">
        <v>4</v>
      </c>
      <c r="E190" t="s">
        <v>73</v>
      </c>
      <c r="F190">
        <v>3</v>
      </c>
      <c r="G190">
        <v>0</v>
      </c>
    </row>
    <row r="191" spans="1:7">
      <c r="A191" s="9">
        <v>45855</v>
      </c>
      <c r="B191">
        <v>171</v>
      </c>
      <c r="C191" t="s">
        <v>4</v>
      </c>
      <c r="D191" t="s">
        <v>4</v>
      </c>
      <c r="E191" t="s">
        <v>73</v>
      </c>
      <c r="F191">
        <v>0</v>
      </c>
      <c r="G191">
        <v>0</v>
      </c>
    </row>
    <row r="192" spans="1:7">
      <c r="A192" s="9">
        <v>45855</v>
      </c>
      <c r="B192">
        <v>171</v>
      </c>
      <c r="C192" t="s">
        <v>4</v>
      </c>
      <c r="D192" t="s">
        <v>5</v>
      </c>
      <c r="E192" t="s">
        <v>73</v>
      </c>
      <c r="F192">
        <v>0</v>
      </c>
      <c r="G192">
        <v>1</v>
      </c>
    </row>
    <row r="193" spans="1:7">
      <c r="A193" s="9">
        <v>45860</v>
      </c>
      <c r="B193">
        <v>176</v>
      </c>
      <c r="C193" t="s">
        <v>4</v>
      </c>
      <c r="D193" t="s">
        <v>5</v>
      </c>
      <c r="E193" t="s">
        <v>73</v>
      </c>
      <c r="F193">
        <v>6</v>
      </c>
      <c r="G193">
        <v>0</v>
      </c>
    </row>
    <row r="194" spans="1:7">
      <c r="A194" s="9">
        <v>45860</v>
      </c>
      <c r="B194">
        <v>177</v>
      </c>
      <c r="C194" t="s">
        <v>5</v>
      </c>
      <c r="D194" t="s">
        <v>4</v>
      </c>
      <c r="E194" t="s">
        <v>73</v>
      </c>
      <c r="F194">
        <v>5</v>
      </c>
      <c r="G194">
        <v>0</v>
      </c>
    </row>
    <row r="195" spans="1:7">
      <c r="A195" s="9">
        <v>45861</v>
      </c>
      <c r="B195">
        <v>178</v>
      </c>
      <c r="C195" t="s">
        <v>4</v>
      </c>
      <c r="D195" t="s">
        <v>5</v>
      </c>
      <c r="E195" t="s">
        <v>73</v>
      </c>
      <c r="F195">
        <v>4</v>
      </c>
      <c r="G195">
        <v>0</v>
      </c>
    </row>
    <row r="196" spans="1:7">
      <c r="A196" s="9">
        <v>45861</v>
      </c>
      <c r="B196">
        <v>179</v>
      </c>
      <c r="C196" t="s">
        <v>5</v>
      </c>
      <c r="D196" t="s">
        <v>5</v>
      </c>
      <c r="E196" t="s">
        <v>73</v>
      </c>
      <c r="F196">
        <v>1</v>
      </c>
      <c r="G196">
        <v>0</v>
      </c>
    </row>
    <row r="197" spans="1:7">
      <c r="A197" s="9">
        <v>45868</v>
      </c>
      <c r="B197">
        <v>185</v>
      </c>
      <c r="C197" t="s">
        <v>4</v>
      </c>
      <c r="D197" t="s">
        <v>5</v>
      </c>
      <c r="E197" t="s">
        <v>73</v>
      </c>
      <c r="F197">
        <v>7</v>
      </c>
      <c r="G197">
        <v>0</v>
      </c>
    </row>
    <row r="198" spans="1:7">
      <c r="A198" s="9">
        <v>45868</v>
      </c>
      <c r="B198">
        <v>186</v>
      </c>
      <c r="C198" t="s">
        <v>5</v>
      </c>
      <c r="D198" t="s">
        <v>5</v>
      </c>
      <c r="E198" t="s">
        <v>73</v>
      </c>
      <c r="F198">
        <v>4</v>
      </c>
      <c r="G198">
        <v>0</v>
      </c>
    </row>
    <row r="199" spans="1:7">
      <c r="A199" s="9">
        <v>45868</v>
      </c>
      <c r="B199">
        <v>187</v>
      </c>
      <c r="C199" t="s">
        <v>5</v>
      </c>
      <c r="D199" t="s">
        <v>5</v>
      </c>
      <c r="E199" t="s">
        <v>73</v>
      </c>
      <c r="F199">
        <v>7</v>
      </c>
      <c r="G199">
        <v>0</v>
      </c>
    </row>
    <row r="200" spans="1:7">
      <c r="A200" s="9">
        <v>45868</v>
      </c>
      <c r="B200">
        <v>188</v>
      </c>
      <c r="C200" t="s">
        <v>4</v>
      </c>
      <c r="D200" t="s">
        <v>5</v>
      </c>
      <c r="E200" t="s">
        <v>73</v>
      </c>
      <c r="F200">
        <v>5</v>
      </c>
      <c r="G200">
        <v>0</v>
      </c>
    </row>
    <row r="201" spans="1:7">
      <c r="A201" s="9">
        <v>45869</v>
      </c>
      <c r="B201">
        <v>189</v>
      </c>
      <c r="C201" t="s">
        <v>5</v>
      </c>
      <c r="D201" t="s">
        <v>5</v>
      </c>
      <c r="E201" t="s">
        <v>73</v>
      </c>
      <c r="F201">
        <v>6</v>
      </c>
      <c r="G201">
        <v>0</v>
      </c>
    </row>
    <row r="202" spans="1:7">
      <c r="A202" s="9">
        <v>45869</v>
      </c>
      <c r="B202">
        <v>190</v>
      </c>
      <c r="C202" t="s">
        <v>4</v>
      </c>
      <c r="D202" t="s">
        <v>4</v>
      </c>
      <c r="E202" t="s">
        <v>73</v>
      </c>
      <c r="F202">
        <v>0</v>
      </c>
      <c r="G202">
        <v>0</v>
      </c>
    </row>
    <row r="203" spans="1:7">
      <c r="A203" s="9">
        <v>45869</v>
      </c>
      <c r="B203">
        <v>190</v>
      </c>
      <c r="C203" t="s">
        <v>4</v>
      </c>
      <c r="D203" t="s">
        <v>4</v>
      </c>
      <c r="E203" t="s">
        <v>82</v>
      </c>
      <c r="F203">
        <v>0</v>
      </c>
      <c r="G203">
        <v>1</v>
      </c>
    </row>
    <row r="204" spans="1:7">
      <c r="A204" s="9">
        <v>45869</v>
      </c>
      <c r="B204">
        <v>190</v>
      </c>
      <c r="C204" t="s">
        <v>4</v>
      </c>
      <c r="D204" t="s">
        <v>5</v>
      </c>
      <c r="E204" t="s">
        <v>73</v>
      </c>
      <c r="F204">
        <v>0</v>
      </c>
      <c r="G204">
        <v>0</v>
      </c>
    </row>
    <row r="205" spans="1:7">
      <c r="A205" s="9">
        <v>45869</v>
      </c>
      <c r="B205">
        <v>190</v>
      </c>
      <c r="C205" t="s">
        <v>4</v>
      </c>
      <c r="D205" t="s">
        <v>5</v>
      </c>
      <c r="E205" t="s">
        <v>82</v>
      </c>
      <c r="F205">
        <v>4</v>
      </c>
      <c r="G205">
        <v>0</v>
      </c>
    </row>
    <row r="206" spans="1:7">
      <c r="A206" s="9">
        <v>45869</v>
      </c>
      <c r="B206">
        <v>191</v>
      </c>
      <c r="C206" t="s">
        <v>5</v>
      </c>
      <c r="D206" t="s">
        <v>4</v>
      </c>
      <c r="E206" t="s">
        <v>73</v>
      </c>
      <c r="F206">
        <v>3</v>
      </c>
      <c r="G206">
        <v>0</v>
      </c>
    </row>
    <row r="207" spans="1:7">
      <c r="A207" s="9">
        <v>45870</v>
      </c>
      <c r="B207">
        <v>192</v>
      </c>
      <c r="C207" t="s">
        <v>4</v>
      </c>
      <c r="D207" t="s">
        <v>4</v>
      </c>
      <c r="E207" t="s">
        <v>73</v>
      </c>
      <c r="F207">
        <v>0</v>
      </c>
      <c r="G207">
        <v>1</v>
      </c>
    </row>
    <row r="208" spans="1:7">
      <c r="A208" s="9">
        <v>45870</v>
      </c>
      <c r="B208">
        <v>192</v>
      </c>
      <c r="C208" t="s">
        <v>4</v>
      </c>
      <c r="D208" t="s">
        <v>5</v>
      </c>
      <c r="E208" t="s">
        <v>73</v>
      </c>
      <c r="F208">
        <v>4</v>
      </c>
      <c r="G208">
        <v>1</v>
      </c>
    </row>
    <row r="209" spans="1:7">
      <c r="A209" s="9">
        <v>45870</v>
      </c>
      <c r="B209">
        <v>193</v>
      </c>
      <c r="C209" t="s">
        <v>4</v>
      </c>
      <c r="D209" t="s">
        <v>4</v>
      </c>
      <c r="E209" t="s">
        <v>73</v>
      </c>
      <c r="F209">
        <v>3</v>
      </c>
      <c r="G209">
        <v>1</v>
      </c>
    </row>
    <row r="210" spans="1:7">
      <c r="A210" s="9">
        <v>45870</v>
      </c>
      <c r="B210">
        <v>193</v>
      </c>
      <c r="C210" t="s">
        <v>4</v>
      </c>
      <c r="D210" t="s">
        <v>5</v>
      </c>
      <c r="E210" t="s">
        <v>73</v>
      </c>
      <c r="F210">
        <v>1</v>
      </c>
      <c r="G210">
        <v>1</v>
      </c>
    </row>
    <row r="211" spans="1:7">
      <c r="A211" s="9">
        <v>45870</v>
      </c>
      <c r="B211">
        <v>194</v>
      </c>
      <c r="C211" t="s">
        <v>5</v>
      </c>
      <c r="D211" t="s">
        <v>5</v>
      </c>
      <c r="E211" t="s">
        <v>73</v>
      </c>
      <c r="F211">
        <v>5</v>
      </c>
      <c r="G211">
        <v>0</v>
      </c>
    </row>
    <row r="212" spans="1:7">
      <c r="A212" s="9">
        <v>45873</v>
      </c>
      <c r="B212">
        <v>195</v>
      </c>
      <c r="C212" t="s">
        <v>5</v>
      </c>
      <c r="D212" t="s">
        <v>4</v>
      </c>
      <c r="E212" t="s">
        <v>73</v>
      </c>
      <c r="F212">
        <v>1</v>
      </c>
      <c r="G212">
        <v>1</v>
      </c>
    </row>
    <row r="213" spans="1:7">
      <c r="A213" s="9">
        <v>45873</v>
      </c>
      <c r="B213">
        <v>196</v>
      </c>
      <c r="C213" t="s">
        <v>4</v>
      </c>
      <c r="D213" t="s">
        <v>5</v>
      </c>
      <c r="E213" t="s">
        <v>73</v>
      </c>
      <c r="F213">
        <v>11</v>
      </c>
      <c r="G213">
        <v>0</v>
      </c>
    </row>
    <row r="214" spans="1:7">
      <c r="A214" s="9">
        <v>45875</v>
      </c>
      <c r="B214">
        <v>197</v>
      </c>
      <c r="C214" t="s">
        <v>4</v>
      </c>
      <c r="D214" t="s">
        <v>5</v>
      </c>
      <c r="E214" t="s">
        <v>73</v>
      </c>
      <c r="F214">
        <v>8</v>
      </c>
      <c r="G214">
        <v>0</v>
      </c>
    </row>
    <row r="215" spans="1:7">
      <c r="A215" s="9">
        <v>45875</v>
      </c>
      <c r="B215">
        <v>198</v>
      </c>
      <c r="C215" t="s">
        <v>5</v>
      </c>
      <c r="D215" t="s">
        <v>4</v>
      </c>
      <c r="E215" t="s">
        <v>73</v>
      </c>
      <c r="F215">
        <v>10</v>
      </c>
      <c r="G215">
        <v>0</v>
      </c>
    </row>
    <row r="216" spans="1:7">
      <c r="A216" s="9">
        <v>45875</v>
      </c>
      <c r="B216">
        <v>199</v>
      </c>
      <c r="C216" t="s">
        <v>4</v>
      </c>
      <c r="D216" t="s">
        <v>5</v>
      </c>
      <c r="E216" t="s">
        <v>73</v>
      </c>
      <c r="F216">
        <v>7</v>
      </c>
      <c r="G216">
        <v>0</v>
      </c>
    </row>
    <row r="217" spans="1:7">
      <c r="A217" s="9">
        <v>45876</v>
      </c>
      <c r="B217">
        <v>200</v>
      </c>
      <c r="C217" t="s">
        <v>5</v>
      </c>
      <c r="D217" t="s">
        <v>4</v>
      </c>
      <c r="E217" t="s">
        <v>73</v>
      </c>
      <c r="F217">
        <v>1</v>
      </c>
      <c r="G217">
        <v>1</v>
      </c>
    </row>
    <row r="218" spans="1:7">
      <c r="A218" s="9">
        <v>45876</v>
      </c>
      <c r="B218">
        <v>200</v>
      </c>
      <c r="C218" t="s">
        <v>5</v>
      </c>
      <c r="D218" t="s">
        <v>5</v>
      </c>
      <c r="E218" t="s">
        <v>73</v>
      </c>
      <c r="F218">
        <v>1</v>
      </c>
      <c r="G218">
        <v>1</v>
      </c>
    </row>
    <row r="219" spans="1:7">
      <c r="A219" s="9">
        <v>45880</v>
      </c>
      <c r="B219">
        <v>201</v>
      </c>
      <c r="C219" t="s">
        <v>5</v>
      </c>
      <c r="D219" t="s">
        <v>4</v>
      </c>
      <c r="E219" t="s">
        <v>73</v>
      </c>
      <c r="F219">
        <v>0</v>
      </c>
      <c r="G219">
        <v>1</v>
      </c>
    </row>
    <row r="220" spans="1:7">
      <c r="A220" s="9">
        <v>45880</v>
      </c>
      <c r="B220">
        <v>201</v>
      </c>
      <c r="C220" t="s">
        <v>5</v>
      </c>
      <c r="D220" t="s">
        <v>5</v>
      </c>
      <c r="E220" t="s">
        <v>73</v>
      </c>
      <c r="F220">
        <v>1</v>
      </c>
      <c r="G220">
        <v>1</v>
      </c>
    </row>
    <row r="221" spans="1:7">
      <c r="A221" s="9">
        <v>45881</v>
      </c>
      <c r="B221">
        <v>202</v>
      </c>
      <c r="C221" t="s">
        <v>4</v>
      </c>
      <c r="D221" t="s">
        <v>5</v>
      </c>
      <c r="E221" t="s">
        <v>73</v>
      </c>
      <c r="F221">
        <v>10</v>
      </c>
      <c r="G221">
        <v>0</v>
      </c>
    </row>
    <row r="222" spans="1:7">
      <c r="A222" s="9">
        <v>45881</v>
      </c>
      <c r="B222">
        <v>203</v>
      </c>
      <c r="C222" t="s">
        <v>5</v>
      </c>
      <c r="D222" t="s">
        <v>4</v>
      </c>
      <c r="E222" t="s">
        <v>73</v>
      </c>
      <c r="F222">
        <v>1</v>
      </c>
      <c r="G222">
        <v>1</v>
      </c>
    </row>
    <row r="223" spans="1:7">
      <c r="A223" s="9">
        <v>45881</v>
      </c>
      <c r="B223">
        <v>203</v>
      </c>
      <c r="C223" t="s">
        <v>5</v>
      </c>
      <c r="D223" t="s">
        <v>5</v>
      </c>
      <c r="E223" t="s">
        <v>73</v>
      </c>
      <c r="F223">
        <v>4</v>
      </c>
      <c r="G223">
        <v>1</v>
      </c>
    </row>
    <row r="224" spans="1:7">
      <c r="A224" s="9">
        <v>45882</v>
      </c>
      <c r="B224">
        <v>204</v>
      </c>
      <c r="C224" t="s">
        <v>4</v>
      </c>
      <c r="D224" t="s">
        <v>4</v>
      </c>
      <c r="E224" t="s">
        <v>73</v>
      </c>
      <c r="F224">
        <v>3</v>
      </c>
      <c r="G224">
        <v>1</v>
      </c>
    </row>
    <row r="225" spans="1:7">
      <c r="A225" s="9">
        <v>45882</v>
      </c>
      <c r="B225">
        <v>204</v>
      </c>
      <c r="C225" t="s">
        <v>4</v>
      </c>
      <c r="D225" t="s">
        <v>4</v>
      </c>
      <c r="E225" t="s">
        <v>82</v>
      </c>
      <c r="F225">
        <v>0</v>
      </c>
      <c r="G225">
        <v>1</v>
      </c>
    </row>
    <row r="226" spans="1:7">
      <c r="A226" s="9">
        <v>45882</v>
      </c>
      <c r="B226">
        <v>204</v>
      </c>
      <c r="C226" t="s">
        <v>4</v>
      </c>
      <c r="D226" t="s">
        <v>5</v>
      </c>
      <c r="E226" t="s">
        <v>73</v>
      </c>
      <c r="F226">
        <v>2</v>
      </c>
      <c r="G226">
        <v>1</v>
      </c>
    </row>
    <row r="227" spans="1:7">
      <c r="A227" s="9">
        <v>45882</v>
      </c>
      <c r="B227">
        <v>204</v>
      </c>
      <c r="C227" t="s">
        <v>4</v>
      </c>
      <c r="D227" t="s">
        <v>5</v>
      </c>
      <c r="E227" t="s">
        <v>82</v>
      </c>
      <c r="F227">
        <v>7</v>
      </c>
      <c r="G227">
        <v>0</v>
      </c>
    </row>
    <row r="228" spans="1:7">
      <c r="A228" s="9">
        <v>45883</v>
      </c>
      <c r="B228">
        <v>205</v>
      </c>
      <c r="C228" t="s">
        <v>4</v>
      </c>
      <c r="D228" t="s">
        <v>4</v>
      </c>
      <c r="E228" t="s">
        <v>73</v>
      </c>
      <c r="F228">
        <v>3</v>
      </c>
      <c r="G228">
        <v>1</v>
      </c>
    </row>
    <row r="229" spans="1:7">
      <c r="A229" s="9">
        <v>45883</v>
      </c>
      <c r="B229">
        <v>205</v>
      </c>
      <c r="C229" t="s">
        <v>4</v>
      </c>
      <c r="D229" t="s">
        <v>5</v>
      </c>
      <c r="E229" t="s">
        <v>73</v>
      </c>
      <c r="F229">
        <v>1</v>
      </c>
      <c r="G229">
        <v>1</v>
      </c>
    </row>
    <row r="230" spans="1:7">
      <c r="A230" s="9">
        <v>45887</v>
      </c>
      <c r="B230">
        <v>206</v>
      </c>
      <c r="C230" t="s">
        <v>5</v>
      </c>
      <c r="D230" t="s">
        <v>5</v>
      </c>
      <c r="E230" t="s">
        <v>73</v>
      </c>
      <c r="F230">
        <v>3</v>
      </c>
      <c r="G230">
        <v>0</v>
      </c>
    </row>
    <row r="231" spans="1:7">
      <c r="A231" s="9">
        <v>45888</v>
      </c>
      <c r="B231">
        <v>207</v>
      </c>
      <c r="C231" t="s">
        <v>4</v>
      </c>
      <c r="D231" t="s">
        <v>4</v>
      </c>
      <c r="E231" t="s">
        <v>73</v>
      </c>
      <c r="F231">
        <v>1</v>
      </c>
      <c r="G231">
        <v>1</v>
      </c>
    </row>
    <row r="232" spans="1:7">
      <c r="A232" s="9">
        <v>45888</v>
      </c>
      <c r="B232">
        <v>207</v>
      </c>
      <c r="C232" t="s">
        <v>4</v>
      </c>
      <c r="D232" t="s">
        <v>5</v>
      </c>
      <c r="E232" t="s">
        <v>73</v>
      </c>
      <c r="F232">
        <v>4</v>
      </c>
      <c r="G232">
        <v>0</v>
      </c>
    </row>
    <row r="233" spans="1:7">
      <c r="A233" s="9">
        <v>45889</v>
      </c>
      <c r="B233">
        <v>208</v>
      </c>
      <c r="C233" t="s">
        <v>4</v>
      </c>
      <c r="D233" t="s">
        <v>4</v>
      </c>
      <c r="E233" t="s">
        <v>82</v>
      </c>
      <c r="F233">
        <v>0</v>
      </c>
      <c r="G233">
        <v>1</v>
      </c>
    </row>
    <row r="234" spans="1:7">
      <c r="A234" s="9">
        <v>45889</v>
      </c>
      <c r="B234">
        <v>208</v>
      </c>
      <c r="C234" t="s">
        <v>4</v>
      </c>
      <c r="D234" t="s">
        <v>5</v>
      </c>
      <c r="E234" t="s">
        <v>73</v>
      </c>
      <c r="F234">
        <v>3</v>
      </c>
      <c r="G234">
        <v>1</v>
      </c>
    </row>
    <row r="235" spans="1:7">
      <c r="A235" s="9">
        <v>45889</v>
      </c>
      <c r="B235">
        <v>208</v>
      </c>
      <c r="C235" t="s">
        <v>4</v>
      </c>
      <c r="D235" t="s">
        <v>5</v>
      </c>
      <c r="E235" t="s">
        <v>82</v>
      </c>
      <c r="F235">
        <v>1</v>
      </c>
      <c r="G235">
        <v>1</v>
      </c>
    </row>
    <row r="236" spans="1:7">
      <c r="A236" s="9">
        <v>45890</v>
      </c>
      <c r="B236">
        <v>209</v>
      </c>
      <c r="C236" t="s">
        <v>4</v>
      </c>
      <c r="D236" t="s">
        <v>5</v>
      </c>
      <c r="E236" t="s">
        <v>73</v>
      </c>
      <c r="F236">
        <v>5</v>
      </c>
      <c r="G236">
        <v>0</v>
      </c>
    </row>
    <row r="237" spans="1:7">
      <c r="A237" s="9">
        <v>45894</v>
      </c>
      <c r="B237">
        <v>210</v>
      </c>
      <c r="C237" t="s">
        <v>4</v>
      </c>
      <c r="D237" t="s">
        <v>5</v>
      </c>
      <c r="E237" t="s">
        <v>73</v>
      </c>
      <c r="F237">
        <v>7</v>
      </c>
      <c r="G237">
        <v>0</v>
      </c>
    </row>
    <row r="238" spans="1:7">
      <c r="A238" s="9">
        <v>45896</v>
      </c>
      <c r="B238">
        <v>211</v>
      </c>
      <c r="C238" t="s">
        <v>4</v>
      </c>
      <c r="D238" t="s">
        <v>5</v>
      </c>
      <c r="E238" t="s">
        <v>73</v>
      </c>
      <c r="F238">
        <v>10</v>
      </c>
      <c r="G238">
        <v>0</v>
      </c>
    </row>
    <row r="239" spans="1:7">
      <c r="A239" s="9">
        <v>45897</v>
      </c>
      <c r="B239">
        <v>212</v>
      </c>
      <c r="C239" t="s">
        <v>4</v>
      </c>
      <c r="D239" t="s">
        <v>5</v>
      </c>
      <c r="E239" t="s">
        <v>73</v>
      </c>
      <c r="F239">
        <v>8</v>
      </c>
      <c r="G239">
        <v>0</v>
      </c>
    </row>
    <row r="240" spans="1:7">
      <c r="A240" s="9">
        <v>45898</v>
      </c>
      <c r="B240">
        <v>213</v>
      </c>
      <c r="C240" t="s">
        <v>5</v>
      </c>
      <c r="D240" t="s">
        <v>4</v>
      </c>
      <c r="E240" t="s">
        <v>73</v>
      </c>
      <c r="F240">
        <v>2</v>
      </c>
      <c r="G240">
        <v>1</v>
      </c>
    </row>
    <row r="241" spans="1:7">
      <c r="A241" s="9">
        <v>45898</v>
      </c>
      <c r="B241">
        <v>213</v>
      </c>
      <c r="C241" t="s">
        <v>5</v>
      </c>
      <c r="D241" t="s">
        <v>5</v>
      </c>
      <c r="E241" t="s">
        <v>73</v>
      </c>
      <c r="F241">
        <v>0</v>
      </c>
      <c r="G241">
        <v>1</v>
      </c>
    </row>
    <row r="242" spans="1:7">
      <c r="A242" s="9">
        <v>45902</v>
      </c>
      <c r="B242">
        <v>214</v>
      </c>
      <c r="C242" t="s">
        <v>4</v>
      </c>
      <c r="D242" t="s">
        <v>4</v>
      </c>
      <c r="E242" t="s">
        <v>73</v>
      </c>
      <c r="F242">
        <v>3</v>
      </c>
      <c r="G242">
        <v>1</v>
      </c>
    </row>
    <row r="243" spans="1:7">
      <c r="A243" s="9">
        <v>45902</v>
      </c>
      <c r="B243">
        <v>214</v>
      </c>
      <c r="C243" t="s">
        <v>4</v>
      </c>
      <c r="D243" t="s">
        <v>5</v>
      </c>
      <c r="E243" t="s">
        <v>73</v>
      </c>
      <c r="F243">
        <v>0</v>
      </c>
      <c r="G243">
        <v>1</v>
      </c>
    </row>
    <row r="244" spans="1:7">
      <c r="A244" s="9">
        <v>45903</v>
      </c>
      <c r="B244">
        <v>215</v>
      </c>
      <c r="C244" t="s">
        <v>4</v>
      </c>
      <c r="D244" t="s">
        <v>4</v>
      </c>
      <c r="E244" t="s">
        <v>73</v>
      </c>
      <c r="F244">
        <v>0</v>
      </c>
      <c r="G244">
        <v>1</v>
      </c>
    </row>
    <row r="245" spans="1:7">
      <c r="A245" s="9">
        <v>45903</v>
      </c>
      <c r="B245">
        <v>215</v>
      </c>
      <c r="C245" t="s">
        <v>4</v>
      </c>
      <c r="D245" t="s">
        <v>5</v>
      </c>
      <c r="E245" t="s">
        <v>73</v>
      </c>
      <c r="F245">
        <v>7</v>
      </c>
      <c r="G245">
        <v>0</v>
      </c>
    </row>
    <row r="246" spans="1:7">
      <c r="A246" s="9">
        <v>45904</v>
      </c>
      <c r="B246">
        <v>216</v>
      </c>
      <c r="C246" t="s">
        <v>4</v>
      </c>
      <c r="D246" t="s">
        <v>5</v>
      </c>
      <c r="E246" t="s">
        <v>73</v>
      </c>
      <c r="F246">
        <v>10</v>
      </c>
      <c r="G246">
        <v>0</v>
      </c>
    </row>
    <row r="247" spans="1:7">
      <c r="A247" s="9">
        <v>45910</v>
      </c>
      <c r="B247">
        <v>217</v>
      </c>
      <c r="C247" t="s">
        <v>5</v>
      </c>
      <c r="D247" t="s">
        <v>5</v>
      </c>
      <c r="E247" t="s">
        <v>73</v>
      </c>
      <c r="F247">
        <v>3</v>
      </c>
      <c r="G247">
        <v>0</v>
      </c>
    </row>
    <row r="248" spans="1:7">
      <c r="A248" s="9">
        <v>45911</v>
      </c>
      <c r="B248">
        <v>218</v>
      </c>
      <c r="C248" t="s">
        <v>4</v>
      </c>
      <c r="D248" t="s">
        <v>5</v>
      </c>
      <c r="E248" t="s">
        <v>73</v>
      </c>
      <c r="F248">
        <v>5</v>
      </c>
      <c r="G248">
        <v>1</v>
      </c>
    </row>
    <row r="249" spans="1:7">
      <c r="A249" s="9">
        <v>45915</v>
      </c>
      <c r="B249">
        <v>219</v>
      </c>
      <c r="C249" t="s">
        <v>5</v>
      </c>
      <c r="D249" t="s">
        <v>5</v>
      </c>
      <c r="E249" t="s">
        <v>73</v>
      </c>
      <c r="F249">
        <v>5</v>
      </c>
      <c r="G249">
        <v>0</v>
      </c>
    </row>
    <row r="250" spans="1:7">
      <c r="A250" s="9">
        <v>45916</v>
      </c>
      <c r="B250">
        <v>220</v>
      </c>
      <c r="C250" t="s">
        <v>5</v>
      </c>
      <c r="D250" t="s">
        <v>4</v>
      </c>
      <c r="E250" t="s">
        <v>73</v>
      </c>
      <c r="F250">
        <v>3</v>
      </c>
      <c r="G250">
        <v>0</v>
      </c>
    </row>
    <row r="251" spans="1:7">
      <c r="A251" s="9">
        <v>45916</v>
      </c>
      <c r="B251">
        <v>220</v>
      </c>
      <c r="C251" t="s">
        <v>5</v>
      </c>
      <c r="D251" t="s">
        <v>5</v>
      </c>
      <c r="E251" t="s">
        <v>73</v>
      </c>
      <c r="F251">
        <v>0</v>
      </c>
      <c r="G251">
        <v>1</v>
      </c>
    </row>
    <row r="252" spans="1:7">
      <c r="A252" s="9">
        <v>45917</v>
      </c>
      <c r="B252">
        <v>221</v>
      </c>
      <c r="C252" t="s">
        <v>4</v>
      </c>
      <c r="D252" t="s">
        <v>4</v>
      </c>
      <c r="E252" t="s">
        <v>73</v>
      </c>
      <c r="F252">
        <v>0</v>
      </c>
      <c r="G252">
        <v>1</v>
      </c>
    </row>
    <row r="253" spans="1:7">
      <c r="A253" s="9">
        <v>45917</v>
      </c>
      <c r="B253">
        <v>221</v>
      </c>
      <c r="C253" t="s">
        <v>4</v>
      </c>
      <c r="D253" t="s">
        <v>5</v>
      </c>
      <c r="E253" t="s">
        <v>73</v>
      </c>
      <c r="F253">
        <v>3</v>
      </c>
      <c r="G253">
        <v>0</v>
      </c>
    </row>
    <row r="254" spans="1:7">
      <c r="A254" s="9">
        <v>45918</v>
      </c>
      <c r="B254">
        <v>222</v>
      </c>
      <c r="C254" t="s">
        <v>5</v>
      </c>
      <c r="D254" t="s">
        <v>4</v>
      </c>
      <c r="E254" t="s">
        <v>73</v>
      </c>
      <c r="F254">
        <v>2</v>
      </c>
      <c r="G254">
        <v>1</v>
      </c>
    </row>
    <row r="255" spans="1:7">
      <c r="A255" s="9">
        <v>45918</v>
      </c>
      <c r="B255">
        <v>222</v>
      </c>
      <c r="C255" t="s">
        <v>5</v>
      </c>
      <c r="D255" t="s">
        <v>5</v>
      </c>
      <c r="E255" t="s">
        <v>73</v>
      </c>
      <c r="F255">
        <v>1</v>
      </c>
      <c r="G255">
        <v>1</v>
      </c>
    </row>
    <row r="256" spans="1:7">
      <c r="A256" s="9">
        <v>45919</v>
      </c>
      <c r="B256">
        <v>223</v>
      </c>
      <c r="C256" t="s">
        <v>5</v>
      </c>
      <c r="D256" t="s">
        <v>4</v>
      </c>
      <c r="E256" t="s">
        <v>73</v>
      </c>
      <c r="F256">
        <v>1</v>
      </c>
      <c r="G256">
        <v>1</v>
      </c>
    </row>
    <row r="257" spans="1:7">
      <c r="A257" s="9">
        <v>45919</v>
      </c>
      <c r="B257">
        <v>223</v>
      </c>
      <c r="C257" t="s">
        <v>5</v>
      </c>
      <c r="D257" t="s">
        <v>5</v>
      </c>
      <c r="E257" t="s">
        <v>73</v>
      </c>
      <c r="F257">
        <v>3</v>
      </c>
      <c r="G257">
        <v>1</v>
      </c>
    </row>
    <row r="258" spans="1:7">
      <c r="A258" s="9">
        <v>45923</v>
      </c>
      <c r="B258">
        <v>224</v>
      </c>
      <c r="C258" t="s">
        <v>5</v>
      </c>
      <c r="D258" t="s">
        <v>4</v>
      </c>
      <c r="E258" t="s">
        <v>73</v>
      </c>
      <c r="F258">
        <v>0</v>
      </c>
      <c r="G258">
        <v>1</v>
      </c>
    </row>
    <row r="259" spans="1:7">
      <c r="A259" s="9">
        <v>45923</v>
      </c>
      <c r="B259">
        <v>224</v>
      </c>
      <c r="C259" t="s">
        <v>5</v>
      </c>
      <c r="D259" t="s">
        <v>5</v>
      </c>
      <c r="E259" t="s">
        <v>73</v>
      </c>
      <c r="F259">
        <v>4</v>
      </c>
      <c r="G259">
        <v>1</v>
      </c>
    </row>
    <row r="260" spans="1:7">
      <c r="A260" s="9">
        <v>45924</v>
      </c>
      <c r="B260">
        <v>225</v>
      </c>
      <c r="C260" t="s">
        <v>5</v>
      </c>
      <c r="D260" t="s">
        <v>4</v>
      </c>
      <c r="E260" t="s">
        <v>73</v>
      </c>
      <c r="F260">
        <v>4</v>
      </c>
      <c r="G260">
        <v>1</v>
      </c>
    </row>
    <row r="261" spans="1:7">
      <c r="A261" s="9">
        <v>45924</v>
      </c>
      <c r="B261">
        <v>225</v>
      </c>
      <c r="C261" t="s">
        <v>5</v>
      </c>
      <c r="D261" t="s">
        <v>4</v>
      </c>
      <c r="E261" t="s">
        <v>82</v>
      </c>
      <c r="F261">
        <v>4</v>
      </c>
      <c r="G261">
        <v>0</v>
      </c>
    </row>
    <row r="262" spans="1:7">
      <c r="A262" s="9">
        <v>45924</v>
      </c>
      <c r="B262">
        <v>225</v>
      </c>
      <c r="C262" t="s">
        <v>5</v>
      </c>
      <c r="D262" t="s">
        <v>5</v>
      </c>
      <c r="E262" t="s">
        <v>82</v>
      </c>
      <c r="F262">
        <v>0</v>
      </c>
      <c r="G262">
        <v>1</v>
      </c>
    </row>
    <row r="263" spans="1:7">
      <c r="A263" s="9">
        <v>45926</v>
      </c>
      <c r="B263">
        <v>226</v>
      </c>
      <c r="C263" t="s">
        <v>5</v>
      </c>
      <c r="D263" t="s">
        <v>4</v>
      </c>
      <c r="E263" t="s">
        <v>73</v>
      </c>
      <c r="F263">
        <v>10</v>
      </c>
      <c r="G263">
        <v>0</v>
      </c>
    </row>
    <row r="264" spans="1:7">
      <c r="A264" s="9">
        <v>45929</v>
      </c>
      <c r="B264">
        <v>227</v>
      </c>
      <c r="C264" t="s">
        <v>4</v>
      </c>
      <c r="D264" t="s">
        <v>5</v>
      </c>
      <c r="E264" t="s">
        <v>73</v>
      </c>
      <c r="F264">
        <v>5</v>
      </c>
      <c r="G264">
        <v>1</v>
      </c>
    </row>
    <row r="265" spans="1:7">
      <c r="A265" s="9">
        <v>45930</v>
      </c>
      <c r="B265">
        <v>228</v>
      </c>
      <c r="C265" t="s">
        <v>4</v>
      </c>
      <c r="D265" t="s">
        <v>5</v>
      </c>
      <c r="E265" t="s">
        <v>73</v>
      </c>
      <c r="F265">
        <v>6</v>
      </c>
      <c r="G265">
        <v>0</v>
      </c>
    </row>
    <row r="266" spans="1:7">
      <c r="A266" s="9">
        <v>45931</v>
      </c>
      <c r="B266">
        <v>229</v>
      </c>
      <c r="C266" t="s">
        <v>4</v>
      </c>
      <c r="D266" t="s">
        <v>5</v>
      </c>
      <c r="E266" t="s">
        <v>73</v>
      </c>
      <c r="F266">
        <v>7</v>
      </c>
      <c r="G266">
        <v>0</v>
      </c>
    </row>
    <row r="267" spans="1:7">
      <c r="A267" s="9">
        <v>45938</v>
      </c>
      <c r="B267">
        <v>230</v>
      </c>
      <c r="C267" t="s">
        <v>4</v>
      </c>
      <c r="D267" t="s">
        <v>5</v>
      </c>
      <c r="E267" t="s">
        <v>73</v>
      </c>
      <c r="F267">
        <v>5</v>
      </c>
      <c r="G267">
        <v>1</v>
      </c>
    </row>
    <row r="268" spans="1:7">
      <c r="A268" s="9">
        <v>45940</v>
      </c>
      <c r="B268">
        <v>231</v>
      </c>
      <c r="C268" t="s">
        <v>4</v>
      </c>
      <c r="D268" t="s">
        <v>5</v>
      </c>
      <c r="E268" t="s">
        <v>73</v>
      </c>
      <c r="F268">
        <v>14</v>
      </c>
      <c r="G268">
        <v>0</v>
      </c>
    </row>
    <row r="269" spans="1:7">
      <c r="A269" s="9">
        <v>45943</v>
      </c>
      <c r="B269">
        <v>232</v>
      </c>
      <c r="C269" t="s">
        <v>5</v>
      </c>
      <c r="D269" t="s">
        <v>5</v>
      </c>
      <c r="E269" t="s">
        <v>73</v>
      </c>
      <c r="F269">
        <v>7</v>
      </c>
      <c r="G269">
        <v>0</v>
      </c>
    </row>
    <row r="270" spans="1:7">
      <c r="A270" s="9">
        <v>45952</v>
      </c>
      <c r="B270">
        <v>233</v>
      </c>
      <c r="C270" t="s">
        <v>5</v>
      </c>
      <c r="D270" t="s">
        <v>4</v>
      </c>
      <c r="E270" t="s">
        <v>73</v>
      </c>
      <c r="F270">
        <v>4</v>
      </c>
      <c r="G270">
        <v>0</v>
      </c>
    </row>
    <row r="271" spans="1:7">
      <c r="A271" s="9">
        <v>45952</v>
      </c>
      <c r="B271">
        <v>233</v>
      </c>
      <c r="C271" t="s">
        <v>5</v>
      </c>
      <c r="D271" t="s">
        <v>5</v>
      </c>
      <c r="E271" t="s">
        <v>73</v>
      </c>
      <c r="F271">
        <v>1</v>
      </c>
      <c r="G271">
        <v>1</v>
      </c>
    </row>
    <row r="272" spans="1:7">
      <c r="A272" s="9">
        <v>45953</v>
      </c>
      <c r="B272">
        <v>234</v>
      </c>
      <c r="C272" t="s">
        <v>5</v>
      </c>
      <c r="D272" t="s">
        <v>4</v>
      </c>
      <c r="E272" t="s">
        <v>73</v>
      </c>
      <c r="F272">
        <v>6</v>
      </c>
      <c r="G272">
        <v>0</v>
      </c>
    </row>
    <row r="273" spans="1:7">
      <c r="A273" s="9">
        <v>45953</v>
      </c>
      <c r="B273">
        <v>234</v>
      </c>
      <c r="C273" t="s">
        <v>5</v>
      </c>
      <c r="D273" t="s">
        <v>5</v>
      </c>
      <c r="E273" t="s">
        <v>73</v>
      </c>
      <c r="F273">
        <v>0</v>
      </c>
      <c r="G273">
        <v>1</v>
      </c>
    </row>
    <row r="274" spans="1:7">
      <c r="A274" s="9">
        <v>45954</v>
      </c>
      <c r="B274">
        <v>235</v>
      </c>
      <c r="C274" t="s">
        <v>4</v>
      </c>
      <c r="D274" t="s">
        <v>5</v>
      </c>
      <c r="E274" t="s">
        <v>73</v>
      </c>
      <c r="F274">
        <v>7</v>
      </c>
      <c r="G274">
        <v>0</v>
      </c>
    </row>
    <row r="275" spans="1:7">
      <c r="A275" s="9">
        <v>45958</v>
      </c>
      <c r="B275">
        <v>236</v>
      </c>
      <c r="C275" t="s">
        <v>5</v>
      </c>
      <c r="D275" t="s">
        <v>4</v>
      </c>
      <c r="E275" t="s">
        <v>73</v>
      </c>
      <c r="F275">
        <v>5</v>
      </c>
      <c r="G275">
        <v>1</v>
      </c>
    </row>
    <row r="276" spans="1:7">
      <c r="A276" s="9">
        <v>45958</v>
      </c>
      <c r="B276">
        <v>236</v>
      </c>
      <c r="C276" t="s">
        <v>5</v>
      </c>
      <c r="D276" t="s">
        <v>4</v>
      </c>
      <c r="E276" t="s">
        <v>82</v>
      </c>
      <c r="F276">
        <v>3</v>
      </c>
      <c r="G276">
        <v>0</v>
      </c>
    </row>
    <row r="277" spans="1:7">
      <c r="A277" s="9">
        <v>45958</v>
      </c>
      <c r="B277">
        <v>236</v>
      </c>
      <c r="C277" t="s">
        <v>5</v>
      </c>
      <c r="D277" t="s">
        <v>4</v>
      </c>
      <c r="E277" t="s">
        <v>83</v>
      </c>
      <c r="F277">
        <v>2</v>
      </c>
      <c r="G277">
        <v>1</v>
      </c>
    </row>
    <row r="278" spans="1:7">
      <c r="A278" s="9">
        <v>45958</v>
      </c>
      <c r="B278">
        <v>236</v>
      </c>
      <c r="C278" t="s">
        <v>5</v>
      </c>
      <c r="D278" t="s">
        <v>5</v>
      </c>
      <c r="E278" t="s">
        <v>73</v>
      </c>
      <c r="F278">
        <v>0</v>
      </c>
      <c r="G278">
        <v>1</v>
      </c>
    </row>
    <row r="279" spans="1:7">
      <c r="A279" s="9">
        <v>45958</v>
      </c>
      <c r="B279">
        <v>236</v>
      </c>
      <c r="C279" t="s">
        <v>5</v>
      </c>
      <c r="D279" t="s">
        <v>5</v>
      </c>
      <c r="E279" t="s">
        <v>82</v>
      </c>
      <c r="F279">
        <v>0</v>
      </c>
      <c r="G279">
        <v>1</v>
      </c>
    </row>
    <row r="280" spans="1:7">
      <c r="A280" s="9">
        <v>45958</v>
      </c>
      <c r="B280">
        <v>236</v>
      </c>
      <c r="C280" t="s">
        <v>5</v>
      </c>
      <c r="D280" t="s">
        <v>5</v>
      </c>
      <c r="E280" t="s">
        <v>83</v>
      </c>
      <c r="F280">
        <v>0</v>
      </c>
      <c r="G280">
        <v>1</v>
      </c>
    </row>
    <row r="281" spans="1:7">
      <c r="A281" s="9">
        <v>45959</v>
      </c>
      <c r="B281">
        <v>237</v>
      </c>
      <c r="C281" t="s">
        <v>4</v>
      </c>
      <c r="D281" t="s">
        <v>4</v>
      </c>
      <c r="E281" t="s">
        <v>73</v>
      </c>
      <c r="F281">
        <v>3</v>
      </c>
      <c r="G281">
        <v>1</v>
      </c>
    </row>
    <row r="282" spans="1:7">
      <c r="A282" s="9">
        <v>45959</v>
      </c>
      <c r="B282">
        <v>237</v>
      </c>
      <c r="C282" t="s">
        <v>4</v>
      </c>
      <c r="D282" t="s">
        <v>5</v>
      </c>
      <c r="E282" t="s">
        <v>73</v>
      </c>
      <c r="F282">
        <v>0</v>
      </c>
      <c r="G282">
        <v>1</v>
      </c>
    </row>
    <row r="283" spans="1:7">
      <c r="A283" s="9">
        <v>45961</v>
      </c>
      <c r="B283">
        <v>238</v>
      </c>
      <c r="C283" t="s">
        <v>5</v>
      </c>
      <c r="D283" t="s">
        <v>4</v>
      </c>
      <c r="E283" t="s">
        <v>73</v>
      </c>
      <c r="F283">
        <v>0</v>
      </c>
      <c r="G283">
        <v>1</v>
      </c>
    </row>
    <row r="284" spans="1:7">
      <c r="A284" s="9">
        <v>45961</v>
      </c>
      <c r="B284">
        <v>238</v>
      </c>
      <c r="C284" t="s">
        <v>5</v>
      </c>
      <c r="D284" t="s">
        <v>5</v>
      </c>
      <c r="E284" t="s">
        <v>73</v>
      </c>
      <c r="F284">
        <v>3</v>
      </c>
      <c r="G284">
        <v>1</v>
      </c>
    </row>
    <row r="285" spans="1:7">
      <c r="A285" s="9">
        <v>45972</v>
      </c>
      <c r="B285">
        <v>239</v>
      </c>
      <c r="C285" t="s">
        <v>5</v>
      </c>
      <c r="D285" t="s">
        <v>4</v>
      </c>
      <c r="E285" t="s">
        <v>73</v>
      </c>
      <c r="F285">
        <v>1</v>
      </c>
      <c r="G285">
        <v>1</v>
      </c>
    </row>
    <row r="286" spans="1:7">
      <c r="A286" s="9">
        <v>45972</v>
      </c>
      <c r="B286">
        <v>239</v>
      </c>
      <c r="C286" t="s">
        <v>5</v>
      </c>
      <c r="D286" t="s">
        <v>5</v>
      </c>
      <c r="E286" t="s">
        <v>73</v>
      </c>
      <c r="F286">
        <v>3</v>
      </c>
      <c r="G286">
        <v>1</v>
      </c>
    </row>
    <row r="287" spans="1:7">
      <c r="A287" s="9">
        <v>45973</v>
      </c>
      <c r="B287">
        <v>240</v>
      </c>
      <c r="C287" t="s">
        <v>4</v>
      </c>
      <c r="D287" t="s">
        <v>5</v>
      </c>
      <c r="E287" t="s">
        <v>73</v>
      </c>
      <c r="F287">
        <v>11</v>
      </c>
      <c r="G287">
        <v>0</v>
      </c>
    </row>
    <row r="288" spans="1:7">
      <c r="A288" s="9">
        <v>45979</v>
      </c>
      <c r="B288">
        <v>241</v>
      </c>
      <c r="C288" t="s">
        <v>5</v>
      </c>
      <c r="D288" t="s">
        <v>5</v>
      </c>
      <c r="E288" t="s">
        <v>73</v>
      </c>
      <c r="F288">
        <v>8</v>
      </c>
      <c r="G288">
        <v>0</v>
      </c>
    </row>
    <row r="289" spans="1:7">
      <c r="A289" s="9">
        <v>45981</v>
      </c>
      <c r="B289">
        <v>242</v>
      </c>
      <c r="C289" t="s">
        <v>4</v>
      </c>
      <c r="D289" t="s">
        <v>5</v>
      </c>
      <c r="E289" t="s">
        <v>73</v>
      </c>
      <c r="F289">
        <v>10</v>
      </c>
      <c r="G289">
        <v>0</v>
      </c>
    </row>
    <row r="290" spans="1:7">
      <c r="A290" s="9">
        <v>45982</v>
      </c>
      <c r="B290">
        <v>243</v>
      </c>
      <c r="C290" t="s">
        <v>4</v>
      </c>
      <c r="D290" t="s">
        <v>4</v>
      </c>
      <c r="E290" t="s">
        <v>73</v>
      </c>
      <c r="F290">
        <v>1</v>
      </c>
      <c r="G290">
        <v>1</v>
      </c>
    </row>
    <row r="291" spans="1:7">
      <c r="A291" s="9">
        <v>45982</v>
      </c>
      <c r="B291">
        <v>243</v>
      </c>
      <c r="C291" t="s">
        <v>4</v>
      </c>
      <c r="D291" t="s">
        <v>5</v>
      </c>
      <c r="E291" t="s">
        <v>73</v>
      </c>
      <c r="F291">
        <v>3</v>
      </c>
      <c r="G291">
        <v>1</v>
      </c>
    </row>
    <row r="292" spans="1:7">
      <c r="A292" s="9">
        <v>45992</v>
      </c>
      <c r="B292">
        <v>244</v>
      </c>
      <c r="C292" t="s">
        <v>4</v>
      </c>
      <c r="D292" t="s">
        <v>4</v>
      </c>
      <c r="E292" t="s">
        <v>73</v>
      </c>
      <c r="F292">
        <v>1</v>
      </c>
      <c r="G292">
        <v>1</v>
      </c>
    </row>
    <row r="293" spans="1:7">
      <c r="A293" s="9">
        <v>45992</v>
      </c>
      <c r="B293">
        <v>244</v>
      </c>
      <c r="C293" t="s">
        <v>4</v>
      </c>
      <c r="D293" t="s">
        <v>4</v>
      </c>
      <c r="E293" t="s">
        <v>82</v>
      </c>
      <c r="F293">
        <v>0</v>
      </c>
      <c r="G293">
        <v>1</v>
      </c>
    </row>
    <row r="294" spans="1:7">
      <c r="A294" s="9">
        <v>45992</v>
      </c>
      <c r="B294">
        <v>244</v>
      </c>
      <c r="C294" t="s">
        <v>4</v>
      </c>
      <c r="D294" t="s">
        <v>4</v>
      </c>
      <c r="E294" t="s">
        <v>83</v>
      </c>
      <c r="F294">
        <v>0</v>
      </c>
      <c r="G294">
        <v>1</v>
      </c>
    </row>
    <row r="295" spans="1:7">
      <c r="A295" s="9">
        <v>45992</v>
      </c>
      <c r="B295">
        <v>244</v>
      </c>
      <c r="C295" t="s">
        <v>4</v>
      </c>
      <c r="D295" t="s">
        <v>5</v>
      </c>
      <c r="E295" t="s">
        <v>73</v>
      </c>
      <c r="F295">
        <v>2</v>
      </c>
      <c r="G295">
        <v>1</v>
      </c>
    </row>
    <row r="296" spans="1:7">
      <c r="A296" s="9">
        <v>45992</v>
      </c>
      <c r="B296">
        <v>244</v>
      </c>
      <c r="C296" t="s">
        <v>4</v>
      </c>
      <c r="D296" t="s">
        <v>5</v>
      </c>
      <c r="E296" t="s">
        <v>82</v>
      </c>
      <c r="F296">
        <v>3</v>
      </c>
      <c r="G296">
        <v>0</v>
      </c>
    </row>
    <row r="297" spans="1:7">
      <c r="A297" s="9">
        <v>45992</v>
      </c>
      <c r="B297">
        <v>244</v>
      </c>
      <c r="C297" t="s">
        <v>4</v>
      </c>
      <c r="D297" t="s">
        <v>5</v>
      </c>
      <c r="E297" t="s">
        <v>83</v>
      </c>
      <c r="F297">
        <v>3</v>
      </c>
      <c r="G297">
        <v>1</v>
      </c>
    </row>
    <row r="298" spans="1:7">
      <c r="A298" s="9">
        <v>45993</v>
      </c>
      <c r="B298">
        <v>245</v>
      </c>
      <c r="C298" t="s">
        <v>5</v>
      </c>
      <c r="D298" t="s">
        <v>4</v>
      </c>
      <c r="E298" t="s">
        <v>73</v>
      </c>
      <c r="F298">
        <v>3</v>
      </c>
      <c r="G298">
        <v>1</v>
      </c>
    </row>
    <row r="299" spans="1:7">
      <c r="A299" s="9">
        <v>45993</v>
      </c>
      <c r="B299">
        <v>245</v>
      </c>
      <c r="C299" t="s">
        <v>5</v>
      </c>
      <c r="D299" t="s">
        <v>5</v>
      </c>
      <c r="E299" t="s">
        <v>73</v>
      </c>
      <c r="F299">
        <v>3</v>
      </c>
      <c r="G299">
        <v>1</v>
      </c>
    </row>
    <row r="300" spans="1:7">
      <c r="A300" s="9">
        <v>45994</v>
      </c>
      <c r="B300">
        <v>246</v>
      </c>
      <c r="C300" t="s">
        <v>5</v>
      </c>
      <c r="D300" t="s">
        <v>4</v>
      </c>
      <c r="E300" t="s">
        <v>73</v>
      </c>
      <c r="F300">
        <v>3</v>
      </c>
      <c r="G300">
        <v>1</v>
      </c>
    </row>
    <row r="301" spans="1:7">
      <c r="A301" s="9">
        <v>45994</v>
      </c>
      <c r="B301">
        <v>246</v>
      </c>
      <c r="C301" t="s">
        <v>5</v>
      </c>
      <c r="D301" t="s">
        <v>5</v>
      </c>
      <c r="E301" t="s">
        <v>73</v>
      </c>
      <c r="F301">
        <v>1</v>
      </c>
      <c r="G301">
        <v>1</v>
      </c>
    </row>
    <row r="302" spans="1:7">
      <c r="A302" s="9">
        <v>45995</v>
      </c>
      <c r="B302">
        <v>247</v>
      </c>
      <c r="C302" t="s">
        <v>4</v>
      </c>
      <c r="D302" t="s">
        <v>5</v>
      </c>
      <c r="E302" t="s">
        <v>73</v>
      </c>
      <c r="F302">
        <v>3</v>
      </c>
      <c r="G302">
        <v>0</v>
      </c>
    </row>
    <row r="303" spans="1:7">
      <c r="A303" s="9">
        <v>45996</v>
      </c>
      <c r="B303">
        <v>248</v>
      </c>
      <c r="C303" t="s">
        <v>4</v>
      </c>
      <c r="D303" t="s">
        <v>5</v>
      </c>
      <c r="E303" t="s">
        <v>73</v>
      </c>
      <c r="F303">
        <v>11</v>
      </c>
      <c r="G303">
        <v>0</v>
      </c>
    </row>
    <row r="304" spans="1:7">
      <c r="A304" s="9">
        <v>45999</v>
      </c>
      <c r="B304">
        <v>249</v>
      </c>
      <c r="C304" t="s">
        <v>4</v>
      </c>
      <c r="D304" t="s">
        <v>4</v>
      </c>
      <c r="E304" t="s">
        <v>73</v>
      </c>
      <c r="F304">
        <v>7</v>
      </c>
      <c r="G304">
        <v>0</v>
      </c>
    </row>
    <row r="305" spans="1:7">
      <c r="A305" s="9">
        <v>45999</v>
      </c>
      <c r="B305">
        <v>250</v>
      </c>
      <c r="C305" t="s">
        <v>5</v>
      </c>
      <c r="D305" t="s">
        <v>4</v>
      </c>
      <c r="E305" t="s">
        <v>73</v>
      </c>
      <c r="F305">
        <v>4</v>
      </c>
      <c r="G305">
        <v>1</v>
      </c>
    </row>
    <row r="306" spans="1:7">
      <c r="A306" s="9">
        <v>45999</v>
      </c>
      <c r="B306">
        <v>250</v>
      </c>
      <c r="C306" t="s">
        <v>5</v>
      </c>
      <c r="D306" t="s">
        <v>4</v>
      </c>
      <c r="E306" t="s">
        <v>82</v>
      </c>
      <c r="F306">
        <v>6</v>
      </c>
      <c r="G306">
        <v>0</v>
      </c>
    </row>
    <row r="307" spans="1:7">
      <c r="A307" s="9">
        <v>45999</v>
      </c>
      <c r="B307">
        <v>250</v>
      </c>
      <c r="C307" t="s">
        <v>5</v>
      </c>
      <c r="D307" t="s">
        <v>5</v>
      </c>
      <c r="E307" t="s">
        <v>82</v>
      </c>
      <c r="F307">
        <v>0</v>
      </c>
      <c r="G307">
        <v>1</v>
      </c>
    </row>
    <row r="308" spans="1:7">
      <c r="A308" s="9">
        <v>46000</v>
      </c>
      <c r="B308">
        <v>251</v>
      </c>
      <c r="C308" t="s">
        <v>4</v>
      </c>
      <c r="D308" t="s">
        <v>5</v>
      </c>
      <c r="E308" t="s">
        <v>73</v>
      </c>
      <c r="F308">
        <v>6</v>
      </c>
      <c r="G308">
        <v>0</v>
      </c>
    </row>
    <row r="309" spans="1:7">
      <c r="A309" s="9">
        <v>46034</v>
      </c>
      <c r="B309">
        <v>253</v>
      </c>
      <c r="C309" t="s">
        <v>5</v>
      </c>
      <c r="D309" t="s">
        <v>5</v>
      </c>
      <c r="E309" t="s">
        <v>73</v>
      </c>
      <c r="F309">
        <v>7</v>
      </c>
      <c r="G309">
        <v>0</v>
      </c>
    </row>
    <row r="310" spans="1:7">
      <c r="A310" s="9">
        <v>46035</v>
      </c>
      <c r="B310">
        <v>254</v>
      </c>
      <c r="C310" t="s">
        <v>4</v>
      </c>
      <c r="D310" t="s">
        <v>5</v>
      </c>
      <c r="E310" t="s">
        <v>73</v>
      </c>
      <c r="F310">
        <v>5</v>
      </c>
      <c r="G310">
        <v>1</v>
      </c>
    </row>
    <row r="311" spans="1:7">
      <c r="A311" s="9">
        <v>46036</v>
      </c>
      <c r="B311">
        <v>255</v>
      </c>
      <c r="C311" t="s">
        <v>4</v>
      </c>
      <c r="D311" t="s">
        <v>5</v>
      </c>
      <c r="E311" t="s">
        <v>73</v>
      </c>
      <c r="F311">
        <v>13</v>
      </c>
      <c r="G311">
        <v>0</v>
      </c>
    </row>
    <row r="312" spans="1:7">
      <c r="A312" s="9">
        <v>46044</v>
      </c>
      <c r="B312">
        <v>256</v>
      </c>
      <c r="C312" t="s">
        <v>5</v>
      </c>
      <c r="D312" t="s">
        <v>4</v>
      </c>
      <c r="E312" t="s">
        <v>73</v>
      </c>
      <c r="F312">
        <v>3</v>
      </c>
      <c r="G312">
        <v>1</v>
      </c>
    </row>
    <row r="313" spans="1:7">
      <c r="A313" s="9">
        <v>46044</v>
      </c>
      <c r="B313">
        <v>256</v>
      </c>
      <c r="C313" t="s">
        <v>5</v>
      </c>
      <c r="D313" t="s">
        <v>4</v>
      </c>
      <c r="E313" t="s">
        <v>82</v>
      </c>
      <c r="F313">
        <v>7</v>
      </c>
      <c r="G313">
        <v>0</v>
      </c>
    </row>
    <row r="314" spans="1:7">
      <c r="A314" s="9">
        <v>46044</v>
      </c>
      <c r="B314">
        <v>256</v>
      </c>
      <c r="C314" t="s">
        <v>5</v>
      </c>
      <c r="D314" t="s">
        <v>5</v>
      </c>
      <c r="E314" t="s">
        <v>82</v>
      </c>
      <c r="F314">
        <v>0</v>
      </c>
      <c r="G314">
        <v>1</v>
      </c>
    </row>
    <row r="315" spans="1:7">
      <c r="A315" s="9">
        <v>46051</v>
      </c>
      <c r="B315">
        <v>257</v>
      </c>
      <c r="C315" t="s">
        <v>5</v>
      </c>
      <c r="D315" t="s">
        <v>4</v>
      </c>
      <c r="E315" t="s">
        <v>73</v>
      </c>
      <c r="F315">
        <v>2</v>
      </c>
      <c r="G315">
        <v>1</v>
      </c>
    </row>
    <row r="316" spans="1:7">
      <c r="A316" s="9">
        <v>46051</v>
      </c>
      <c r="B316">
        <v>257</v>
      </c>
      <c r="C316" t="s">
        <v>5</v>
      </c>
      <c r="D316" t="s">
        <v>5</v>
      </c>
      <c r="E316" t="s">
        <v>73</v>
      </c>
      <c r="F316">
        <v>0</v>
      </c>
      <c r="G316">
        <v>1</v>
      </c>
    </row>
    <row r="317" spans="1:7">
      <c r="A317" s="9">
        <v>46055</v>
      </c>
      <c r="B317">
        <v>258</v>
      </c>
      <c r="C317" t="s">
        <v>4</v>
      </c>
      <c r="D317" t="s">
        <v>5</v>
      </c>
      <c r="E317" t="s">
        <v>73</v>
      </c>
      <c r="F317">
        <v>7</v>
      </c>
      <c r="G317">
        <v>0</v>
      </c>
    </row>
    <row r="318" spans="1:7">
      <c r="A318" s="9">
        <v>46056</v>
      </c>
      <c r="B318">
        <v>259</v>
      </c>
      <c r="C318" t="s">
        <v>4</v>
      </c>
      <c r="D318" t="s">
        <v>4</v>
      </c>
      <c r="E318" t="s">
        <v>73</v>
      </c>
      <c r="F318">
        <v>1</v>
      </c>
      <c r="G318">
        <v>1</v>
      </c>
    </row>
    <row r="319" spans="1:7">
      <c r="A319" s="9">
        <v>46056</v>
      </c>
      <c r="B319">
        <v>259</v>
      </c>
      <c r="C319" t="s">
        <v>4</v>
      </c>
      <c r="D319" t="s">
        <v>5</v>
      </c>
      <c r="E319" t="s">
        <v>73</v>
      </c>
      <c r="F319">
        <v>7</v>
      </c>
      <c r="G319">
        <v>0</v>
      </c>
    </row>
    <row r="320" spans="1:7">
      <c r="A320" s="9">
        <v>46058</v>
      </c>
      <c r="B320">
        <v>260</v>
      </c>
      <c r="C320" t="s">
        <v>5</v>
      </c>
      <c r="D320" t="s">
        <v>4</v>
      </c>
      <c r="E320" t="s">
        <v>73</v>
      </c>
      <c r="F320">
        <v>5</v>
      </c>
      <c r="G320">
        <v>1</v>
      </c>
    </row>
    <row r="321" spans="1:7">
      <c r="A321" s="9">
        <v>46058</v>
      </c>
      <c r="B321">
        <v>260</v>
      </c>
      <c r="C321" t="s">
        <v>5</v>
      </c>
      <c r="D321" t="s">
        <v>4</v>
      </c>
      <c r="E321" t="s">
        <v>82</v>
      </c>
      <c r="F321">
        <v>2</v>
      </c>
      <c r="G321">
        <v>1</v>
      </c>
    </row>
    <row r="322" spans="1:7">
      <c r="A322" s="9">
        <v>46058</v>
      </c>
      <c r="B322">
        <v>260</v>
      </c>
      <c r="C322" t="s">
        <v>5</v>
      </c>
      <c r="D322" t="s">
        <v>5</v>
      </c>
      <c r="E322" t="s">
        <v>73</v>
      </c>
      <c r="F322">
        <v>1</v>
      </c>
      <c r="G322">
        <v>1</v>
      </c>
    </row>
    <row r="323" spans="1:7">
      <c r="A323" s="9">
        <v>46058</v>
      </c>
      <c r="B323">
        <v>260</v>
      </c>
      <c r="C323" t="s">
        <v>5</v>
      </c>
      <c r="D323" t="s">
        <v>5</v>
      </c>
      <c r="E323" t="s">
        <v>82</v>
      </c>
      <c r="F323">
        <v>0</v>
      </c>
      <c r="G323">
        <v>1</v>
      </c>
    </row>
    <row r="324" spans="1:7">
      <c r="A324" s="9">
        <v>46059</v>
      </c>
      <c r="B324">
        <v>261</v>
      </c>
      <c r="C324" t="s">
        <v>5</v>
      </c>
      <c r="D324" t="s">
        <v>5</v>
      </c>
      <c r="E324" t="s">
        <v>73</v>
      </c>
      <c r="F324">
        <v>8</v>
      </c>
      <c r="G324">
        <v>0</v>
      </c>
    </row>
    <row r="325" spans="1:7">
      <c r="A325" s="9">
        <v>46063</v>
      </c>
      <c r="B325">
        <v>262</v>
      </c>
      <c r="C325" t="s">
        <v>5</v>
      </c>
      <c r="D325" t="s">
        <v>5</v>
      </c>
      <c r="E325" t="s">
        <v>73</v>
      </c>
      <c r="F325">
        <v>11</v>
      </c>
      <c r="G325">
        <v>0</v>
      </c>
    </row>
    <row r="326" spans="1:7">
      <c r="A326" s="9">
        <v>46071</v>
      </c>
      <c r="B326">
        <v>263</v>
      </c>
      <c r="C326" t="s">
        <v>5</v>
      </c>
      <c r="D326" t="s">
        <v>5</v>
      </c>
      <c r="E326" t="s">
        <v>73</v>
      </c>
      <c r="F326">
        <v>5</v>
      </c>
      <c r="G326">
        <v>0</v>
      </c>
    </row>
    <row r="327" spans="1:7">
      <c r="A327" s="9">
        <v>46073</v>
      </c>
      <c r="B327">
        <v>264</v>
      </c>
      <c r="C327" t="s">
        <v>4</v>
      </c>
      <c r="D327" t="s">
        <v>5</v>
      </c>
      <c r="E327" t="s">
        <v>73</v>
      </c>
      <c r="F327">
        <v>15</v>
      </c>
      <c r="G327">
        <v>0</v>
      </c>
    </row>
    <row r="328" spans="1:7">
      <c r="A328" s="9">
        <v>46077</v>
      </c>
      <c r="B328">
        <v>265</v>
      </c>
      <c r="C328" t="s">
        <v>4</v>
      </c>
      <c r="D328" t="s">
        <v>4</v>
      </c>
      <c r="E328" t="s">
        <v>73</v>
      </c>
      <c r="F328">
        <v>3</v>
      </c>
      <c r="G328">
        <v>0</v>
      </c>
    </row>
    <row r="329" spans="1:7">
      <c r="A329" s="9">
        <v>46078</v>
      </c>
      <c r="B329">
        <v>266</v>
      </c>
      <c r="C329" t="s">
        <v>4</v>
      </c>
      <c r="D329" t="s">
        <v>5</v>
      </c>
      <c r="E329" t="s">
        <v>73</v>
      </c>
      <c r="F329">
        <v>7</v>
      </c>
      <c r="G329">
        <v>0</v>
      </c>
    </row>
    <row r="330" spans="1:7">
      <c r="A330" s="9">
        <v>46080</v>
      </c>
      <c r="B330">
        <v>267</v>
      </c>
      <c r="C330" t="s">
        <v>5</v>
      </c>
      <c r="D330" t="s">
        <v>4</v>
      </c>
      <c r="E330" t="s">
        <v>73</v>
      </c>
      <c r="F330">
        <v>2</v>
      </c>
      <c r="G330">
        <v>1</v>
      </c>
    </row>
    <row r="331" spans="1:7">
      <c r="A331" s="9">
        <v>46084</v>
      </c>
      <c r="B331">
        <v>268</v>
      </c>
      <c r="C331" t="s">
        <v>5</v>
      </c>
      <c r="D331" t="s">
        <v>4</v>
      </c>
      <c r="E331" t="s">
        <v>73</v>
      </c>
      <c r="F331">
        <v>0</v>
      </c>
      <c r="G331">
        <v>1</v>
      </c>
    </row>
    <row r="332" spans="1:7">
      <c r="A332" s="9">
        <v>46084</v>
      </c>
      <c r="B332">
        <v>268</v>
      </c>
      <c r="C332" t="s">
        <v>5</v>
      </c>
      <c r="D332" t="s">
        <v>5</v>
      </c>
      <c r="E332" t="s">
        <v>73</v>
      </c>
      <c r="F332">
        <v>5</v>
      </c>
      <c r="G332">
        <v>1</v>
      </c>
    </row>
    <row r="333" spans="1:7">
      <c r="A333" s="9">
        <v>46085</v>
      </c>
      <c r="B333">
        <v>269</v>
      </c>
      <c r="C333" t="s">
        <v>4</v>
      </c>
      <c r="D333" t="s">
        <v>5</v>
      </c>
      <c r="E333" t="s">
        <v>73</v>
      </c>
      <c r="F333">
        <v>13</v>
      </c>
      <c r="G333">
        <v>0</v>
      </c>
    </row>
    <row r="334" spans="1:7">
      <c r="A334" s="9">
        <v>46086</v>
      </c>
      <c r="B334">
        <v>270</v>
      </c>
      <c r="C334" t="s">
        <v>5</v>
      </c>
      <c r="D334" t="s">
        <v>4</v>
      </c>
      <c r="E334" t="s">
        <v>73</v>
      </c>
      <c r="F334">
        <v>2</v>
      </c>
      <c r="G334">
        <v>1</v>
      </c>
    </row>
    <row r="335" spans="1:7">
      <c r="A335" s="9">
        <v>46086</v>
      </c>
      <c r="B335">
        <v>270</v>
      </c>
      <c r="C335" t="s">
        <v>5</v>
      </c>
      <c r="D335" t="s">
        <v>5</v>
      </c>
      <c r="E335" t="s">
        <v>73</v>
      </c>
      <c r="F335">
        <v>1</v>
      </c>
      <c r="G335">
        <v>1</v>
      </c>
    </row>
    <row r="336" spans="1:7">
      <c r="A336" s="9">
        <v>46087</v>
      </c>
      <c r="B336">
        <v>271</v>
      </c>
      <c r="C336" t="s">
        <v>5</v>
      </c>
      <c r="D336" t="s">
        <v>4</v>
      </c>
      <c r="E336" t="s">
        <v>73</v>
      </c>
      <c r="F336">
        <v>2</v>
      </c>
      <c r="G336">
        <v>1</v>
      </c>
    </row>
    <row r="337" spans="1:7">
      <c r="A337" s="9">
        <v>46087</v>
      </c>
      <c r="B337">
        <v>271</v>
      </c>
      <c r="C337" t="s">
        <v>5</v>
      </c>
      <c r="D337" t="s">
        <v>5</v>
      </c>
      <c r="E337" t="s">
        <v>73</v>
      </c>
      <c r="F337">
        <v>4</v>
      </c>
      <c r="G337">
        <v>1</v>
      </c>
    </row>
    <row r="338" spans="1:7">
      <c r="A338" s="9">
        <v>46091</v>
      </c>
      <c r="B338">
        <v>272</v>
      </c>
      <c r="C338" t="s">
        <v>5</v>
      </c>
      <c r="D338" t="s">
        <v>5</v>
      </c>
      <c r="E338" t="s">
        <v>73</v>
      </c>
      <c r="F338">
        <v>4</v>
      </c>
      <c r="G338">
        <v>0</v>
      </c>
    </row>
    <row r="339" spans="1:7">
      <c r="A339" s="9">
        <v>46092</v>
      </c>
      <c r="B339">
        <v>273</v>
      </c>
      <c r="C339" t="s">
        <v>4</v>
      </c>
      <c r="D339" t="s">
        <v>4</v>
      </c>
      <c r="E339" t="s">
        <v>83</v>
      </c>
      <c r="F339">
        <v>0</v>
      </c>
      <c r="G339">
        <v>1</v>
      </c>
    </row>
    <row r="340" spans="1:7">
      <c r="A340" s="9">
        <v>46092</v>
      </c>
      <c r="B340">
        <v>273</v>
      </c>
      <c r="C340" t="s">
        <v>4</v>
      </c>
      <c r="D340" t="s">
        <v>5</v>
      </c>
      <c r="E340" t="s">
        <v>73</v>
      </c>
      <c r="F340">
        <v>6</v>
      </c>
      <c r="G340">
        <v>0</v>
      </c>
    </row>
    <row r="341" spans="1:7">
      <c r="A341" s="9">
        <v>46092</v>
      </c>
      <c r="B341">
        <v>273</v>
      </c>
      <c r="C341" t="s">
        <v>4</v>
      </c>
      <c r="D341" t="s">
        <v>5</v>
      </c>
      <c r="E341" t="s">
        <v>83</v>
      </c>
      <c r="F341">
        <v>6</v>
      </c>
      <c r="G341">
        <v>0</v>
      </c>
    </row>
    <row r="342" spans="1:7">
      <c r="A342" s="9">
        <v>46093</v>
      </c>
      <c r="B342">
        <v>274</v>
      </c>
      <c r="C342" t="s">
        <v>5</v>
      </c>
      <c r="D342" t="s">
        <v>4</v>
      </c>
      <c r="E342" t="s">
        <v>83</v>
      </c>
      <c r="F342">
        <v>3</v>
      </c>
      <c r="G342">
        <v>1</v>
      </c>
    </row>
    <row r="343" spans="1:7">
      <c r="A343" s="9">
        <v>46093</v>
      </c>
      <c r="B343">
        <v>274</v>
      </c>
      <c r="C343" t="s">
        <v>5</v>
      </c>
      <c r="D343" t="s">
        <v>5</v>
      </c>
      <c r="E343" t="s">
        <v>73</v>
      </c>
      <c r="F343">
        <v>5</v>
      </c>
      <c r="G343">
        <v>0</v>
      </c>
    </row>
    <row r="344" spans="1:7">
      <c r="A344" s="9">
        <v>46093</v>
      </c>
      <c r="B344">
        <v>274</v>
      </c>
      <c r="C344" t="s">
        <v>5</v>
      </c>
      <c r="D344" t="s">
        <v>5</v>
      </c>
      <c r="E344" t="s">
        <v>83</v>
      </c>
      <c r="F344">
        <v>0</v>
      </c>
      <c r="G344">
        <v>1</v>
      </c>
    </row>
    <row r="345" spans="1:7">
      <c r="A345" s="9">
        <v>46094</v>
      </c>
      <c r="B345">
        <v>275</v>
      </c>
      <c r="C345" t="s">
        <v>4</v>
      </c>
      <c r="D345" t="s">
        <v>4</v>
      </c>
      <c r="E345" t="s">
        <v>83</v>
      </c>
      <c r="F345">
        <v>0</v>
      </c>
      <c r="G345">
        <v>1</v>
      </c>
    </row>
    <row r="346" spans="1:7">
      <c r="A346" s="9">
        <v>46094</v>
      </c>
      <c r="B346">
        <v>275</v>
      </c>
      <c r="C346" t="s">
        <v>4</v>
      </c>
      <c r="D346" t="s">
        <v>5</v>
      </c>
      <c r="E346" t="s">
        <v>73</v>
      </c>
      <c r="F346">
        <v>6</v>
      </c>
      <c r="G346">
        <v>0</v>
      </c>
    </row>
    <row r="347" spans="1:7">
      <c r="A347" s="9">
        <v>46094</v>
      </c>
      <c r="B347">
        <v>275</v>
      </c>
      <c r="C347" t="s">
        <v>4</v>
      </c>
      <c r="D347" t="s">
        <v>5</v>
      </c>
      <c r="E347" t="s">
        <v>83</v>
      </c>
      <c r="F347">
        <v>6</v>
      </c>
      <c r="G347">
        <v>0</v>
      </c>
    </row>
    <row r="348" spans="1:7">
      <c r="A348" s="9">
        <v>46105</v>
      </c>
      <c r="B348">
        <v>276</v>
      </c>
      <c r="C348" t="s">
        <v>4</v>
      </c>
      <c r="D348" t="s">
        <v>4</v>
      </c>
      <c r="E348" t="s">
        <v>73</v>
      </c>
      <c r="F348">
        <v>0</v>
      </c>
      <c r="G348">
        <v>1</v>
      </c>
    </row>
    <row r="349" spans="1:7">
      <c r="A349" s="9">
        <v>46105</v>
      </c>
      <c r="B349">
        <v>276</v>
      </c>
      <c r="C349" t="s">
        <v>4</v>
      </c>
      <c r="D349" t="s">
        <v>4</v>
      </c>
      <c r="E349" t="s">
        <v>83</v>
      </c>
      <c r="F349">
        <v>0</v>
      </c>
      <c r="G349">
        <v>1</v>
      </c>
    </row>
    <row r="350" spans="1:7">
      <c r="A350" s="9">
        <v>46105</v>
      </c>
      <c r="B350">
        <v>276</v>
      </c>
      <c r="C350" t="s">
        <v>4</v>
      </c>
      <c r="D350" t="s">
        <v>5</v>
      </c>
      <c r="E350" t="s">
        <v>73</v>
      </c>
      <c r="F350">
        <v>3</v>
      </c>
      <c r="G350">
        <v>0</v>
      </c>
    </row>
    <row r="351" spans="1:7">
      <c r="A351" s="9">
        <v>46105</v>
      </c>
      <c r="B351">
        <v>276</v>
      </c>
      <c r="C351" t="s">
        <v>4</v>
      </c>
      <c r="D351" t="s">
        <v>5</v>
      </c>
      <c r="E351" t="s">
        <v>83</v>
      </c>
      <c r="F351">
        <v>2</v>
      </c>
      <c r="G351">
        <v>0</v>
      </c>
    </row>
    <row r="352" spans="1:7">
      <c r="A352" s="9">
        <v>46106</v>
      </c>
      <c r="B352">
        <v>277</v>
      </c>
      <c r="C352" t="s">
        <v>4</v>
      </c>
      <c r="D352" t="s">
        <v>4</v>
      </c>
      <c r="E352" t="s">
        <v>83</v>
      </c>
      <c r="F352">
        <v>0</v>
      </c>
      <c r="G352">
        <v>1</v>
      </c>
    </row>
    <row r="353" spans="1:7">
      <c r="A353" s="9">
        <v>46106</v>
      </c>
      <c r="B353">
        <v>277</v>
      </c>
      <c r="C353" t="s">
        <v>4</v>
      </c>
      <c r="D353" t="s">
        <v>5</v>
      </c>
      <c r="E353" t="s">
        <v>73</v>
      </c>
      <c r="F353">
        <v>6</v>
      </c>
      <c r="G353">
        <v>0</v>
      </c>
    </row>
    <row r="354" spans="1:7">
      <c r="A354" s="9">
        <v>46106</v>
      </c>
      <c r="B354">
        <v>277</v>
      </c>
      <c r="C354" t="s">
        <v>4</v>
      </c>
      <c r="D354" t="s">
        <v>5</v>
      </c>
      <c r="E354" t="s">
        <v>83</v>
      </c>
      <c r="F354">
        <v>4</v>
      </c>
      <c r="G354">
        <v>0</v>
      </c>
    </row>
    <row r="355" spans="1:7">
      <c r="A355" s="9">
        <v>46108</v>
      </c>
      <c r="B355">
        <v>278</v>
      </c>
      <c r="C355" t="s">
        <v>5</v>
      </c>
      <c r="D355" t="s">
        <v>4</v>
      </c>
      <c r="E355" t="s">
        <v>73</v>
      </c>
      <c r="F355">
        <v>2</v>
      </c>
      <c r="G355">
        <v>1</v>
      </c>
    </row>
    <row r="356" spans="1:7">
      <c r="A356" s="9">
        <v>46108</v>
      </c>
      <c r="B356">
        <v>278</v>
      </c>
      <c r="C356" t="s">
        <v>5</v>
      </c>
      <c r="D356" t="s">
        <v>4</v>
      </c>
      <c r="E356" t="s">
        <v>83</v>
      </c>
      <c r="F356">
        <v>2</v>
      </c>
      <c r="G356">
        <v>1</v>
      </c>
    </row>
    <row r="357" spans="1:7">
      <c r="A357" s="9">
        <v>46108</v>
      </c>
      <c r="B357">
        <v>278</v>
      </c>
      <c r="C357" t="s">
        <v>5</v>
      </c>
      <c r="D357" t="s">
        <v>5</v>
      </c>
      <c r="E357" t="s">
        <v>73</v>
      </c>
      <c r="F357">
        <v>0</v>
      </c>
      <c r="G357">
        <v>1</v>
      </c>
    </row>
    <row r="358" spans="1:7">
      <c r="A358" s="9">
        <v>46108</v>
      </c>
      <c r="B358">
        <v>278</v>
      </c>
      <c r="C358" t="s">
        <v>5</v>
      </c>
      <c r="D358" t="s">
        <v>5</v>
      </c>
      <c r="E358" t="s">
        <v>83</v>
      </c>
      <c r="F358">
        <v>0</v>
      </c>
      <c r="G358">
        <v>1</v>
      </c>
    </row>
    <row r="359" spans="1:7">
      <c r="A359" s="9">
        <v>46114</v>
      </c>
      <c r="B359">
        <v>279</v>
      </c>
      <c r="C359" t="s">
        <v>5</v>
      </c>
      <c r="D359" t="s">
        <v>4</v>
      </c>
      <c r="E359" t="s">
        <v>83</v>
      </c>
      <c r="F359">
        <v>3</v>
      </c>
      <c r="G359">
        <v>1</v>
      </c>
    </row>
    <row r="360" spans="1:7">
      <c r="A360" s="9">
        <v>46114</v>
      </c>
      <c r="B360">
        <v>279</v>
      </c>
      <c r="C360" t="s">
        <v>5</v>
      </c>
      <c r="D360" t="s">
        <v>5</v>
      </c>
      <c r="E360" t="s">
        <v>73</v>
      </c>
      <c r="F360">
        <v>3</v>
      </c>
      <c r="G360">
        <v>0</v>
      </c>
    </row>
    <row r="361" spans="1:7">
      <c r="A361" s="9">
        <v>46114</v>
      </c>
      <c r="B361">
        <v>279</v>
      </c>
      <c r="C361" t="s">
        <v>5</v>
      </c>
      <c r="D361" t="s">
        <v>5</v>
      </c>
      <c r="E361" t="s">
        <v>83</v>
      </c>
      <c r="F361">
        <v>0</v>
      </c>
      <c r="G361">
        <v>1</v>
      </c>
    </row>
    <row r="362" spans="1:7">
      <c r="A362" s="9">
        <v>46121</v>
      </c>
      <c r="B362">
        <v>280</v>
      </c>
      <c r="C362" t="s">
        <v>4</v>
      </c>
      <c r="D362" t="s">
        <v>4</v>
      </c>
      <c r="E362" t="s">
        <v>83</v>
      </c>
      <c r="F362">
        <v>0</v>
      </c>
      <c r="G362">
        <v>1</v>
      </c>
    </row>
    <row r="363" spans="1:7">
      <c r="A363" s="9">
        <v>46121</v>
      </c>
      <c r="B363">
        <v>280</v>
      </c>
      <c r="C363" t="s">
        <v>4</v>
      </c>
      <c r="D363" t="s">
        <v>5</v>
      </c>
      <c r="E363" t="s">
        <v>73</v>
      </c>
      <c r="F363">
        <v>12</v>
      </c>
      <c r="G363">
        <v>0</v>
      </c>
    </row>
    <row r="364" spans="1:7">
      <c r="A364" s="9">
        <v>46121</v>
      </c>
      <c r="B364">
        <v>280</v>
      </c>
      <c r="C364" t="s">
        <v>4</v>
      </c>
      <c r="D364" t="s">
        <v>5</v>
      </c>
      <c r="E364" t="s">
        <v>83</v>
      </c>
      <c r="F364">
        <v>5</v>
      </c>
      <c r="G364">
        <v>0</v>
      </c>
    </row>
    <row r="365" spans="1:7">
      <c r="A365" s="9">
        <v>46122</v>
      </c>
      <c r="B365">
        <v>281</v>
      </c>
      <c r="C365" t="s">
        <v>5</v>
      </c>
      <c r="D365" t="s">
        <v>4</v>
      </c>
      <c r="E365" t="s">
        <v>83</v>
      </c>
      <c r="F365">
        <v>1</v>
      </c>
      <c r="G365">
        <v>1</v>
      </c>
    </row>
    <row r="366" spans="1:7">
      <c r="A366" s="9">
        <v>46122</v>
      </c>
      <c r="B366">
        <v>281</v>
      </c>
      <c r="C366" t="s">
        <v>5</v>
      </c>
      <c r="D366" t="s">
        <v>5</v>
      </c>
      <c r="E366" t="s">
        <v>73</v>
      </c>
      <c r="F366">
        <v>2</v>
      </c>
      <c r="G366">
        <v>0</v>
      </c>
    </row>
    <row r="367" spans="1:7">
      <c r="A367" s="9">
        <v>46122</v>
      </c>
      <c r="B367">
        <v>281</v>
      </c>
      <c r="C367" t="s">
        <v>5</v>
      </c>
      <c r="D367" t="s">
        <v>5</v>
      </c>
      <c r="E367" t="s">
        <v>83</v>
      </c>
      <c r="F367">
        <v>0</v>
      </c>
      <c r="G367">
        <v>1</v>
      </c>
    </row>
    <row r="368" spans="1:7">
      <c r="A368" s="9">
        <v>46127</v>
      </c>
      <c r="B368">
        <v>282</v>
      </c>
      <c r="C368" t="s">
        <v>4</v>
      </c>
      <c r="D368" t="s">
        <v>4</v>
      </c>
      <c r="E368" t="s">
        <v>83</v>
      </c>
      <c r="F368">
        <v>0</v>
      </c>
      <c r="G368">
        <v>1</v>
      </c>
    </row>
    <row r="369" spans="1:7">
      <c r="A369" s="9">
        <v>46127</v>
      </c>
      <c r="B369">
        <v>282</v>
      </c>
      <c r="C369" t="s">
        <v>4</v>
      </c>
      <c r="D369" t="s">
        <v>5</v>
      </c>
      <c r="E369" t="s">
        <v>73</v>
      </c>
      <c r="F369">
        <v>8</v>
      </c>
      <c r="G369">
        <v>0</v>
      </c>
    </row>
    <row r="370" spans="1:7">
      <c r="A370" s="9">
        <v>46127</v>
      </c>
      <c r="B370">
        <v>282</v>
      </c>
      <c r="C370" t="s">
        <v>4</v>
      </c>
      <c r="D370" t="s">
        <v>5</v>
      </c>
      <c r="E370" t="s">
        <v>83</v>
      </c>
      <c r="F370">
        <v>6</v>
      </c>
      <c r="G370">
        <v>0</v>
      </c>
    </row>
    <row r="371" spans="1:7">
      <c r="A371" s="9">
        <v>46132</v>
      </c>
      <c r="B371">
        <v>283</v>
      </c>
      <c r="C371" t="s">
        <v>4</v>
      </c>
      <c r="D371" t="s">
        <v>4</v>
      </c>
      <c r="E371" t="s">
        <v>83</v>
      </c>
      <c r="F371">
        <v>0</v>
      </c>
      <c r="G371">
        <v>1</v>
      </c>
    </row>
    <row r="372" spans="1:7">
      <c r="A372" s="9">
        <v>46132</v>
      </c>
      <c r="B372">
        <v>283</v>
      </c>
      <c r="C372" t="s">
        <v>4</v>
      </c>
      <c r="D372" t="s">
        <v>5</v>
      </c>
      <c r="E372" t="s">
        <v>73</v>
      </c>
      <c r="F372">
        <v>11</v>
      </c>
      <c r="G372">
        <v>0</v>
      </c>
    </row>
    <row r="373" spans="1:7">
      <c r="A373" s="9">
        <v>46132</v>
      </c>
      <c r="B373">
        <v>283</v>
      </c>
      <c r="C373" t="s">
        <v>4</v>
      </c>
      <c r="D373" t="s">
        <v>5</v>
      </c>
      <c r="E373" t="s">
        <v>83</v>
      </c>
      <c r="F373">
        <v>6</v>
      </c>
      <c r="G373">
        <v>0</v>
      </c>
    </row>
    <row r="374" spans="1:7">
      <c r="A374" s="9">
        <v>46148</v>
      </c>
      <c r="B374">
        <v>284</v>
      </c>
      <c r="C374" t="s">
        <v>4</v>
      </c>
      <c r="D374" t="s">
        <v>4</v>
      </c>
      <c r="E374" t="s">
        <v>83</v>
      </c>
      <c r="F374">
        <v>0</v>
      </c>
      <c r="G374">
        <v>1</v>
      </c>
    </row>
    <row r="375" spans="1:7">
      <c r="A375" s="9">
        <v>46148</v>
      </c>
      <c r="B375">
        <v>284</v>
      </c>
      <c r="C375" t="s">
        <v>4</v>
      </c>
      <c r="D375" t="s">
        <v>5</v>
      </c>
      <c r="E375" t="s">
        <v>73</v>
      </c>
      <c r="F375">
        <v>5</v>
      </c>
      <c r="G375">
        <v>0</v>
      </c>
    </row>
    <row r="376" spans="1:7">
      <c r="A376" s="9">
        <v>46148</v>
      </c>
      <c r="B376">
        <v>284</v>
      </c>
      <c r="C376" t="s">
        <v>4</v>
      </c>
      <c r="D376" t="s">
        <v>5</v>
      </c>
      <c r="E376" t="s">
        <v>83</v>
      </c>
      <c r="F376">
        <v>3</v>
      </c>
      <c r="G376">
        <v>1</v>
      </c>
    </row>
    <row r="377" spans="1:7">
      <c r="A377" s="9">
        <v>46154</v>
      </c>
      <c r="B377">
        <v>285</v>
      </c>
      <c r="C377" t="s">
        <v>4</v>
      </c>
      <c r="D377" t="s">
        <v>4</v>
      </c>
      <c r="E377" t="s">
        <v>73</v>
      </c>
      <c r="F377">
        <v>0</v>
      </c>
      <c r="G377">
        <v>1</v>
      </c>
    </row>
    <row r="378" spans="1:7">
      <c r="A378" s="9">
        <v>46154</v>
      </c>
      <c r="B378">
        <v>285</v>
      </c>
      <c r="C378" t="s">
        <v>4</v>
      </c>
      <c r="D378" t="s">
        <v>4</v>
      </c>
      <c r="E378" t="s">
        <v>83</v>
      </c>
      <c r="F378">
        <v>0</v>
      </c>
      <c r="G378">
        <v>1</v>
      </c>
    </row>
    <row r="379" spans="1:7">
      <c r="A379" s="9">
        <v>46154</v>
      </c>
      <c r="B379">
        <v>285</v>
      </c>
      <c r="C379" t="s">
        <v>4</v>
      </c>
      <c r="D379" t="s">
        <v>5</v>
      </c>
      <c r="E379" t="s">
        <v>73</v>
      </c>
      <c r="F379">
        <v>4</v>
      </c>
      <c r="G379">
        <v>0</v>
      </c>
    </row>
    <row r="380" spans="1:7">
      <c r="A380" s="9">
        <v>46154</v>
      </c>
      <c r="B380">
        <v>285</v>
      </c>
      <c r="C380" t="s">
        <v>4</v>
      </c>
      <c r="D380" t="s">
        <v>5</v>
      </c>
      <c r="E380" t="s">
        <v>83</v>
      </c>
      <c r="F380">
        <v>5</v>
      </c>
      <c r="G380">
        <v>0</v>
      </c>
    </row>
    <row r="381" spans="1:7">
      <c r="A381" s="9">
        <v>46156</v>
      </c>
      <c r="B381">
        <v>286</v>
      </c>
      <c r="C381" t="s">
        <v>5</v>
      </c>
      <c r="D381" t="s">
        <v>4</v>
      </c>
      <c r="E381" t="s">
        <v>83</v>
      </c>
      <c r="F381">
        <v>5</v>
      </c>
      <c r="G381">
        <v>1</v>
      </c>
    </row>
    <row r="382" spans="1:7">
      <c r="A382" s="9">
        <v>46156</v>
      </c>
      <c r="B382">
        <v>286</v>
      </c>
      <c r="C382" t="s">
        <v>5</v>
      </c>
      <c r="D382" t="s">
        <v>5</v>
      </c>
      <c r="E382" t="s">
        <v>73</v>
      </c>
      <c r="F382">
        <v>7</v>
      </c>
      <c r="G382">
        <v>0</v>
      </c>
    </row>
    <row r="383" spans="1:7">
      <c r="A383" s="9">
        <v>46156</v>
      </c>
      <c r="B383">
        <v>286</v>
      </c>
      <c r="C383" t="s">
        <v>5</v>
      </c>
      <c r="D383" t="s">
        <v>5</v>
      </c>
      <c r="E383" t="s">
        <v>83</v>
      </c>
      <c r="F383">
        <v>0</v>
      </c>
      <c r="G383">
        <v>1</v>
      </c>
    </row>
    <row r="384" spans="1:7">
      <c r="A384" s="9">
        <v>46197</v>
      </c>
      <c r="B384">
        <v>287</v>
      </c>
      <c r="C384" t="s">
        <v>5</v>
      </c>
      <c r="D384" t="s">
        <v>4</v>
      </c>
      <c r="E384" t="s">
        <v>73</v>
      </c>
      <c r="F384">
        <v>2</v>
      </c>
      <c r="G384">
        <v>1</v>
      </c>
    </row>
    <row r="385" spans="1:7">
      <c r="A385" s="9">
        <v>46197</v>
      </c>
      <c r="B385">
        <v>287</v>
      </c>
      <c r="C385" t="s">
        <v>5</v>
      </c>
      <c r="D385" t="s">
        <v>4</v>
      </c>
      <c r="E385" t="s">
        <v>83</v>
      </c>
      <c r="F385">
        <v>4</v>
      </c>
      <c r="G385">
        <v>1</v>
      </c>
    </row>
    <row r="386" spans="1:7">
      <c r="A386" s="9">
        <v>46197</v>
      </c>
      <c r="B386">
        <v>287</v>
      </c>
      <c r="C386" t="s">
        <v>5</v>
      </c>
      <c r="D386" t="s">
        <v>5</v>
      </c>
      <c r="E386" t="s">
        <v>73</v>
      </c>
      <c r="F386">
        <v>4</v>
      </c>
      <c r="G386">
        <v>1</v>
      </c>
    </row>
    <row r="387" spans="1:7">
      <c r="A387" s="9">
        <v>46197</v>
      </c>
      <c r="B387">
        <v>287</v>
      </c>
      <c r="C387" t="s">
        <v>5</v>
      </c>
      <c r="D387" t="s">
        <v>5</v>
      </c>
      <c r="E387" t="s">
        <v>83</v>
      </c>
      <c r="F387">
        <v>0</v>
      </c>
      <c r="G387">
        <v>1</v>
      </c>
    </row>
    <row r="388" spans="1:7">
      <c r="A388" s="9">
        <v>46198</v>
      </c>
      <c r="B388">
        <v>288</v>
      </c>
      <c r="C388" t="s">
        <v>4</v>
      </c>
      <c r="D388" t="s">
        <v>4</v>
      </c>
      <c r="E388" t="s">
        <v>73</v>
      </c>
      <c r="F388">
        <v>0</v>
      </c>
      <c r="G388">
        <v>1</v>
      </c>
    </row>
    <row r="389" spans="1:7">
      <c r="A389" s="9">
        <v>46198</v>
      </c>
      <c r="B389">
        <v>288</v>
      </c>
      <c r="C389" t="s">
        <v>4</v>
      </c>
      <c r="D389" t="s">
        <v>4</v>
      </c>
      <c r="E389" t="s">
        <v>83</v>
      </c>
      <c r="F389">
        <v>0</v>
      </c>
      <c r="G389">
        <v>1</v>
      </c>
    </row>
    <row r="390" spans="1:7">
      <c r="A390" s="9">
        <v>46198</v>
      </c>
      <c r="B390">
        <v>288</v>
      </c>
      <c r="C390" t="s">
        <v>4</v>
      </c>
      <c r="D390" t="s">
        <v>5</v>
      </c>
      <c r="E390" t="s">
        <v>73</v>
      </c>
      <c r="F390">
        <v>6</v>
      </c>
      <c r="G390">
        <v>0</v>
      </c>
    </row>
    <row r="391" spans="1:7">
      <c r="A391" s="9">
        <v>46198</v>
      </c>
      <c r="B391">
        <v>288</v>
      </c>
      <c r="C391" t="s">
        <v>4</v>
      </c>
      <c r="D391" t="s">
        <v>5</v>
      </c>
      <c r="E391" t="s">
        <v>83</v>
      </c>
      <c r="F391">
        <v>5</v>
      </c>
      <c r="G391">
        <v>0</v>
      </c>
    </row>
    <row r="392" spans="1:7">
      <c r="A392" s="9">
        <v>46202</v>
      </c>
      <c r="B392">
        <v>289</v>
      </c>
      <c r="C392" t="s">
        <v>5</v>
      </c>
      <c r="D392" t="s">
        <v>4</v>
      </c>
      <c r="E392" t="s">
        <v>83</v>
      </c>
      <c r="F392">
        <v>2</v>
      </c>
      <c r="G392">
        <v>1</v>
      </c>
    </row>
    <row r="393" spans="1:7">
      <c r="A393" s="9">
        <v>46202</v>
      </c>
      <c r="B393">
        <v>289</v>
      </c>
      <c r="C393" t="s">
        <v>5</v>
      </c>
      <c r="D393" t="s">
        <v>5</v>
      </c>
      <c r="E393" t="s">
        <v>73</v>
      </c>
      <c r="F393">
        <v>5</v>
      </c>
      <c r="G393">
        <v>0</v>
      </c>
    </row>
    <row r="394" spans="1:7">
      <c r="A394" s="9">
        <v>46202</v>
      </c>
      <c r="B394">
        <v>289</v>
      </c>
      <c r="C394" t="s">
        <v>5</v>
      </c>
      <c r="D394" t="s">
        <v>5</v>
      </c>
      <c r="E394" t="s">
        <v>83</v>
      </c>
      <c r="F394">
        <v>0</v>
      </c>
      <c r="G394">
        <v>1</v>
      </c>
    </row>
  </sheetData>
  <phoneticPr fontId="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2ABBE-FAC4-104F-9C94-9E82F6025A5C}">
  <dimension ref="A1:W493"/>
  <sheetViews>
    <sheetView zoomScale="125" workbookViewId="0">
      <pane xSplit="2" ySplit="1" topLeftCell="C473" activePane="bottomRight" state="frozen"/>
      <selection pane="topRight" activeCell="C1" sqref="C1"/>
      <selection pane="bottomLeft" activeCell="A2" sqref="A2"/>
      <selection pane="bottomRight" activeCell="F492" sqref="F492"/>
    </sheetView>
  </sheetViews>
  <sheetFormatPr baseColWidth="10" defaultRowHeight="16"/>
  <cols>
    <col min="1" max="3" width="10.83203125" style="1"/>
    <col min="4" max="4" width="12.33203125" style="1" customWidth="1"/>
    <col min="5" max="11" width="10.83203125" style="1"/>
    <col min="12" max="12" width="9.83203125" style="1" bestFit="1" customWidth="1"/>
    <col min="13" max="13" width="7" style="1" bestFit="1" customWidth="1"/>
    <col min="14" max="14" width="4.6640625" style="1" bestFit="1" customWidth="1"/>
    <col min="15" max="15" width="8.5" style="1" bestFit="1" customWidth="1"/>
    <col min="16" max="16" width="9.33203125" style="1" bestFit="1" customWidth="1"/>
    <col min="17" max="17" width="6.6640625" style="1" bestFit="1" customWidth="1"/>
    <col min="18" max="18" width="9.6640625" style="1" bestFit="1" customWidth="1"/>
    <col min="19" max="19" width="10.33203125" style="1" bestFit="1" customWidth="1"/>
    <col min="20" max="20" width="4.83203125" style="1" bestFit="1" customWidth="1"/>
    <col min="21" max="21" width="5.83203125" style="1" bestFit="1" customWidth="1"/>
    <col min="22" max="16384" width="10.83203125" style="1"/>
  </cols>
  <sheetData>
    <row r="1" spans="1:23">
      <c r="A1" s="2" t="s">
        <v>1</v>
      </c>
      <c r="B1" s="1" t="s">
        <v>35</v>
      </c>
      <c r="C1" s="1" t="s">
        <v>42</v>
      </c>
      <c r="D1" s="1" t="s">
        <v>36</v>
      </c>
      <c r="E1" s="1" t="s">
        <v>37</v>
      </c>
      <c r="F1" s="1" t="s">
        <v>53</v>
      </c>
      <c r="G1" s="1" t="s">
        <v>63</v>
      </c>
      <c r="H1" s="1" t="s">
        <v>122</v>
      </c>
      <c r="I1" s="1" t="s">
        <v>0</v>
      </c>
      <c r="L1"/>
      <c r="M1"/>
    </row>
    <row r="2" spans="1:23">
      <c r="A2" s="1">
        <v>71</v>
      </c>
      <c r="B2" s="1" t="s">
        <v>4</v>
      </c>
      <c r="C2" s="1">
        <v>9</v>
      </c>
      <c r="D2" s="1">
        <v>8</v>
      </c>
      <c r="E2" s="1">
        <v>5</v>
      </c>
      <c r="F2" s="1">
        <f>SUMIF(Scores!$F$2:$F$926, 'Next Gen'!$A2, INDEX(Scores!$I$2:$Q$926, 0, MATCH($B2, Scores!$I$1:$Q$1, 0)))</f>
        <v>13</v>
      </c>
      <c r="G2" s="1" t="str">
        <f>INDEX(Scores!$B$2:$B$926, MATCH('Next Gen'!$A3, Scores!$F$2:$F$926, 0))</f>
        <v>high</v>
      </c>
      <c r="H2" s="1" t="str">
        <f>INDEX(Scores!$D$2:$D$926, MATCH('Next Gen'!$A2, Scores!$F$2:$F$926, 0))</f>
        <v>Original</v>
      </c>
      <c r="I2" s="4">
        <f>INDEX(Scores!$E$2:$E$926, MATCH('Next Gen'!$A3, Scores!$F$2:$F$926, 0))</f>
        <v>45772</v>
      </c>
      <c r="L2"/>
      <c r="M2"/>
      <c r="N2"/>
      <c r="O2"/>
      <c r="P2"/>
      <c r="W2" s="1" t="s">
        <v>54</v>
      </c>
    </row>
    <row r="3" spans="1:23">
      <c r="A3" s="1">
        <v>71</v>
      </c>
      <c r="B3" s="1" t="s">
        <v>5</v>
      </c>
      <c r="C3" s="1">
        <v>9</v>
      </c>
      <c r="D3" s="1">
        <v>9</v>
      </c>
      <c r="E3" s="1">
        <v>4</v>
      </c>
      <c r="F3" s="1">
        <f>SUMIF(Scores!$F$2:$F$926, 'Next Gen'!$A3, INDEX(Scores!$I$2:$Q$926, 0, MATCH($B3, Scores!$I$1:$Q$1, 0)))</f>
        <v>8</v>
      </c>
      <c r="G3" s="1" t="str">
        <f>INDEX(Scores!$B$2:$B$926, MATCH('Next Gen'!$A2, Scores!$F$2:$F$926, 0))</f>
        <v>high</v>
      </c>
      <c r="H3" s="1" t="str">
        <f>INDEX(Scores!$D$2:$D$926, MATCH('Next Gen'!$A3, Scores!$F$2:$F$926, 0))</f>
        <v>Original</v>
      </c>
      <c r="I3" s="4">
        <f>INDEX(Scores!$E$2:$E$926, MATCH('Next Gen'!$A2, Scores!$F$2:$F$926, 0))</f>
        <v>45772</v>
      </c>
      <c r="L3" s="5" t="s">
        <v>44</v>
      </c>
      <c r="M3" t="s">
        <v>39</v>
      </c>
      <c r="N3" t="s">
        <v>41</v>
      </c>
      <c r="O3" t="s">
        <v>40</v>
      </c>
      <c r="P3" t="s">
        <v>43</v>
      </c>
      <c r="Q3" t="s">
        <v>45</v>
      </c>
      <c r="R3" t="s">
        <v>60</v>
      </c>
      <c r="S3" t="s">
        <v>56</v>
      </c>
      <c r="T3" t="s">
        <v>64</v>
      </c>
      <c r="U3" t="s">
        <v>112</v>
      </c>
      <c r="W3" s="1" t="s">
        <v>55</v>
      </c>
    </row>
    <row r="4" spans="1:23">
      <c r="A4" s="1">
        <v>72</v>
      </c>
      <c r="B4" s="1" t="s">
        <v>4</v>
      </c>
      <c r="C4" s="1">
        <v>9</v>
      </c>
      <c r="D4" s="1">
        <v>9</v>
      </c>
      <c r="E4" s="1">
        <v>2</v>
      </c>
      <c r="F4" s="1">
        <f>SUMIF(Scores!$F$2:$F$926, 'Next Gen'!$A4, INDEX(Scores!$I$2:$Q$926, 0, MATCH($B4, Scores!$I$1:$Q$1, 0)))</f>
        <v>4</v>
      </c>
      <c r="G4" s="1" t="str">
        <f>INDEX(Scores!$B$2:$B$926, MATCH('Next Gen'!$A5, Scores!$F$2:$F$926, 0))</f>
        <v>mid</v>
      </c>
      <c r="H4" s="1" t="str">
        <f>INDEX(Scores!$D$2:$D$926, MATCH('Next Gen'!$A4, Scores!$F$2:$F$926, 0))</f>
        <v>Original</v>
      </c>
      <c r="I4" s="4">
        <f>INDEX(Scores!$E$2:$E$926, MATCH('Next Gen'!$A5, Scores!$F$2:$F$926, 0))</f>
        <v>45775</v>
      </c>
      <c r="L4" s="6" t="s">
        <v>4</v>
      </c>
      <c r="M4" s="8">
        <v>59</v>
      </c>
      <c r="N4" s="7">
        <v>9.2542372881355934</v>
      </c>
      <c r="O4" s="7">
        <v>5.7457627118644066</v>
      </c>
      <c r="P4" s="7">
        <v>0.978494623655914</v>
      </c>
      <c r="Q4" s="7">
        <v>0.62087912087912089</v>
      </c>
      <c r="R4" s="7">
        <v>2.191740412979351</v>
      </c>
      <c r="S4" s="7">
        <v>0.60752688172043012</v>
      </c>
      <c r="T4" s="7">
        <v>1.3315412186379929</v>
      </c>
      <c r="U4" s="7">
        <v>11.983870967741936</v>
      </c>
      <c r="W4" s="1" t="s">
        <v>61</v>
      </c>
    </row>
    <row r="5" spans="1:23">
      <c r="A5" s="1">
        <v>72</v>
      </c>
      <c r="B5" s="1" t="s">
        <v>5</v>
      </c>
      <c r="C5" s="1">
        <v>9</v>
      </c>
      <c r="D5" s="1">
        <v>5</v>
      </c>
      <c r="E5" s="1">
        <v>1</v>
      </c>
      <c r="F5" s="1">
        <f>SUMIF(Scores!$F$2:$F$926, 'Next Gen'!$A5, INDEX(Scores!$I$2:$Q$926, 0, MATCH($B5, Scores!$I$1:$Q$1, 0)))</f>
        <v>1</v>
      </c>
      <c r="G5" s="1" t="str">
        <f>INDEX(Scores!$B$2:$B$926, MATCH('Next Gen'!$A4, Scores!$F$2:$F$926, 0))</f>
        <v>mid</v>
      </c>
      <c r="H5" s="1" t="str">
        <f>INDEX(Scores!$D$2:$D$926, MATCH('Next Gen'!$A5, Scores!$F$2:$F$926, 0))</f>
        <v>Original</v>
      </c>
      <c r="I5" s="4">
        <f>INDEX(Scores!$E$2:$E$926, MATCH('Next Gen'!$A4, Scores!$F$2:$F$926, 0))</f>
        <v>45775</v>
      </c>
      <c r="L5" s="6" t="s">
        <v>7</v>
      </c>
      <c r="M5" s="8">
        <v>1</v>
      </c>
      <c r="N5" s="7">
        <v>6</v>
      </c>
      <c r="O5" s="7">
        <v>4</v>
      </c>
      <c r="P5" s="7">
        <v>0.66666666666666663</v>
      </c>
      <c r="Q5" s="7">
        <v>0.66666666666666663</v>
      </c>
      <c r="R5" s="7">
        <v>1</v>
      </c>
      <c r="S5" s="7">
        <v>0.44444444444444442</v>
      </c>
      <c r="T5" s="7">
        <v>0.44444444444444442</v>
      </c>
      <c r="U5" s="7">
        <v>4</v>
      </c>
    </row>
    <row r="6" spans="1:23">
      <c r="A6" s="1">
        <v>72</v>
      </c>
      <c r="B6" s="1" t="s">
        <v>7</v>
      </c>
      <c r="C6" s="1">
        <v>9</v>
      </c>
      <c r="D6" s="1">
        <v>3</v>
      </c>
      <c r="E6" s="1">
        <v>0</v>
      </c>
      <c r="F6" s="1">
        <f>SUMIF(Scores!$F$2:$F$926, 'Next Gen'!$A6, INDEX(Scores!$I$2:$Q$926, 0, MATCH($B6, Scores!$I$1:$Q$1, 0)))</f>
        <v>0</v>
      </c>
      <c r="G6" s="1" t="str">
        <f>INDEX(Scores!$B$2:$B$926, MATCH('Next Gen'!$A6, Scores!$F$2:$F$926, 0))</f>
        <v>mid</v>
      </c>
      <c r="H6" s="1" t="str">
        <f>INDEX(Scores!$D$2:$D$926, MATCH('Next Gen'!$A6, Scores!$F$2:$F$926, 0))</f>
        <v>Original</v>
      </c>
      <c r="I6" s="4">
        <f>INDEX(Scores!$E$2:$E$926, MATCH('Next Gen'!$A6, Scores!$F$2:$F$926, 0))</f>
        <v>45775</v>
      </c>
      <c r="L6" s="6" t="s">
        <v>5</v>
      </c>
      <c r="M6" s="8">
        <v>59</v>
      </c>
      <c r="N6" s="7">
        <v>7.7966101694915251</v>
      </c>
      <c r="O6" s="7">
        <v>5.6779661016949152</v>
      </c>
      <c r="P6" s="7">
        <v>0.82437275985663083</v>
      </c>
      <c r="Q6" s="7">
        <v>0.72826086956521741</v>
      </c>
      <c r="R6" s="7">
        <v>1.8119402985074626</v>
      </c>
      <c r="S6" s="7">
        <v>0.60035842293906805</v>
      </c>
      <c r="T6" s="7">
        <v>1.0878136200716846</v>
      </c>
      <c r="U6" s="7">
        <v>9.7903225806451619</v>
      </c>
    </row>
    <row r="7" spans="1:23">
      <c r="A7" s="1">
        <v>73</v>
      </c>
      <c r="B7" s="1" t="s">
        <v>5</v>
      </c>
      <c r="C7" s="1">
        <v>9</v>
      </c>
      <c r="D7" s="1">
        <v>6</v>
      </c>
      <c r="E7" s="1">
        <v>4</v>
      </c>
      <c r="F7" s="1">
        <f>SUMIF(Scores!$F$2:$F$926, 'Next Gen'!$A7, INDEX(Scores!$I$2:$Q$926, 0, MATCH($B7, Scores!$I$1:$Q$1, 0)))</f>
        <v>10</v>
      </c>
      <c r="G7" s="1" t="str">
        <f>INDEX(Scores!$B$2:$B$926, MATCH('Next Gen'!$A8, Scores!$F$2:$F$926, 0))</f>
        <v>high</v>
      </c>
      <c r="H7" s="1" t="str">
        <f>INDEX(Scores!$D$2:$D$926, MATCH('Next Gen'!$A7, Scores!$F$2:$F$926, 0))</f>
        <v>Original</v>
      </c>
      <c r="I7" s="4">
        <f>INDEX(Scores!$E$2:$E$926, MATCH('Next Gen'!$A8, Scores!$F$2:$F$926, 0))</f>
        <v>45775</v>
      </c>
      <c r="L7" s="6" t="s">
        <v>6</v>
      </c>
      <c r="M7" s="8">
        <v>7</v>
      </c>
      <c r="N7" s="7">
        <v>6.1428571428571432</v>
      </c>
      <c r="O7" s="7">
        <v>3.8571428571428572</v>
      </c>
      <c r="P7" s="7">
        <v>0.68253968253968256</v>
      </c>
      <c r="Q7" s="7">
        <v>0.62790697674418605</v>
      </c>
      <c r="R7" s="7">
        <v>1.8148148148148149</v>
      </c>
      <c r="S7" s="7">
        <v>0.42857142857142855</v>
      </c>
      <c r="T7" s="7">
        <v>0.77777777777777779</v>
      </c>
      <c r="U7" s="7">
        <v>7</v>
      </c>
    </row>
    <row r="8" spans="1:23">
      <c r="A8" s="1">
        <v>73</v>
      </c>
      <c r="B8" s="1" t="s">
        <v>4</v>
      </c>
      <c r="C8" s="1">
        <v>9</v>
      </c>
      <c r="D8" s="1">
        <v>9</v>
      </c>
      <c r="E8" s="1">
        <v>2</v>
      </c>
      <c r="F8" s="1">
        <f>SUMIF(Scores!$F$2:$F$926, 'Next Gen'!$A8, INDEX(Scores!$I$2:$Q$926, 0, MATCH($B8, Scores!$I$1:$Q$1, 0)))</f>
        <v>2</v>
      </c>
      <c r="G8" s="1" t="str">
        <f>INDEX(Scores!$B$2:$B$926, MATCH('Next Gen'!$A7, Scores!$F$2:$F$926, 0))</f>
        <v>high</v>
      </c>
      <c r="H8" s="1" t="str">
        <f>INDEX(Scores!$D$2:$D$926, MATCH('Next Gen'!$A8, Scores!$F$2:$F$926, 0))</f>
        <v>Original</v>
      </c>
      <c r="I8" s="4">
        <f>INDEX(Scores!$E$2:$E$926, MATCH('Next Gen'!$A7, Scores!$F$2:$F$926, 0))</f>
        <v>45775</v>
      </c>
      <c r="L8" s="6" t="s">
        <v>23</v>
      </c>
      <c r="M8" s="8">
        <v>3</v>
      </c>
      <c r="N8" s="7">
        <v>4</v>
      </c>
      <c r="O8" s="7">
        <v>2.6666666666666665</v>
      </c>
      <c r="P8" s="7">
        <v>0.44444444444444442</v>
      </c>
      <c r="Q8" s="7">
        <v>0.66666666666666663</v>
      </c>
      <c r="R8" s="7">
        <v>1.875</v>
      </c>
      <c r="S8" s="7">
        <v>0.29629629629629628</v>
      </c>
      <c r="T8" s="7">
        <v>0.55555555555555558</v>
      </c>
      <c r="U8" s="7">
        <v>5</v>
      </c>
    </row>
    <row r="9" spans="1:23">
      <c r="A9" s="1">
        <v>74</v>
      </c>
      <c r="B9" s="1" t="s">
        <v>4</v>
      </c>
      <c r="C9" s="1">
        <v>9</v>
      </c>
      <c r="D9" s="1">
        <v>6</v>
      </c>
      <c r="E9" s="1">
        <v>4</v>
      </c>
      <c r="F9" s="1">
        <f>SUMIF(Scores!$F$2:$F$926, 'Next Gen'!$A9, INDEX(Scores!$I$2:$Q$926, 0, MATCH($B9, Scores!$I$1:$Q$1, 0)))</f>
        <v>7</v>
      </c>
      <c r="G9" s="1" t="str">
        <f>INDEX(Scores!$B$2:$B$926, MATCH('Next Gen'!$A10, Scores!$F$2:$F$926, 0))</f>
        <v>low</v>
      </c>
      <c r="H9" s="1" t="str">
        <f>INDEX(Scores!$D$2:$D$926, MATCH('Next Gen'!$A9, Scores!$F$2:$F$926, 0))</f>
        <v>Original</v>
      </c>
      <c r="I9" s="4">
        <f>INDEX(Scores!$E$2:$E$926, MATCH('Next Gen'!$A10, Scores!$F$2:$F$926, 0))</f>
        <v>45775</v>
      </c>
      <c r="L9" s="6" t="s">
        <v>78</v>
      </c>
      <c r="M9" s="8">
        <v>1</v>
      </c>
      <c r="N9" s="7">
        <v>6</v>
      </c>
      <c r="O9" s="7">
        <v>3</v>
      </c>
      <c r="P9" s="7">
        <v>0.66666666666666663</v>
      </c>
      <c r="Q9" s="7">
        <v>0.5</v>
      </c>
      <c r="R9" s="7">
        <v>1</v>
      </c>
      <c r="S9" s="7">
        <v>0.33333333333333331</v>
      </c>
      <c r="T9" s="7">
        <v>0.33333333333333331</v>
      </c>
      <c r="U9" s="7">
        <v>3</v>
      </c>
    </row>
    <row r="10" spans="1:23">
      <c r="A10" s="1">
        <v>74</v>
      </c>
      <c r="B10" s="1" t="s">
        <v>7</v>
      </c>
      <c r="C10" s="1">
        <v>9</v>
      </c>
      <c r="D10" s="1">
        <v>4</v>
      </c>
      <c r="E10" s="1">
        <v>3</v>
      </c>
      <c r="F10" s="1">
        <f>SUMIF(Scores!$F$2:$F$926, 'Next Gen'!$A10, INDEX(Scores!$I$2:$Q$926, 0, MATCH($B10, Scores!$I$1:$Q$1, 0)))</f>
        <v>3</v>
      </c>
      <c r="G10" s="1" t="str">
        <f>INDEX(Scores!$B$2:$B$926, MATCH('Next Gen'!$A11, Scores!$F$2:$F$926, 0))</f>
        <v>low</v>
      </c>
      <c r="H10" s="1" t="str">
        <f>INDEX(Scores!$D$2:$D$926, MATCH('Next Gen'!$A10, Scores!$F$2:$F$926, 0))</f>
        <v>Original</v>
      </c>
      <c r="I10" s="4">
        <f>INDEX(Scores!$E$2:$E$926, MATCH('Next Gen'!$A11, Scores!$F$2:$F$926, 0))</f>
        <v>45775</v>
      </c>
      <c r="L10" s="6" t="s">
        <v>119</v>
      </c>
      <c r="M10" s="8">
        <v>1</v>
      </c>
      <c r="N10" s="7">
        <v>2</v>
      </c>
      <c r="O10" s="7">
        <v>2</v>
      </c>
      <c r="P10" s="7">
        <v>0.22222222222222221</v>
      </c>
      <c r="Q10" s="7">
        <v>1</v>
      </c>
      <c r="R10" s="7">
        <v>2.5</v>
      </c>
      <c r="S10" s="7">
        <v>0.22222222222222221</v>
      </c>
      <c r="T10" s="7">
        <v>0.55555555555555558</v>
      </c>
      <c r="U10" s="7">
        <v>5</v>
      </c>
    </row>
    <row r="11" spans="1:23">
      <c r="A11" s="1">
        <v>74</v>
      </c>
      <c r="B11" s="1" t="s">
        <v>5</v>
      </c>
      <c r="C11" s="1">
        <v>9</v>
      </c>
      <c r="D11" s="1">
        <v>5</v>
      </c>
      <c r="E11" s="1">
        <v>1</v>
      </c>
      <c r="F11" s="1">
        <f>SUMIF(Scores!$F$2:$F$926, 'Next Gen'!$A11, INDEX(Scores!$I$2:$Q$926, 0, MATCH($B11, Scores!$I$1:$Q$1, 0)))</f>
        <v>1</v>
      </c>
      <c r="G11" s="1" t="str">
        <f>INDEX(Scores!$B$2:$B$926, MATCH('Next Gen'!$A9, Scores!$F$2:$F$926, 0))</f>
        <v>low</v>
      </c>
      <c r="H11" s="1" t="str">
        <f>INDEX(Scores!$D$2:$D$926, MATCH('Next Gen'!$A11, Scores!$F$2:$F$926, 0))</f>
        <v>Original</v>
      </c>
      <c r="I11" s="4">
        <f>INDEX(Scores!$E$2:$E$926, MATCH('Next Gen'!$A9, Scores!$F$2:$F$926, 0))</f>
        <v>45775</v>
      </c>
      <c r="L11" s="6" t="s">
        <v>22</v>
      </c>
      <c r="M11" s="8">
        <v>131</v>
      </c>
      <c r="N11" s="7">
        <v>8.2061068702290072</v>
      </c>
      <c r="O11" s="7">
        <v>5.4809160305343507</v>
      </c>
      <c r="P11" s="7">
        <v>0.87185725871857256</v>
      </c>
      <c r="Q11" s="7">
        <v>0.66790697674418609</v>
      </c>
      <c r="R11" s="7">
        <v>1.9860724233983287</v>
      </c>
      <c r="S11" s="7">
        <v>0.58231954582319545</v>
      </c>
      <c r="T11" s="7">
        <v>1.156528791565288</v>
      </c>
      <c r="U11" s="7">
        <v>10.408759124087592</v>
      </c>
    </row>
    <row r="12" spans="1:23">
      <c r="A12" s="1">
        <v>75</v>
      </c>
      <c r="B12" s="1" t="s">
        <v>5</v>
      </c>
      <c r="C12" s="1">
        <v>12</v>
      </c>
      <c r="D12" s="1">
        <v>8</v>
      </c>
      <c r="E12" s="1">
        <v>6</v>
      </c>
      <c r="F12" s="1">
        <f>SUMIF(Scores!$F$2:$F$926, 'Next Gen'!$A12, INDEX(Scores!$I$2:$Q$926, 0, MATCH($B12, Scores!$I$1:$Q$1, 0)))</f>
        <v>8</v>
      </c>
      <c r="G12" s="1" t="str">
        <f>INDEX(Scores!$B$2:$B$926, MATCH('Next Gen'!$A13, Scores!$F$2:$F$926, 0))</f>
        <v>mid</v>
      </c>
      <c r="H12" s="1" t="str">
        <f>INDEX(Scores!$D$2:$D$926, MATCH('Next Gen'!$A12, Scores!$F$2:$F$926, 0))</f>
        <v>Original</v>
      </c>
      <c r="I12" s="4">
        <f>INDEX(Scores!$E$2:$E$926, MATCH('Next Gen'!$A13, Scores!$F$2:$F$926, 0))</f>
        <v>45775</v>
      </c>
      <c r="L12"/>
      <c r="M12"/>
      <c r="N12"/>
    </row>
    <row r="13" spans="1:23">
      <c r="A13" s="1">
        <v>75</v>
      </c>
      <c r="B13" s="1" t="s">
        <v>4</v>
      </c>
      <c r="C13" s="1">
        <v>12</v>
      </c>
      <c r="D13" s="1">
        <v>12</v>
      </c>
      <c r="E13" s="1">
        <v>5</v>
      </c>
      <c r="F13" s="1">
        <f>SUMIF(Scores!$F$2:$F$926, 'Next Gen'!$A13, INDEX(Scores!$I$2:$Q$926, 0, MATCH($B13, Scores!$I$1:$Q$1, 0)))</f>
        <v>10</v>
      </c>
      <c r="G13" s="1" t="str">
        <f>INDEX(Scores!$B$2:$B$926, MATCH('Next Gen'!$A12, Scores!$F$2:$F$926, 0))</f>
        <v>mid</v>
      </c>
      <c r="H13" s="1" t="str">
        <f>INDEX(Scores!$D$2:$D$926, MATCH('Next Gen'!$A13, Scores!$F$2:$F$926, 0))</f>
        <v>Original</v>
      </c>
      <c r="I13" s="4">
        <f>INDEX(Scores!$E$2:$E$926, MATCH('Next Gen'!$A12, Scores!$F$2:$F$926, 0))</f>
        <v>45775</v>
      </c>
      <c r="L13"/>
      <c r="M13"/>
      <c r="N13"/>
    </row>
    <row r="14" spans="1:23">
      <c r="A14" s="1">
        <v>76</v>
      </c>
      <c r="B14" s="1" t="s">
        <v>4</v>
      </c>
      <c r="C14" s="1">
        <v>9</v>
      </c>
      <c r="D14" s="1">
        <v>8</v>
      </c>
      <c r="E14" s="1">
        <v>3</v>
      </c>
      <c r="F14" s="1">
        <f>SUMIF(Scores!$F$2:$F$926, 'Next Gen'!$A14, INDEX(Scores!$I$2:$Q$926, 0, MATCH($B14, Scores!$I$1:$Q$1, 0)))</f>
        <v>5</v>
      </c>
      <c r="G14" s="1" t="str">
        <f>INDEX(Scores!$B$2:$B$926, MATCH('Next Gen'!$A14, Scores!$F$2:$F$926, 0))</f>
        <v>mid</v>
      </c>
      <c r="H14" s="1" t="str">
        <f>INDEX(Scores!$D$2:$D$926, MATCH('Next Gen'!$A14, Scores!$F$2:$F$926, 0))</f>
        <v>Original</v>
      </c>
      <c r="I14" s="4">
        <f>INDEX(Scores!$E$2:$E$926, MATCH('Next Gen'!$A14, Scores!$F$2:$F$926, 0))</f>
        <v>45776</v>
      </c>
      <c r="L14"/>
      <c r="M14"/>
      <c r="N14"/>
    </row>
    <row r="15" spans="1:23">
      <c r="A15" s="1">
        <v>76</v>
      </c>
      <c r="B15" s="1" t="s">
        <v>5</v>
      </c>
      <c r="C15" s="1">
        <v>9</v>
      </c>
      <c r="D15" s="1">
        <v>6</v>
      </c>
      <c r="E15" s="1">
        <v>0</v>
      </c>
      <c r="F15" s="1">
        <f>SUMIF(Scores!$F$2:$F$926, 'Next Gen'!$A15, INDEX(Scores!$I$2:$Q$926, 0, MATCH($B15, Scores!$I$1:$Q$1, 0)))</f>
        <v>0</v>
      </c>
      <c r="G15" s="1" t="str">
        <f>INDEX(Scores!$B$2:$B$926, MATCH('Next Gen'!$A15, Scores!$F$2:$F$926, 0))</f>
        <v>mid</v>
      </c>
      <c r="H15" s="1" t="str">
        <f>INDEX(Scores!$D$2:$D$926, MATCH('Next Gen'!$A15, Scores!$F$2:$F$926, 0))</f>
        <v>Original</v>
      </c>
      <c r="I15" s="4">
        <f>INDEX(Scores!$E$2:$E$926, MATCH('Next Gen'!$A15, Scores!$F$2:$F$926, 0))</f>
        <v>45776</v>
      </c>
      <c r="L15"/>
      <c r="M15"/>
      <c r="N15"/>
    </row>
    <row r="16" spans="1:23">
      <c r="A16" s="1">
        <v>77</v>
      </c>
      <c r="B16" s="1" t="s">
        <v>5</v>
      </c>
      <c r="C16" s="1">
        <v>9</v>
      </c>
      <c r="D16" s="1">
        <v>5</v>
      </c>
      <c r="E16" s="1">
        <v>3</v>
      </c>
      <c r="F16" s="1">
        <f>SUMIF(Scores!$F$2:$F$926, 'Next Gen'!$A16, INDEX(Scores!$I$2:$Q$926, 0, MATCH($B16, Scores!$I$1:$Q$1, 0)))</f>
        <v>5</v>
      </c>
      <c r="G16" s="1" t="str">
        <f>INDEX(Scores!$B$2:$B$926, MATCH('Next Gen'!$A17, Scores!$F$2:$F$926, 0))</f>
        <v>mid</v>
      </c>
      <c r="H16" s="1" t="str">
        <f>INDEX(Scores!$D$2:$D$926, MATCH('Next Gen'!$A16, Scores!$F$2:$F$926, 0))</f>
        <v>Original</v>
      </c>
      <c r="I16" s="4">
        <f>INDEX(Scores!$E$2:$E$926, MATCH('Next Gen'!$A17, Scores!$F$2:$F$926, 0))</f>
        <v>45776</v>
      </c>
      <c r="L16"/>
      <c r="M16"/>
      <c r="N16"/>
    </row>
    <row r="17" spans="1:16">
      <c r="A17" s="1">
        <v>77</v>
      </c>
      <c r="B17" s="1" t="s">
        <v>6</v>
      </c>
      <c r="C17" s="1">
        <v>9</v>
      </c>
      <c r="D17" s="1">
        <v>5</v>
      </c>
      <c r="E17" s="1">
        <v>3</v>
      </c>
      <c r="F17" s="1">
        <f>SUMIF(Scores!$F$2:$F$926, 'Next Gen'!$A17, INDEX(Scores!$I$2:$Q$926, 0, MATCH($B17, Scores!$I$1:$Q$1, 0)))</f>
        <v>8</v>
      </c>
      <c r="G17" s="1" t="str">
        <f>INDEX(Scores!$B$2:$B$926, MATCH('Next Gen'!$A18, Scores!$F$2:$F$926, 0))</f>
        <v>mid</v>
      </c>
      <c r="H17" s="1" t="str">
        <f>INDEX(Scores!$D$2:$D$926, MATCH('Next Gen'!$A17, Scores!$F$2:$F$926, 0))</f>
        <v>Original</v>
      </c>
      <c r="I17" s="4">
        <f>INDEX(Scores!$E$2:$E$926, MATCH('Next Gen'!$A18, Scores!$F$2:$F$926, 0))</f>
        <v>45776</v>
      </c>
      <c r="L17"/>
      <c r="M17"/>
      <c r="N17"/>
    </row>
    <row r="18" spans="1:16">
      <c r="A18" s="1">
        <v>77</v>
      </c>
      <c r="B18" s="1" t="s">
        <v>4</v>
      </c>
      <c r="C18" s="1">
        <v>9</v>
      </c>
      <c r="D18" s="1">
        <v>9</v>
      </c>
      <c r="E18" s="1">
        <v>1</v>
      </c>
      <c r="F18" s="1">
        <f>SUMIF(Scores!$F$2:$F$926, 'Next Gen'!$A18, INDEX(Scores!$I$2:$Q$926, 0, MATCH($B18, Scores!$I$1:$Q$1, 0)))</f>
        <v>1</v>
      </c>
      <c r="G18" s="1" t="str">
        <f>INDEX(Scores!$B$2:$B$926, MATCH('Next Gen'!$A16, Scores!$F$2:$F$926, 0))</f>
        <v>mid</v>
      </c>
      <c r="H18" s="1" t="str">
        <f>INDEX(Scores!$D$2:$D$926, MATCH('Next Gen'!$A18, Scores!$F$2:$F$926, 0))</f>
        <v>Original</v>
      </c>
      <c r="I18" s="4">
        <f>INDEX(Scores!$E$2:$E$926, MATCH('Next Gen'!$A16, Scores!$F$2:$F$926, 0))</f>
        <v>45776</v>
      </c>
      <c r="L18"/>
      <c r="M18"/>
      <c r="N18"/>
    </row>
    <row r="19" spans="1:16">
      <c r="A19" s="1">
        <v>78</v>
      </c>
      <c r="B19" s="1" t="s">
        <v>4</v>
      </c>
      <c r="C19" s="1">
        <v>9</v>
      </c>
      <c r="D19" s="1">
        <v>8</v>
      </c>
      <c r="E19" s="1">
        <v>5</v>
      </c>
      <c r="F19" s="1">
        <f>SUMIF(Scores!$F$2:$F$926, 'Next Gen'!$A19, INDEX(Scores!$I$2:$Q$926, 0, MATCH($B19, Scores!$I$1:$Q$1, 0)))</f>
        <v>9</v>
      </c>
      <c r="G19" s="1" t="str">
        <f>INDEX(Scores!$B$2:$B$926, MATCH('Next Gen'!$A19, Scores!$F$2:$F$926, 0))</f>
        <v>mid</v>
      </c>
      <c r="H19" s="1" t="str">
        <f>INDEX(Scores!$D$2:$D$926, MATCH('Next Gen'!$A19, Scores!$F$2:$F$926, 0))</f>
        <v>Original</v>
      </c>
      <c r="I19" s="4">
        <f>INDEX(Scores!$E$2:$E$926, MATCH('Next Gen'!$A19, Scores!$F$2:$F$926, 0))</f>
        <v>45776</v>
      </c>
      <c r="L19"/>
      <c r="M19"/>
      <c r="N19"/>
    </row>
    <row r="20" spans="1:16">
      <c r="A20" s="1">
        <v>78</v>
      </c>
      <c r="B20" s="1" t="s">
        <v>7</v>
      </c>
      <c r="C20" s="1">
        <v>9</v>
      </c>
      <c r="D20" s="1">
        <v>6</v>
      </c>
      <c r="E20" s="1">
        <v>2</v>
      </c>
      <c r="F20" s="1">
        <f>SUMIF(Scores!$F$2:$F$926, 'Next Gen'!$A20, INDEX(Scores!$I$2:$Q$926, 0, MATCH($B20, Scores!$I$1:$Q$1, 0)))</f>
        <v>4</v>
      </c>
      <c r="G20" s="1" t="str">
        <f>INDEX(Scores!$B$2:$B$926, MATCH('Next Gen'!$A20, Scores!$F$2:$F$926, 0))</f>
        <v>mid</v>
      </c>
      <c r="H20" s="1" t="str">
        <f>INDEX(Scores!$D$2:$D$926, MATCH('Next Gen'!$A20, Scores!$F$2:$F$926, 0))</f>
        <v>Original</v>
      </c>
      <c r="I20" s="4">
        <f>INDEX(Scores!$E$2:$E$926, MATCH('Next Gen'!$A20, Scores!$F$2:$F$926, 0))</f>
        <v>45776</v>
      </c>
      <c r="L20"/>
      <c r="M20"/>
      <c r="N20"/>
    </row>
    <row r="21" spans="1:16">
      <c r="A21" s="1">
        <v>79</v>
      </c>
      <c r="B21" s="1" t="s">
        <v>7</v>
      </c>
      <c r="C21" s="1">
        <v>9</v>
      </c>
      <c r="D21" s="1">
        <v>5</v>
      </c>
      <c r="E21" s="1">
        <v>3</v>
      </c>
      <c r="F21" s="1">
        <f>SUMIF(Scores!$F$2:$F$926, 'Next Gen'!$A21, INDEX(Scores!$I$2:$Q$926, 0, MATCH($B21, Scores!$I$1:$Q$1, 0)))</f>
        <v>5</v>
      </c>
      <c r="G21" s="1" t="str">
        <f>INDEX(Scores!$B$2:$B$926, MATCH('Next Gen'!$A24, Scores!$F$2:$F$926, 0))</f>
        <v>mid</v>
      </c>
      <c r="H21" s="1" t="str">
        <f>INDEX(Scores!$D$2:$D$926, MATCH('Next Gen'!$A21, Scores!$F$2:$F$926, 0))</f>
        <v>Original</v>
      </c>
      <c r="I21" s="4">
        <f>INDEX(Scores!$E$2:$E$926, MATCH('Next Gen'!$A24, Scores!$F$2:$F$926, 0))</f>
        <v>45776</v>
      </c>
      <c r="L21"/>
      <c r="M21"/>
      <c r="N21"/>
    </row>
    <row r="22" spans="1:16">
      <c r="A22" s="1">
        <v>79</v>
      </c>
      <c r="B22" s="1" t="s">
        <v>4</v>
      </c>
      <c r="C22" s="1">
        <v>9</v>
      </c>
      <c r="D22" s="1">
        <v>7</v>
      </c>
      <c r="E22" s="1">
        <v>3</v>
      </c>
      <c r="F22" s="1">
        <f>SUMIF(Scores!$F$2:$F$926, 'Next Gen'!$A22, INDEX(Scores!$I$2:$Q$926, 0, MATCH($B22, Scores!$I$1:$Q$1, 0)))</f>
        <v>7</v>
      </c>
      <c r="G22" s="1" t="str">
        <f>INDEX(Scores!$B$2:$B$926, MATCH('Next Gen'!$A21, Scores!$F$2:$F$926, 0))</f>
        <v>mid</v>
      </c>
      <c r="H22" s="1" t="str">
        <f>INDEX(Scores!$D$2:$D$926, MATCH('Next Gen'!$A22, Scores!$F$2:$F$926, 0))</f>
        <v>Original</v>
      </c>
      <c r="I22" s="4">
        <f>INDEX(Scores!$E$2:$E$926, MATCH('Next Gen'!$A21, Scores!$F$2:$F$926, 0))</f>
        <v>45776</v>
      </c>
      <c r="L22"/>
      <c r="M22"/>
      <c r="N22"/>
    </row>
    <row r="23" spans="1:16">
      <c r="A23" s="1">
        <v>79</v>
      </c>
      <c r="B23" s="1" t="s">
        <v>5</v>
      </c>
      <c r="C23" s="1">
        <v>9</v>
      </c>
      <c r="D23" s="1">
        <v>6</v>
      </c>
      <c r="E23" s="1">
        <v>1</v>
      </c>
      <c r="F23" s="1">
        <f>SUMIF(Scores!$F$2:$F$926, 'Next Gen'!$A23, INDEX(Scores!$I$2:$Q$926, 0, MATCH($B23, Scores!$I$1:$Q$1, 0)))</f>
        <v>1</v>
      </c>
      <c r="G23" s="1" t="str">
        <f>INDEX(Scores!$B$2:$B$926, MATCH('Next Gen'!$A22, Scores!$F$2:$F$926, 0))</f>
        <v>mid</v>
      </c>
      <c r="H23" s="1" t="str">
        <f>INDEX(Scores!$D$2:$D$926, MATCH('Next Gen'!$A23, Scores!$F$2:$F$926, 0))</f>
        <v>Original</v>
      </c>
      <c r="I23" s="4">
        <f>INDEX(Scores!$E$2:$E$926, MATCH('Next Gen'!$A22, Scores!$F$2:$F$926, 0))</f>
        <v>45776</v>
      </c>
      <c r="L23"/>
      <c r="M23"/>
      <c r="N23"/>
    </row>
    <row r="24" spans="1:16">
      <c r="A24" s="1">
        <v>79</v>
      </c>
      <c r="B24" s="1" t="s">
        <v>6</v>
      </c>
      <c r="C24" s="1">
        <v>9</v>
      </c>
      <c r="D24" s="1">
        <v>2</v>
      </c>
      <c r="E24" s="1">
        <v>1</v>
      </c>
      <c r="F24" s="1">
        <f>SUMIF(Scores!$F$2:$F$926, 'Next Gen'!$A24, INDEX(Scores!$I$2:$Q$926, 0, MATCH($B24, Scores!$I$1:$Q$1, 0)))</f>
        <v>1</v>
      </c>
      <c r="G24" s="1" t="str">
        <f>INDEX(Scores!$B$2:$B$926, MATCH('Next Gen'!$A23, Scores!$F$2:$F$926, 0))</f>
        <v>mid</v>
      </c>
      <c r="H24" s="1" t="str">
        <f>INDEX(Scores!$D$2:$D$926, MATCH('Next Gen'!$A24, Scores!$F$2:$F$926, 0))</f>
        <v>Original</v>
      </c>
      <c r="I24" s="4">
        <f>INDEX(Scores!$E$2:$E$926, MATCH('Next Gen'!$A23, Scores!$F$2:$F$926, 0))</f>
        <v>45776</v>
      </c>
      <c r="L24"/>
      <c r="M24"/>
    </row>
    <row r="25" spans="1:16">
      <c r="A25" s="1">
        <v>80</v>
      </c>
      <c r="B25" s="1" t="s">
        <v>4</v>
      </c>
      <c r="C25" s="1">
        <v>9</v>
      </c>
      <c r="D25" s="1">
        <v>8</v>
      </c>
      <c r="E25" s="1">
        <v>6</v>
      </c>
      <c r="F25" s="1">
        <f>SUMIF(Scores!$F$2:$F$926, 'Next Gen'!$A25, INDEX(Scores!$I$2:$Q$926, 0, MATCH($B25, Scores!$I$1:$Q$1, 0)))</f>
        <v>12</v>
      </c>
      <c r="G25" s="1" t="str">
        <f>INDEX(Scores!$B$2:$B$926, MATCH('Next Gen'!$A27, Scores!$F$2:$F$926, 0))</f>
        <v>mid</v>
      </c>
      <c r="H25" s="1" t="str">
        <f>INDEX(Scores!$D$2:$D$926, MATCH('Next Gen'!$A25, Scores!$F$2:$F$926, 0))</f>
        <v>Original</v>
      </c>
      <c r="I25" s="4">
        <f>INDEX(Scores!$E$2:$E$926, MATCH('Next Gen'!$A27, Scores!$F$2:$F$926, 0))</f>
        <v>45777</v>
      </c>
    </row>
    <row r="26" spans="1:16">
      <c r="A26" s="1">
        <v>80</v>
      </c>
      <c r="B26" s="1" t="s">
        <v>6</v>
      </c>
      <c r="C26" s="1">
        <v>9</v>
      </c>
      <c r="D26" s="1">
        <v>4</v>
      </c>
      <c r="E26" s="1">
        <v>3</v>
      </c>
      <c r="F26" s="1">
        <f>SUMIF(Scores!$F$2:$F$926, 'Next Gen'!$A26, INDEX(Scores!$I$2:$Q$926, 0, MATCH($B26, Scores!$I$1:$Q$1, 0)))</f>
        <v>4</v>
      </c>
      <c r="G26" s="1" t="str">
        <f>INDEX(Scores!$B$2:$B$926, MATCH('Next Gen'!$A26, Scores!$F$2:$F$926, 0))</f>
        <v>mid</v>
      </c>
      <c r="H26" s="1" t="str">
        <f>INDEX(Scores!$D$2:$D$926, MATCH('Next Gen'!$A26, Scores!$F$2:$F$926, 0))</f>
        <v>Original</v>
      </c>
      <c r="I26" s="4">
        <f>INDEX(Scores!$E$2:$E$926, MATCH('Next Gen'!$A26, Scores!$F$2:$F$926, 0))</f>
        <v>45777</v>
      </c>
      <c r="L26"/>
      <c r="M26"/>
      <c r="N26"/>
      <c r="O26"/>
      <c r="P26"/>
    </row>
    <row r="27" spans="1:16">
      <c r="A27" s="1">
        <v>80</v>
      </c>
      <c r="B27" s="1" t="s">
        <v>5</v>
      </c>
      <c r="C27" s="1">
        <v>9</v>
      </c>
      <c r="D27" s="1">
        <v>6</v>
      </c>
      <c r="E27" s="1">
        <v>2</v>
      </c>
      <c r="F27" s="1">
        <f>SUMIF(Scores!$F$2:$F$926, 'Next Gen'!$A27, INDEX(Scores!$I$2:$Q$926, 0, MATCH($B27, Scores!$I$1:$Q$1, 0)))</f>
        <v>3</v>
      </c>
      <c r="G27" s="1" t="str">
        <f>INDEX(Scores!$B$2:$B$926, MATCH('Next Gen'!$A25, Scores!$F$2:$F$926, 0))</f>
        <v>mid</v>
      </c>
      <c r="H27" s="1" t="str">
        <f>INDEX(Scores!$D$2:$D$926, MATCH('Next Gen'!$A27, Scores!$F$2:$F$926, 0))</f>
        <v>Original</v>
      </c>
      <c r="I27" s="4">
        <f>INDEX(Scores!$E$2:$E$926, MATCH('Next Gen'!$A25, Scores!$F$2:$F$926, 0))</f>
        <v>45777</v>
      </c>
      <c r="L27"/>
      <c r="M27"/>
      <c r="N27"/>
      <c r="O27"/>
      <c r="P27"/>
    </row>
    <row r="28" spans="1:16">
      <c r="A28" s="1">
        <v>81</v>
      </c>
      <c r="B28" s="1" t="s">
        <v>4</v>
      </c>
      <c r="C28" s="1">
        <v>9</v>
      </c>
      <c r="D28" s="1">
        <v>8</v>
      </c>
      <c r="E28" s="1">
        <v>4</v>
      </c>
      <c r="F28" s="1">
        <f>SUMIF(Scores!$F$2:$F$926, 'Next Gen'!$A28, INDEX(Scores!$I$2:$Q$926, 0, MATCH($B28, Scores!$I$1:$Q$1, 0)))</f>
        <v>6</v>
      </c>
      <c r="G28" s="1" t="str">
        <f>INDEX(Scores!$B$2:$B$926, MATCH('Next Gen'!$A28, Scores!$F$2:$F$926, 0))</f>
        <v>high</v>
      </c>
      <c r="H28" s="1" t="str">
        <f>INDEX(Scores!$D$2:$D$926, MATCH('Next Gen'!$A28, Scores!$F$2:$F$926, 0))</f>
        <v>Original</v>
      </c>
      <c r="I28" s="4">
        <f>INDEX(Scores!$E$2:$E$926, MATCH('Next Gen'!$A28, Scores!$F$2:$F$926, 0))</f>
        <v>45777</v>
      </c>
      <c r="L28"/>
      <c r="M28"/>
      <c r="N28"/>
      <c r="O28"/>
      <c r="P28"/>
    </row>
    <row r="29" spans="1:16">
      <c r="A29" s="1">
        <v>81</v>
      </c>
      <c r="B29" s="1" t="s">
        <v>5</v>
      </c>
      <c r="C29" s="1">
        <v>9</v>
      </c>
      <c r="D29" s="1">
        <v>4</v>
      </c>
      <c r="E29" s="1">
        <v>0</v>
      </c>
      <c r="F29" s="1">
        <f>SUMIF(Scores!$F$2:$F$926, 'Next Gen'!$A29, INDEX(Scores!$I$2:$Q$926, 0, MATCH($B29, Scores!$I$1:$Q$1, 0)))</f>
        <v>0</v>
      </c>
      <c r="G29" s="1" t="str">
        <f>INDEX(Scores!$B$2:$B$926, MATCH('Next Gen'!$A29, Scores!$F$2:$F$926, 0))</f>
        <v>high</v>
      </c>
      <c r="H29" s="1" t="str">
        <f>INDEX(Scores!$D$2:$D$926, MATCH('Next Gen'!$A29, Scores!$F$2:$F$926, 0))</f>
        <v>Original</v>
      </c>
      <c r="I29" s="4">
        <f>INDEX(Scores!$E$2:$E$926, MATCH('Next Gen'!$A29, Scores!$F$2:$F$926, 0))</f>
        <v>45777</v>
      </c>
      <c r="L29"/>
      <c r="M29"/>
      <c r="N29"/>
      <c r="O29"/>
      <c r="P29"/>
    </row>
    <row r="30" spans="1:16">
      <c r="A30" s="1">
        <v>82</v>
      </c>
      <c r="B30" s="1" t="s">
        <v>4</v>
      </c>
      <c r="C30" s="1">
        <v>9</v>
      </c>
      <c r="D30" s="1">
        <v>8</v>
      </c>
      <c r="E30" s="1">
        <v>6</v>
      </c>
      <c r="F30" s="1">
        <f>SUMIF(Scores!$F$2:$F$926, 'Next Gen'!$A30, INDEX(Scores!$I$2:$Q$926, 0, MATCH($B30, Scores!$I$1:$Q$1, 0)))</f>
        <v>12</v>
      </c>
      <c r="G30" s="1" t="str">
        <f>INDEX(Scores!$B$2:$B$926, MATCH('Next Gen'!$A30, Scores!$F$2:$F$926, 0))</f>
        <v>low</v>
      </c>
      <c r="H30" s="1" t="str">
        <f>INDEX(Scores!$D$2:$D$926, MATCH('Next Gen'!$A30, Scores!$F$2:$F$926, 0))</f>
        <v>Original</v>
      </c>
      <c r="I30" s="4">
        <f>INDEX(Scores!$E$2:$E$926, MATCH('Next Gen'!$A30, Scores!$F$2:$F$926, 0))</f>
        <v>45777</v>
      </c>
      <c r="L30"/>
      <c r="M30"/>
      <c r="N30"/>
      <c r="O30"/>
      <c r="P30"/>
    </row>
    <row r="31" spans="1:16">
      <c r="A31" s="1">
        <v>82</v>
      </c>
      <c r="B31" s="1" t="s">
        <v>7</v>
      </c>
      <c r="C31" s="1">
        <v>9</v>
      </c>
      <c r="D31" s="1">
        <v>3</v>
      </c>
      <c r="E31" s="1">
        <v>2</v>
      </c>
      <c r="F31" s="1">
        <f>SUMIF(Scores!$F$2:$F$926, 'Next Gen'!$A31, INDEX(Scores!$I$2:$Q$926, 0, MATCH($B31, Scores!$I$1:$Q$1, 0)))</f>
        <v>2</v>
      </c>
      <c r="G31" s="1" t="str">
        <f>INDEX(Scores!$B$2:$B$926, MATCH('Next Gen'!$A31, Scores!$F$2:$F$926, 0))</f>
        <v>low</v>
      </c>
      <c r="H31" s="1" t="str">
        <f>INDEX(Scores!$D$2:$D$926, MATCH('Next Gen'!$A31, Scores!$F$2:$F$926, 0))</f>
        <v>Original</v>
      </c>
      <c r="I31" s="4">
        <f>INDEX(Scores!$E$2:$E$926, MATCH('Next Gen'!$A31, Scores!$F$2:$F$926, 0))</f>
        <v>45777</v>
      </c>
      <c r="L31"/>
      <c r="M31"/>
      <c r="N31"/>
      <c r="O31"/>
      <c r="P31"/>
    </row>
    <row r="32" spans="1:16">
      <c r="A32" s="1">
        <v>82</v>
      </c>
      <c r="B32" s="1" t="s">
        <v>5</v>
      </c>
      <c r="C32" s="1">
        <v>9</v>
      </c>
      <c r="D32" s="1">
        <v>7</v>
      </c>
      <c r="E32" s="1">
        <v>2</v>
      </c>
      <c r="F32" s="1">
        <f>SUMIF(Scores!$F$2:$F$926, 'Next Gen'!$A32, INDEX(Scores!$I$2:$Q$926, 0, MATCH($B32, Scores!$I$1:$Q$1, 0)))</f>
        <v>5</v>
      </c>
      <c r="G32" s="1" t="str">
        <f>INDEX(Scores!$B$2:$B$926, MATCH('Next Gen'!$A32, Scores!$F$2:$F$926, 0))</f>
        <v>low</v>
      </c>
      <c r="H32" s="1" t="str">
        <f>INDEX(Scores!$D$2:$D$926, MATCH('Next Gen'!$A32, Scores!$F$2:$F$926, 0))</f>
        <v>Original</v>
      </c>
      <c r="I32" s="4">
        <f>INDEX(Scores!$E$2:$E$926, MATCH('Next Gen'!$A32, Scores!$F$2:$F$926, 0))</f>
        <v>45777</v>
      </c>
      <c r="L32"/>
      <c r="M32"/>
      <c r="N32"/>
      <c r="O32"/>
      <c r="P32"/>
    </row>
    <row r="33" spans="1:16">
      <c r="A33" s="1">
        <v>83</v>
      </c>
      <c r="B33" s="1" t="s">
        <v>4</v>
      </c>
      <c r="C33" s="1">
        <v>9</v>
      </c>
      <c r="D33" s="1">
        <v>9</v>
      </c>
      <c r="E33" s="1">
        <v>6</v>
      </c>
      <c r="F33" s="1">
        <f>SUMIF(Scores!$F$2:$F$926, 'Next Gen'!$A33, INDEX(Scores!$I$2:$Q$926, 0, MATCH($B33, Scores!$I$1:$Q$1, 0)))</f>
        <v>12</v>
      </c>
      <c r="G33" s="1" t="str">
        <f>INDEX(Scores!$B$2:$B$926, MATCH('Next Gen'!$A33, Scores!$F$2:$F$926, 0))</f>
        <v>mid</v>
      </c>
      <c r="H33" s="1" t="str">
        <f>INDEX(Scores!$D$2:$D$926, MATCH('Next Gen'!$A33, Scores!$F$2:$F$926, 0))</f>
        <v>Original</v>
      </c>
      <c r="I33" s="4">
        <f>INDEX(Scores!$E$2:$E$926, MATCH('Next Gen'!$A33, Scores!$F$2:$F$926, 0))</f>
        <v>45777</v>
      </c>
      <c r="L33"/>
      <c r="M33"/>
      <c r="N33"/>
      <c r="O33"/>
      <c r="P33"/>
    </row>
    <row r="34" spans="1:16">
      <c r="A34" s="1">
        <v>83</v>
      </c>
      <c r="B34" s="1" t="s">
        <v>5</v>
      </c>
      <c r="C34" s="1">
        <v>9</v>
      </c>
      <c r="D34" s="1">
        <v>5</v>
      </c>
      <c r="E34" s="1">
        <v>3</v>
      </c>
      <c r="F34" s="1">
        <f>SUMIF(Scores!$F$2:$F$926, 'Next Gen'!$A34, INDEX(Scores!$I$2:$Q$926, 0, MATCH($B34, Scores!$I$1:$Q$1, 0)))</f>
        <v>5</v>
      </c>
      <c r="G34" s="1" t="str">
        <f>INDEX(Scores!$B$2:$B$926, MATCH('Next Gen'!$A34, Scores!$F$2:$F$926, 0))</f>
        <v>mid</v>
      </c>
      <c r="H34" s="1" t="str">
        <f>INDEX(Scores!$D$2:$D$926, MATCH('Next Gen'!$A34, Scores!$F$2:$F$926, 0))</f>
        <v>Original</v>
      </c>
      <c r="I34" s="4">
        <f>INDEX(Scores!$E$2:$E$926, MATCH('Next Gen'!$A34, Scores!$F$2:$F$926, 0))</f>
        <v>45777</v>
      </c>
      <c r="L34"/>
      <c r="M34"/>
      <c r="N34"/>
      <c r="O34"/>
      <c r="P34"/>
    </row>
    <row r="35" spans="1:16">
      <c r="A35" s="1">
        <v>84</v>
      </c>
      <c r="B35" s="1" t="s">
        <v>4</v>
      </c>
      <c r="C35" s="1">
        <v>9</v>
      </c>
      <c r="D35" s="1">
        <v>9</v>
      </c>
      <c r="E35" s="1">
        <v>5</v>
      </c>
      <c r="F35" s="1">
        <f>SUMIF(Scores!$F$2:$F$926, 'Next Gen'!$A35, INDEX(Scores!$I$2:$Q$926, 0, MATCH($B35, Scores!$I$1:$Q$1, 0)))</f>
        <v>10</v>
      </c>
      <c r="G35" s="1" t="str">
        <f>INDEX(Scores!$B$2:$B$926, MATCH('Next Gen'!$A35, Scores!$F$2:$F$926, 0))</f>
        <v>mid</v>
      </c>
      <c r="H35" s="1" t="str">
        <f>INDEX(Scores!$D$2:$D$926, MATCH('Next Gen'!$A35, Scores!$F$2:$F$926, 0))</f>
        <v>Original</v>
      </c>
      <c r="I35" s="4">
        <f>INDEX(Scores!$E$2:$E$926, MATCH('Next Gen'!$A35, Scores!$F$2:$F$926, 0))</f>
        <v>45778</v>
      </c>
      <c r="L35"/>
      <c r="M35"/>
      <c r="N35"/>
      <c r="O35"/>
      <c r="P35"/>
    </row>
    <row r="36" spans="1:16">
      <c r="A36" s="1">
        <v>84</v>
      </c>
      <c r="B36" s="1" t="s">
        <v>5</v>
      </c>
      <c r="C36" s="1">
        <v>9</v>
      </c>
      <c r="D36" s="1">
        <v>4</v>
      </c>
      <c r="E36" s="1">
        <v>3</v>
      </c>
      <c r="F36" s="1">
        <f>SUMIF(Scores!$F$2:$F$926, 'Next Gen'!$A36, INDEX(Scores!$I$2:$Q$926, 0, MATCH($B36, Scores!$I$1:$Q$1, 0)))</f>
        <v>5</v>
      </c>
      <c r="G36" s="1" t="str">
        <f>INDEX(Scores!$B$2:$B$926, MATCH('Next Gen'!$A36, Scores!$F$2:$F$926, 0))</f>
        <v>mid</v>
      </c>
      <c r="H36" s="1" t="str">
        <f>INDEX(Scores!$D$2:$D$926, MATCH('Next Gen'!$A36, Scores!$F$2:$F$926, 0))</f>
        <v>Original</v>
      </c>
      <c r="I36" s="4">
        <f>INDEX(Scores!$E$2:$E$926, MATCH('Next Gen'!$A36, Scores!$F$2:$F$926, 0))</f>
        <v>45778</v>
      </c>
      <c r="L36"/>
      <c r="M36"/>
      <c r="N36"/>
      <c r="O36"/>
      <c r="P36"/>
    </row>
    <row r="37" spans="1:16">
      <c r="A37" s="1">
        <v>85</v>
      </c>
      <c r="B37" s="1" t="s">
        <v>4</v>
      </c>
      <c r="C37" s="1">
        <v>12</v>
      </c>
      <c r="D37" s="1">
        <v>10</v>
      </c>
      <c r="E37" s="1">
        <v>6</v>
      </c>
      <c r="F37" s="1">
        <f>SUMIF(Scores!$F$2:$F$926, 'Next Gen'!$A37, INDEX(Scores!$I$2:$Q$926, 0, MATCH($B37, Scores!$I$1:$Q$1, 0)))</f>
        <v>10</v>
      </c>
      <c r="G37" s="1" t="str">
        <f>INDEX(Scores!$B$2:$B$926, MATCH('Next Gen'!$A37, Scores!$F$2:$F$926, 0))</f>
        <v>high</v>
      </c>
      <c r="H37" s="1" t="str">
        <f>INDEX(Scores!$D$2:$D$926, MATCH('Next Gen'!$A37, Scores!$F$2:$F$926, 0))</f>
        <v>Original</v>
      </c>
      <c r="I37" s="4">
        <f>INDEX(Scores!$E$2:$E$926, MATCH('Next Gen'!$A37, Scores!$F$2:$F$926, 0))</f>
        <v>45778</v>
      </c>
      <c r="L37"/>
      <c r="M37"/>
      <c r="N37"/>
      <c r="O37"/>
      <c r="P37"/>
    </row>
    <row r="38" spans="1:16">
      <c r="A38" s="1">
        <v>85</v>
      </c>
      <c r="B38" s="1" t="s">
        <v>5</v>
      </c>
      <c r="C38" s="1">
        <v>12</v>
      </c>
      <c r="D38" s="1">
        <v>9</v>
      </c>
      <c r="E38" s="1">
        <v>3</v>
      </c>
      <c r="F38" s="1">
        <f>SUMIF(Scores!$F$2:$F$926, 'Next Gen'!$A38, INDEX(Scores!$I$2:$Q$926, 0, MATCH($B38, Scores!$I$1:$Q$1, 0)))</f>
        <v>6</v>
      </c>
      <c r="G38" s="1" t="str">
        <f>INDEX(Scores!$B$2:$B$926, MATCH('Next Gen'!$A38, Scores!$F$2:$F$926, 0))</f>
        <v>high</v>
      </c>
      <c r="H38" s="1" t="str">
        <f>INDEX(Scores!$D$2:$D$926, MATCH('Next Gen'!$A38, Scores!$F$2:$F$926, 0))</f>
        <v>Original</v>
      </c>
      <c r="I38" s="4">
        <f>INDEX(Scores!$E$2:$E$926, MATCH('Next Gen'!$A38, Scores!$F$2:$F$926, 0))</f>
        <v>45778</v>
      </c>
      <c r="L38"/>
      <c r="M38"/>
      <c r="N38"/>
      <c r="O38"/>
      <c r="P38"/>
    </row>
    <row r="39" spans="1:16">
      <c r="A39" s="1">
        <v>86</v>
      </c>
      <c r="B39" s="1" t="s">
        <v>4</v>
      </c>
      <c r="C39" s="1">
        <v>9</v>
      </c>
      <c r="D39" s="1">
        <v>6</v>
      </c>
      <c r="E39" s="1">
        <v>4</v>
      </c>
      <c r="F39" s="1">
        <f>SUMIF(Scores!$F$2:$F$926, 'Next Gen'!$A39, INDEX(Scores!$I$2:$Q$926, 0, MATCH($B39, Scores!$I$1:$Q$1, 0)))</f>
        <v>8</v>
      </c>
      <c r="G39" s="1" t="str">
        <f>INDEX(Scores!$B$2:$B$926, MATCH('Next Gen'!$A39, Scores!$F$2:$F$926, 0))</f>
        <v>low</v>
      </c>
      <c r="H39" s="1" t="str">
        <f>INDEX(Scores!$D$2:$D$926, MATCH('Next Gen'!$A39, Scores!$F$2:$F$926, 0))</f>
        <v>Original</v>
      </c>
      <c r="I39" s="4">
        <f>INDEX(Scores!$E$2:$E$926, MATCH('Next Gen'!$A39, Scores!$F$2:$F$926, 0))</f>
        <v>45778</v>
      </c>
      <c r="L39"/>
      <c r="M39"/>
      <c r="N39"/>
      <c r="O39"/>
      <c r="P39"/>
    </row>
    <row r="40" spans="1:16">
      <c r="A40" s="1">
        <v>86</v>
      </c>
      <c r="B40" s="1" t="s">
        <v>5</v>
      </c>
      <c r="C40" s="1">
        <v>9</v>
      </c>
      <c r="D40" s="1">
        <v>5</v>
      </c>
      <c r="E40" s="1">
        <v>2</v>
      </c>
      <c r="F40" s="1">
        <f>SUMIF(Scores!$F$2:$F$926, 'Next Gen'!$A40, INDEX(Scores!$I$2:$Q$926, 0, MATCH($B40, Scores!$I$1:$Q$1, 0)))</f>
        <v>4</v>
      </c>
      <c r="G40" s="1" t="str">
        <f>INDEX(Scores!$B$2:$B$926, MATCH('Next Gen'!$A40, Scores!$F$2:$F$926, 0))</f>
        <v>low</v>
      </c>
      <c r="H40" s="1" t="str">
        <f>INDEX(Scores!$D$2:$D$926, MATCH('Next Gen'!$A40, Scores!$F$2:$F$926, 0))</f>
        <v>Original</v>
      </c>
      <c r="I40" s="4">
        <f>INDEX(Scores!$E$2:$E$926, MATCH('Next Gen'!$A40, Scores!$F$2:$F$926, 0))</f>
        <v>45778</v>
      </c>
      <c r="L40"/>
      <c r="M40"/>
      <c r="N40"/>
      <c r="O40"/>
      <c r="P40"/>
    </row>
    <row r="41" spans="1:16">
      <c r="A41" s="1">
        <v>87</v>
      </c>
      <c r="B41" s="1" t="s">
        <v>4</v>
      </c>
      <c r="C41" s="1">
        <v>9</v>
      </c>
      <c r="D41" s="1">
        <v>7</v>
      </c>
      <c r="E41" s="1">
        <v>2</v>
      </c>
      <c r="F41" s="1">
        <f>SUMIF(Scores!$F$2:$F$926, 'Next Gen'!$A41, INDEX(Scores!$I$2:$Q$926, 0, MATCH($B41, Scores!$I$1:$Q$1, 0)))</f>
        <v>4</v>
      </c>
      <c r="G41" s="1" t="str">
        <f>INDEX(Scores!$B$2:$B$926, MATCH('Next Gen'!$A41, Scores!$F$2:$F$926, 0))</f>
        <v>low</v>
      </c>
      <c r="H41" s="1" t="str">
        <f>INDEX(Scores!$D$2:$D$926, MATCH('Next Gen'!$A41, Scores!$F$2:$F$926, 0))</f>
        <v>Original</v>
      </c>
      <c r="I41" s="4">
        <f>INDEX(Scores!$E$2:$E$926, MATCH('Next Gen'!$A41, Scores!$F$2:$F$926, 0))</f>
        <v>45778</v>
      </c>
      <c r="L41"/>
      <c r="M41"/>
      <c r="N41"/>
      <c r="O41"/>
      <c r="P41"/>
    </row>
    <row r="42" spans="1:16">
      <c r="A42" s="1">
        <v>87</v>
      </c>
      <c r="B42" s="1" t="s">
        <v>5</v>
      </c>
      <c r="C42" s="1">
        <v>9</v>
      </c>
      <c r="D42" s="1">
        <v>6</v>
      </c>
      <c r="E42" s="1">
        <v>1</v>
      </c>
      <c r="F42" s="1">
        <f>SUMIF(Scores!$F$2:$F$926, 'Next Gen'!$A42, INDEX(Scores!$I$2:$Q$926, 0, MATCH($B42, Scores!$I$1:$Q$1, 0)))</f>
        <v>3</v>
      </c>
      <c r="G42" s="1" t="str">
        <f>INDEX(Scores!$B$2:$B$926, MATCH('Next Gen'!$A42, Scores!$F$2:$F$926, 0))</f>
        <v>low</v>
      </c>
      <c r="H42" s="1" t="str">
        <f>INDEX(Scores!$D$2:$D$926, MATCH('Next Gen'!$A42, Scores!$F$2:$F$926, 0))</f>
        <v>Original</v>
      </c>
      <c r="I42" s="4">
        <f>INDEX(Scores!$E$2:$E$926, MATCH('Next Gen'!$A42, Scores!$F$2:$F$926, 0))</f>
        <v>45778</v>
      </c>
      <c r="L42"/>
      <c r="M42"/>
      <c r="N42"/>
      <c r="O42"/>
      <c r="P42"/>
    </row>
    <row r="43" spans="1:16">
      <c r="A43" s="1">
        <v>88</v>
      </c>
      <c r="B43" s="1" t="s">
        <v>5</v>
      </c>
      <c r="C43" s="1">
        <v>9</v>
      </c>
      <c r="D43" s="1">
        <v>7</v>
      </c>
      <c r="E43" s="1">
        <v>5</v>
      </c>
      <c r="F43" s="1">
        <f>SUMIF(Scores!$F$2:$F$926, 'Next Gen'!$A43, INDEX(Scores!$I$2:$Q$926, 0, MATCH($B43, Scores!$I$1:$Q$1, 0)))</f>
        <v>8</v>
      </c>
      <c r="G43" s="1" t="str">
        <f>INDEX(Scores!$B$2:$B$926, MATCH('Next Gen'!$A44, Scores!$F$2:$F$926, 0))</f>
        <v>mid</v>
      </c>
      <c r="H43" s="1" t="str">
        <f>INDEX(Scores!$D$2:$D$926, MATCH('Next Gen'!$A43, Scores!$F$2:$F$926, 0))</f>
        <v>Original</v>
      </c>
      <c r="I43" s="4">
        <f>INDEX(Scores!$E$2:$E$926, MATCH('Next Gen'!$A44, Scores!$F$2:$F$926, 0))</f>
        <v>45779</v>
      </c>
      <c r="L43"/>
      <c r="M43"/>
      <c r="N43"/>
      <c r="O43"/>
      <c r="P43"/>
    </row>
    <row r="44" spans="1:16">
      <c r="A44" s="1">
        <v>88</v>
      </c>
      <c r="B44" s="1" t="s">
        <v>4</v>
      </c>
      <c r="C44" s="1">
        <v>9</v>
      </c>
      <c r="D44" s="1">
        <v>9</v>
      </c>
      <c r="E44" s="1">
        <v>5</v>
      </c>
      <c r="F44" s="1">
        <f>SUMIF(Scores!$F$2:$F$926, 'Next Gen'!$A44, INDEX(Scores!$I$2:$Q$926, 0, MATCH($B44, Scores!$I$1:$Q$1, 0)))</f>
        <v>9</v>
      </c>
      <c r="G44" s="1" t="str">
        <f>INDEX(Scores!$B$2:$B$926, MATCH('Next Gen'!$A43, Scores!$F$2:$F$926, 0))</f>
        <v>mid</v>
      </c>
      <c r="H44" s="1" t="str">
        <f>INDEX(Scores!$D$2:$D$926, MATCH('Next Gen'!$A44, Scores!$F$2:$F$926, 0))</f>
        <v>Original</v>
      </c>
      <c r="I44" s="4">
        <f>INDEX(Scores!$E$2:$E$926, MATCH('Next Gen'!$A43, Scores!$F$2:$F$926, 0))</f>
        <v>45779</v>
      </c>
      <c r="L44"/>
      <c r="M44"/>
      <c r="N44"/>
      <c r="O44"/>
      <c r="P44"/>
    </row>
    <row r="45" spans="1:16">
      <c r="A45" s="1">
        <v>89</v>
      </c>
      <c r="B45" s="1" t="s">
        <v>5</v>
      </c>
      <c r="C45" s="1">
        <v>9</v>
      </c>
      <c r="D45" s="1">
        <v>6</v>
      </c>
      <c r="E45" s="1">
        <v>3</v>
      </c>
      <c r="F45" s="1">
        <f>SUMIF(Scores!$F$2:$F$926, 'Next Gen'!$A45, INDEX(Scores!$I$2:$Q$926, 0, MATCH($B45, Scores!$I$1:$Q$1, 0)))</f>
        <v>4</v>
      </c>
      <c r="G45" s="1" t="str">
        <f>INDEX(Scores!$B$2:$B$926, MATCH('Next Gen'!$A46, Scores!$F$2:$F$926, 0))</f>
        <v>high</v>
      </c>
      <c r="H45" s="1" t="str">
        <f>INDEX(Scores!$D$2:$D$926, MATCH('Next Gen'!$A45, Scores!$F$2:$F$926, 0))</f>
        <v>Original</v>
      </c>
      <c r="I45" s="4">
        <f>INDEX(Scores!$E$2:$E$926, MATCH('Next Gen'!$A46, Scores!$F$2:$F$926, 0))</f>
        <v>45779</v>
      </c>
      <c r="L45"/>
      <c r="M45"/>
      <c r="N45"/>
      <c r="O45"/>
      <c r="P45"/>
    </row>
    <row r="46" spans="1:16">
      <c r="A46" s="1">
        <v>89</v>
      </c>
      <c r="B46" s="1" t="s">
        <v>23</v>
      </c>
      <c r="C46" s="1">
        <v>9</v>
      </c>
      <c r="D46" s="1">
        <v>2</v>
      </c>
      <c r="E46" s="1">
        <v>2</v>
      </c>
      <c r="F46" s="1">
        <f>SUMIF(Scores!$F$2:$F$926, 'Next Gen'!$A46, INDEX(Scores!$I$2:$Q$926, 0, MATCH($B46, Scores!$I$1:$Q$1, 0)))</f>
        <v>2</v>
      </c>
      <c r="G46" s="1" t="str">
        <f>INDEX(Scores!$B$2:$B$926, MATCH('Next Gen'!$A47, Scores!$F$2:$F$926, 0))</f>
        <v>high</v>
      </c>
      <c r="H46" s="1" t="str">
        <f>INDEX(Scores!$D$2:$D$926, MATCH('Next Gen'!$A46, Scores!$F$2:$F$926, 0))</f>
        <v>Original</v>
      </c>
      <c r="I46" s="4">
        <f>INDEX(Scores!$E$2:$E$926, MATCH('Next Gen'!$A47, Scores!$F$2:$F$926, 0))</f>
        <v>45779</v>
      </c>
      <c r="L46"/>
      <c r="M46"/>
      <c r="N46"/>
      <c r="O46"/>
      <c r="P46"/>
    </row>
    <row r="47" spans="1:16">
      <c r="A47" s="1">
        <v>89</v>
      </c>
      <c r="B47" s="1" t="s">
        <v>4</v>
      </c>
      <c r="C47" s="1">
        <v>9</v>
      </c>
      <c r="D47" s="1">
        <v>8</v>
      </c>
      <c r="E47" s="1">
        <v>2</v>
      </c>
      <c r="F47" s="1">
        <f>SUMIF(Scores!$F$2:$F$926, 'Next Gen'!$A47, INDEX(Scores!$I$2:$Q$926, 0, MATCH($B47, Scores!$I$1:$Q$1, 0)))</f>
        <v>2</v>
      </c>
      <c r="G47" s="1" t="str">
        <f>INDEX(Scores!$B$2:$B$926, MATCH('Next Gen'!$A45, Scores!$F$2:$F$926, 0))</f>
        <v>high</v>
      </c>
      <c r="H47" s="1" t="str">
        <f>INDEX(Scores!$D$2:$D$926, MATCH('Next Gen'!$A47, Scores!$F$2:$F$926, 0))</f>
        <v>Original</v>
      </c>
      <c r="I47" s="4">
        <f>INDEX(Scores!$E$2:$E$926, MATCH('Next Gen'!$A45, Scores!$F$2:$F$926, 0))</f>
        <v>45779</v>
      </c>
      <c r="L47"/>
      <c r="M47"/>
      <c r="N47"/>
      <c r="O47"/>
      <c r="P47"/>
    </row>
    <row r="48" spans="1:16">
      <c r="A48" s="1">
        <v>90</v>
      </c>
      <c r="B48" s="1" t="s">
        <v>4</v>
      </c>
      <c r="C48" s="1">
        <v>9</v>
      </c>
      <c r="D48" s="1">
        <v>7</v>
      </c>
      <c r="E48" s="1">
        <v>2</v>
      </c>
      <c r="F48" s="1">
        <f>SUMIF(Scores!$F$2:$F$926, 'Next Gen'!$A48, INDEX(Scores!$I$2:$Q$926, 0, MATCH($B48, Scores!$I$1:$Q$1, 0)))</f>
        <v>2</v>
      </c>
      <c r="G48" s="1" t="str">
        <f>INDEX(Scores!$B$2:$B$926, MATCH('Next Gen'!$A48, Scores!$F$2:$F$926, 0))</f>
        <v>mid</v>
      </c>
      <c r="H48" s="1" t="str">
        <f>INDEX(Scores!$D$2:$D$926, MATCH('Next Gen'!$A48, Scores!$F$2:$F$926, 0))</f>
        <v>Original</v>
      </c>
      <c r="I48" s="4">
        <f>INDEX(Scores!$E$2:$E$926, MATCH('Next Gen'!$A48, Scores!$F$2:$F$926, 0))</f>
        <v>45782</v>
      </c>
      <c r="L48"/>
      <c r="M48"/>
      <c r="N48"/>
      <c r="O48"/>
      <c r="P48"/>
    </row>
    <row r="49" spans="1:16">
      <c r="A49" s="1">
        <v>90</v>
      </c>
      <c r="B49" s="1" t="s">
        <v>5</v>
      </c>
      <c r="C49" s="1">
        <v>9</v>
      </c>
      <c r="D49" s="1">
        <v>3</v>
      </c>
      <c r="E49" s="1">
        <v>1</v>
      </c>
      <c r="F49" s="1">
        <f>SUMIF(Scores!$F$2:$F$926, 'Next Gen'!$A49, INDEX(Scores!$I$2:$Q$926, 0, MATCH($B49, Scores!$I$1:$Q$1, 0)))</f>
        <v>1</v>
      </c>
      <c r="G49" s="1" t="str">
        <f>INDEX(Scores!$B$2:$B$926, MATCH('Next Gen'!$A49, Scores!$F$2:$F$926, 0))</f>
        <v>mid</v>
      </c>
      <c r="H49" s="1" t="str">
        <f>INDEX(Scores!$D$2:$D$926, MATCH('Next Gen'!$A49, Scores!$F$2:$F$926, 0))</f>
        <v>Original</v>
      </c>
      <c r="I49" s="4">
        <f>INDEX(Scores!$E$2:$E$926, MATCH('Next Gen'!$A49, Scores!$F$2:$F$926, 0))</f>
        <v>45782</v>
      </c>
      <c r="L49"/>
      <c r="M49"/>
      <c r="N49"/>
      <c r="O49"/>
      <c r="P49"/>
    </row>
    <row r="50" spans="1:16">
      <c r="A50" s="1">
        <v>91</v>
      </c>
      <c r="B50" s="1" t="s">
        <v>5</v>
      </c>
      <c r="C50" s="1">
        <v>9</v>
      </c>
      <c r="D50" s="1">
        <v>6</v>
      </c>
      <c r="E50" s="1">
        <v>6</v>
      </c>
      <c r="F50" s="1">
        <f>SUMIF(Scores!$F$2:$F$926, 'Next Gen'!$A50, INDEX(Scores!$I$2:$Q$926, 0, MATCH($B50, Scores!$I$1:$Q$1, 0)))</f>
        <v>11</v>
      </c>
      <c r="G50" s="1" t="str">
        <f>INDEX(Scores!$B$2:$B$926, MATCH('Next Gen'!$A51, Scores!$F$2:$F$926, 0))</f>
        <v>mid</v>
      </c>
      <c r="H50" s="1" t="str">
        <f>INDEX(Scores!$D$2:$D$926, MATCH('Next Gen'!$A50, Scores!$F$2:$F$926, 0))</f>
        <v>Original</v>
      </c>
      <c r="I50" s="4">
        <f>INDEX(Scores!$E$2:$E$926, MATCH('Next Gen'!$A51, Scores!$F$2:$F$926, 0))</f>
        <v>45782</v>
      </c>
      <c r="L50"/>
      <c r="M50"/>
      <c r="N50"/>
      <c r="O50"/>
      <c r="P50"/>
    </row>
    <row r="51" spans="1:16">
      <c r="A51" s="1">
        <v>91</v>
      </c>
      <c r="B51" s="1" t="s">
        <v>4</v>
      </c>
      <c r="C51" s="1">
        <v>9</v>
      </c>
      <c r="D51" s="1">
        <v>6</v>
      </c>
      <c r="E51" s="1">
        <v>3</v>
      </c>
      <c r="F51" s="1">
        <f>SUMIF(Scores!$F$2:$F$926, 'Next Gen'!$A51, INDEX(Scores!$I$2:$Q$926, 0, MATCH($B51, Scores!$I$1:$Q$1, 0)))</f>
        <v>7</v>
      </c>
      <c r="G51" s="1" t="str">
        <f>INDEX(Scores!$B$2:$B$926, MATCH('Next Gen'!$A50, Scores!$F$2:$F$926, 0))</f>
        <v>mid</v>
      </c>
      <c r="H51" s="1" t="str">
        <f>INDEX(Scores!$D$2:$D$926, MATCH('Next Gen'!$A51, Scores!$F$2:$F$926, 0))</f>
        <v>Original</v>
      </c>
      <c r="I51" s="4">
        <f>INDEX(Scores!$E$2:$E$926, MATCH('Next Gen'!$A50, Scores!$F$2:$F$926, 0))</f>
        <v>45782</v>
      </c>
      <c r="L51"/>
      <c r="M51"/>
      <c r="N51"/>
      <c r="O51"/>
      <c r="P51"/>
    </row>
    <row r="52" spans="1:16">
      <c r="A52" s="1">
        <v>92</v>
      </c>
      <c r="B52" s="1" t="s">
        <v>4</v>
      </c>
      <c r="C52" s="1">
        <v>9</v>
      </c>
      <c r="D52" s="1">
        <v>7</v>
      </c>
      <c r="E52" s="1">
        <v>4</v>
      </c>
      <c r="F52" s="1">
        <f>SUMIF(Scores!$F$2:$F$926, 'Next Gen'!$A52, INDEX(Scores!$I$2:$Q$926, 0, MATCH($B52, Scores!$I$1:$Q$1, 0)))</f>
        <v>7</v>
      </c>
      <c r="G52" s="1" t="str">
        <f>INDEX(Scores!$B$2:$B$926, MATCH('Next Gen'!$A52, Scores!$F$2:$F$926, 0))</f>
        <v>mid</v>
      </c>
      <c r="H52" s="1" t="str">
        <f>INDEX(Scores!$D$2:$D$926, MATCH('Next Gen'!$A52, Scores!$F$2:$F$926, 0))</f>
        <v>Original</v>
      </c>
      <c r="I52" s="4">
        <f>INDEX(Scores!$E$2:$E$926, MATCH('Next Gen'!$A52, Scores!$F$2:$F$926, 0))</f>
        <v>45783</v>
      </c>
      <c r="L52"/>
      <c r="M52"/>
      <c r="N52"/>
      <c r="O52"/>
      <c r="P52"/>
    </row>
    <row r="53" spans="1:16">
      <c r="A53" s="1">
        <v>92</v>
      </c>
      <c r="B53" s="1" t="s">
        <v>5</v>
      </c>
      <c r="C53" s="1">
        <v>9</v>
      </c>
      <c r="D53" s="1">
        <v>3</v>
      </c>
      <c r="E53" s="1">
        <v>1</v>
      </c>
      <c r="F53" s="1">
        <f>SUMIF(Scores!$F$2:$F$926, 'Next Gen'!$A53, INDEX(Scores!$I$2:$Q$926, 0, MATCH($B53, Scores!$I$1:$Q$1, 0)))</f>
        <v>3</v>
      </c>
      <c r="G53" s="1" t="str">
        <f>INDEX(Scores!$B$2:$B$926, MATCH('Next Gen'!$A53, Scores!$F$2:$F$926, 0))</f>
        <v>mid</v>
      </c>
      <c r="H53" s="1" t="str">
        <f>INDEX(Scores!$D$2:$D$926, MATCH('Next Gen'!$A53, Scores!$F$2:$F$926, 0))</f>
        <v>Original</v>
      </c>
      <c r="I53" s="4">
        <f>INDEX(Scores!$E$2:$E$926, MATCH('Next Gen'!$A53, Scores!$F$2:$F$926, 0))</f>
        <v>45783</v>
      </c>
      <c r="L53"/>
      <c r="M53"/>
      <c r="N53"/>
      <c r="O53"/>
      <c r="P53"/>
    </row>
    <row r="54" spans="1:16">
      <c r="A54" s="1">
        <v>93</v>
      </c>
      <c r="B54" s="1" t="s">
        <v>4</v>
      </c>
      <c r="C54" s="1">
        <v>9</v>
      </c>
      <c r="D54" s="1">
        <v>8</v>
      </c>
      <c r="E54" s="1">
        <v>7</v>
      </c>
      <c r="F54" s="1">
        <f>SUMIF(Scores!$F$2:$F$926, 'Next Gen'!$A54, INDEX(Scores!$I$2:$Q$926, 0, MATCH($B54, Scores!$I$1:$Q$1, 0)))</f>
        <v>14</v>
      </c>
      <c r="G54" s="1" t="str">
        <f>INDEX(Scores!$B$2:$B$926, MATCH('Next Gen'!$A54, Scores!$F$2:$F$926, 0))</f>
        <v>mid</v>
      </c>
      <c r="H54" s="1" t="str">
        <f>INDEX(Scores!$D$2:$D$926, MATCH('Next Gen'!$A54, Scores!$F$2:$F$926, 0))</f>
        <v>Original</v>
      </c>
      <c r="I54" s="4">
        <f>INDEX(Scores!$E$2:$E$926, MATCH('Next Gen'!$A54, Scores!$F$2:$F$926, 0))</f>
        <v>45784</v>
      </c>
      <c r="L54"/>
      <c r="M54"/>
      <c r="N54"/>
      <c r="O54"/>
      <c r="P54"/>
    </row>
    <row r="55" spans="1:16">
      <c r="A55" s="1">
        <v>93</v>
      </c>
      <c r="B55" s="1" t="s">
        <v>5</v>
      </c>
      <c r="C55" s="1">
        <v>9</v>
      </c>
      <c r="D55" s="1">
        <v>2</v>
      </c>
      <c r="E55" s="1">
        <v>1</v>
      </c>
      <c r="F55" s="1">
        <f>SUMIF(Scores!$F$2:$F$926, 'Next Gen'!$A55, INDEX(Scores!$I$2:$Q$926, 0, MATCH($B55, Scores!$I$1:$Q$1, 0)))</f>
        <v>1</v>
      </c>
      <c r="G55" s="1" t="str">
        <f>INDEX(Scores!$B$2:$B$926, MATCH('Next Gen'!$A55, Scores!$F$2:$F$926, 0))</f>
        <v>mid</v>
      </c>
      <c r="H55" s="1" t="str">
        <f>INDEX(Scores!$D$2:$D$926, MATCH('Next Gen'!$A55, Scores!$F$2:$F$926, 0))</f>
        <v>Original</v>
      </c>
      <c r="I55" s="4">
        <f>INDEX(Scores!$E$2:$E$926, MATCH('Next Gen'!$A55, Scores!$F$2:$F$926, 0))</f>
        <v>45784</v>
      </c>
      <c r="L55"/>
      <c r="M55"/>
      <c r="N55"/>
      <c r="O55"/>
      <c r="P55"/>
    </row>
    <row r="56" spans="1:16">
      <c r="A56" s="1">
        <v>94</v>
      </c>
      <c r="B56" s="1" t="s">
        <v>5</v>
      </c>
      <c r="C56" s="1">
        <v>9</v>
      </c>
      <c r="D56" s="1">
        <v>6</v>
      </c>
      <c r="E56" s="1">
        <v>5</v>
      </c>
      <c r="F56" s="1">
        <f>SUMIF(Scores!$F$2:$F$926, 'Next Gen'!$A56, INDEX(Scores!$I$2:$Q$926, 0, MATCH($B56, Scores!$I$1:$Q$1, 0)))</f>
        <v>8</v>
      </c>
      <c r="G56" s="1" t="str">
        <f>INDEX(Scores!$B$2:$B$926, MATCH('Next Gen'!$A57, Scores!$F$2:$F$926, 0))</f>
        <v>high</v>
      </c>
      <c r="H56" s="1" t="str">
        <f>INDEX(Scores!$D$2:$D$926, MATCH('Next Gen'!$A56, Scores!$F$2:$F$926, 0))</f>
        <v>Original</v>
      </c>
      <c r="I56" s="4">
        <f>INDEX(Scores!$E$2:$E$926, MATCH('Next Gen'!$A57, Scores!$F$2:$F$926, 0))</f>
        <v>45784</v>
      </c>
      <c r="L56"/>
      <c r="M56"/>
      <c r="N56"/>
      <c r="O56"/>
      <c r="P56"/>
    </row>
    <row r="57" spans="1:16">
      <c r="A57" s="1">
        <v>94</v>
      </c>
      <c r="B57" s="1" t="s">
        <v>4</v>
      </c>
      <c r="C57" s="1">
        <v>9</v>
      </c>
      <c r="D57" s="1">
        <v>8</v>
      </c>
      <c r="E57" s="1">
        <v>4</v>
      </c>
      <c r="F57" s="1">
        <f>SUMIF(Scores!$F$2:$F$926, 'Next Gen'!$A57, INDEX(Scores!$I$2:$Q$926, 0, MATCH($B57, Scores!$I$1:$Q$1, 0)))</f>
        <v>7</v>
      </c>
      <c r="G57" s="1" t="str">
        <f>INDEX(Scores!$B$2:$B$926, MATCH('Next Gen'!$A56, Scores!$F$2:$F$926, 0))</f>
        <v>high</v>
      </c>
      <c r="H57" s="1" t="str">
        <f>INDEX(Scores!$D$2:$D$926, MATCH('Next Gen'!$A57, Scores!$F$2:$F$926, 0))</f>
        <v>Original</v>
      </c>
      <c r="I57" s="4">
        <f>INDEX(Scores!$E$2:$E$926, MATCH('Next Gen'!$A56, Scores!$F$2:$F$926, 0))</f>
        <v>45784</v>
      </c>
      <c r="L57"/>
      <c r="M57"/>
      <c r="N57"/>
      <c r="O57"/>
      <c r="P57"/>
    </row>
    <row r="58" spans="1:16">
      <c r="A58" s="1">
        <v>95</v>
      </c>
      <c r="B58" s="1" t="s">
        <v>5</v>
      </c>
      <c r="C58" s="1">
        <v>9</v>
      </c>
      <c r="D58" s="1">
        <v>7</v>
      </c>
      <c r="E58" s="1">
        <v>1</v>
      </c>
      <c r="F58" s="1">
        <f>SUMIF(Scores!$F$2:$F$926, 'Next Gen'!$A58, INDEX(Scores!$I$2:$Q$926, 0, MATCH($B58, Scores!$I$1:$Q$1, 0)))</f>
        <v>1</v>
      </c>
      <c r="G58" s="1" t="str">
        <f>INDEX(Scores!$B$2:$B$926, MATCH('Next Gen'!$A59, Scores!$F$2:$F$926, 0))</f>
        <v>low</v>
      </c>
      <c r="H58" s="1" t="str">
        <f>INDEX(Scores!$D$2:$D$926, MATCH('Next Gen'!$A58, Scores!$F$2:$F$926, 0))</f>
        <v>Original</v>
      </c>
      <c r="I58" s="4">
        <f>INDEX(Scores!$E$2:$E$926, MATCH('Next Gen'!$A59, Scores!$F$2:$F$926, 0))</f>
        <v>45784</v>
      </c>
      <c r="L58"/>
      <c r="M58"/>
      <c r="N58"/>
      <c r="O58"/>
      <c r="P58"/>
    </row>
    <row r="59" spans="1:16">
      <c r="A59" s="1">
        <v>95</v>
      </c>
      <c r="B59" s="1" t="s">
        <v>4</v>
      </c>
      <c r="C59" s="1">
        <v>9</v>
      </c>
      <c r="D59" s="1">
        <v>8</v>
      </c>
      <c r="E59" s="1">
        <v>1</v>
      </c>
      <c r="F59" s="1">
        <f>SUMIF(Scores!$F$2:$F$926, 'Next Gen'!$A59, INDEX(Scores!$I$2:$Q$926, 0, MATCH($B59, Scores!$I$1:$Q$1, 0)))</f>
        <v>2</v>
      </c>
      <c r="G59" s="1" t="str">
        <f>INDEX(Scores!$B$2:$B$926, MATCH('Next Gen'!$A58, Scores!$F$2:$F$926, 0))</f>
        <v>low</v>
      </c>
      <c r="H59" s="1" t="str">
        <f>INDEX(Scores!$D$2:$D$926, MATCH('Next Gen'!$A59, Scores!$F$2:$F$926, 0))</f>
        <v>Original</v>
      </c>
      <c r="I59" s="4">
        <f>INDEX(Scores!$E$2:$E$926, MATCH('Next Gen'!$A58, Scores!$F$2:$F$926, 0))</f>
        <v>45784</v>
      </c>
      <c r="L59"/>
      <c r="M59"/>
      <c r="N59"/>
      <c r="O59"/>
      <c r="P59"/>
    </row>
    <row r="60" spans="1:16">
      <c r="A60" s="1">
        <v>96</v>
      </c>
      <c r="B60" s="1" t="s">
        <v>4</v>
      </c>
      <c r="C60" s="1">
        <v>9</v>
      </c>
      <c r="D60" s="1">
        <v>9</v>
      </c>
      <c r="E60" s="1">
        <v>3</v>
      </c>
      <c r="F60" s="1">
        <f>SUMIF(Scores!$F$2:$F$926, 'Next Gen'!$A60, INDEX(Scores!$I$2:$Q$926, 0, MATCH($B60, Scores!$I$1:$Q$1, 0)))</f>
        <v>5</v>
      </c>
      <c r="G60" s="1" t="str">
        <f>INDEX(Scores!$B$2:$B$926, MATCH('Next Gen'!$A60, Scores!$F$2:$F$926, 0))</f>
        <v>mid</v>
      </c>
      <c r="H60" s="1" t="str">
        <f>INDEX(Scores!$D$2:$D$926, MATCH('Next Gen'!$A60, Scores!$F$2:$F$926, 0))</f>
        <v>Original</v>
      </c>
      <c r="I60" s="4">
        <f>INDEX(Scores!$E$2:$E$926, MATCH('Next Gen'!$A60, Scores!$F$2:$F$926, 0))</f>
        <v>45790</v>
      </c>
      <c r="L60"/>
      <c r="M60"/>
      <c r="N60"/>
      <c r="O60"/>
      <c r="P60"/>
    </row>
    <row r="61" spans="1:16">
      <c r="A61" s="1">
        <v>96</v>
      </c>
      <c r="B61" s="1" t="s">
        <v>5</v>
      </c>
      <c r="C61" s="1">
        <v>9</v>
      </c>
      <c r="D61" s="1">
        <v>6</v>
      </c>
      <c r="E61" s="1">
        <v>2</v>
      </c>
      <c r="F61" s="1">
        <f>SUMIF(Scores!$F$2:$F$926, 'Next Gen'!$A61, INDEX(Scores!$I$2:$Q$926, 0, MATCH($B61, Scores!$I$1:$Q$1, 0)))</f>
        <v>3</v>
      </c>
      <c r="G61" s="1" t="str">
        <f>INDEX(Scores!$B$2:$B$926, MATCH('Next Gen'!$A61, Scores!$F$2:$F$926, 0))</f>
        <v>mid</v>
      </c>
      <c r="H61" s="1" t="str">
        <f>INDEX(Scores!$D$2:$D$926, MATCH('Next Gen'!$A61, Scores!$F$2:$F$926, 0))</f>
        <v>Original</v>
      </c>
      <c r="I61" s="4">
        <f>INDEX(Scores!$E$2:$E$926, MATCH('Next Gen'!$A61, Scores!$F$2:$F$926, 0))</f>
        <v>45790</v>
      </c>
      <c r="L61"/>
      <c r="M61"/>
      <c r="N61"/>
      <c r="O61"/>
      <c r="P61"/>
    </row>
    <row r="62" spans="1:16">
      <c r="A62" s="1">
        <v>98</v>
      </c>
      <c r="B62" s="1" t="s">
        <v>4</v>
      </c>
      <c r="C62" s="1">
        <v>9</v>
      </c>
      <c r="D62" s="1">
        <v>9</v>
      </c>
      <c r="E62" s="1">
        <v>4</v>
      </c>
      <c r="F62" s="1">
        <f>SUMIF(Scores!$F$2:$F$926, 'Next Gen'!$A62, INDEX(Scores!$I$2:$Q$926, 0, MATCH($B62, Scores!$I$1:$Q$1, 0)))</f>
        <v>11</v>
      </c>
      <c r="G62" s="1" t="str">
        <f>INDEX(Scores!$B$2:$B$926, MATCH('Next Gen'!$A62, Scores!$F$2:$F$926, 0))</f>
        <v>mid</v>
      </c>
      <c r="H62" s="1" t="str">
        <f>INDEX(Scores!$D$2:$D$926, MATCH('Next Gen'!$A62, Scores!$F$2:$F$926, 0))</f>
        <v>Original</v>
      </c>
      <c r="I62" s="4">
        <f>INDEX(Scores!$E$2:$E$926, MATCH('Next Gen'!$A62, Scores!$F$2:$F$926, 0))</f>
        <v>45791</v>
      </c>
      <c r="L62"/>
      <c r="M62"/>
      <c r="N62"/>
      <c r="O62"/>
      <c r="P62"/>
    </row>
    <row r="63" spans="1:16">
      <c r="A63" s="1">
        <v>98</v>
      </c>
      <c r="B63" s="1" t="s">
        <v>5</v>
      </c>
      <c r="C63" s="1">
        <v>9</v>
      </c>
      <c r="D63" s="1">
        <v>9</v>
      </c>
      <c r="E63" s="1">
        <v>2</v>
      </c>
      <c r="F63" s="1">
        <f>SUMIF(Scores!$F$2:$F$926, 'Next Gen'!$A63, INDEX(Scores!$I$2:$Q$926, 0, MATCH($B63, Scores!$I$1:$Q$1, 0)))</f>
        <v>2</v>
      </c>
      <c r="G63" s="1" t="str">
        <f>INDEX(Scores!$B$2:$B$926, MATCH('Next Gen'!$A63, Scores!$F$2:$F$926, 0))</f>
        <v>mid</v>
      </c>
      <c r="H63" s="1" t="str">
        <f>INDEX(Scores!$D$2:$D$926, MATCH('Next Gen'!$A63, Scores!$F$2:$F$926, 0))</f>
        <v>Original</v>
      </c>
      <c r="I63" s="4">
        <f>INDEX(Scores!$E$2:$E$926, MATCH('Next Gen'!$A63, Scores!$F$2:$F$926, 0))</f>
        <v>45791</v>
      </c>
      <c r="L63"/>
      <c r="M63"/>
      <c r="N63"/>
      <c r="O63"/>
      <c r="P63"/>
    </row>
    <row r="64" spans="1:16">
      <c r="A64" s="1">
        <v>98</v>
      </c>
      <c r="B64" s="1" t="s">
        <v>6</v>
      </c>
      <c r="C64" s="1">
        <v>9</v>
      </c>
      <c r="D64" s="1">
        <v>4</v>
      </c>
      <c r="E64" s="1">
        <v>1</v>
      </c>
      <c r="F64" s="1">
        <f>SUMIF(Scores!$F$2:$F$926, 'Next Gen'!$A64, INDEX(Scores!$I$2:$Q$926, 0, MATCH($B64, Scores!$I$1:$Q$1, 0)))</f>
        <v>3</v>
      </c>
      <c r="G64" s="1" t="str">
        <f>INDEX(Scores!$B$2:$B$926, MATCH('Next Gen'!$A64, Scores!$F$2:$F$926, 0))</f>
        <v>mid</v>
      </c>
      <c r="H64" s="1" t="str">
        <f>INDEX(Scores!$D$2:$D$926, MATCH('Next Gen'!$A64, Scores!$F$2:$F$926, 0))</f>
        <v>Original</v>
      </c>
      <c r="I64" s="4">
        <f>INDEX(Scores!$E$2:$E$926, MATCH('Next Gen'!$A64, Scores!$F$2:$F$926, 0))</f>
        <v>45791</v>
      </c>
      <c r="L64"/>
      <c r="M64"/>
      <c r="N64"/>
      <c r="O64"/>
      <c r="P64"/>
    </row>
    <row r="65" spans="1:16">
      <c r="A65" s="1">
        <v>99</v>
      </c>
      <c r="B65" s="1" t="s">
        <v>5</v>
      </c>
      <c r="C65" s="1">
        <v>9</v>
      </c>
      <c r="D65" s="1">
        <v>9</v>
      </c>
      <c r="E65" s="1">
        <v>4</v>
      </c>
      <c r="F65" s="1">
        <f>SUMIF(Scores!$F$2:$F$926, 'Next Gen'!$A65, INDEX(Scores!$I$2:$Q$926, 0, MATCH($B65, Scores!$I$1:$Q$1, 0)))</f>
        <v>7</v>
      </c>
      <c r="G65" s="1" t="str">
        <f>INDEX(Scores!$B$2:$B$926, MATCH('Next Gen'!$A66, Scores!$F$2:$F$926, 0))</f>
        <v>mid</v>
      </c>
      <c r="H65" s="1" t="str">
        <f>INDEX(Scores!$D$2:$D$926, MATCH('Next Gen'!$A65, Scores!$F$2:$F$926, 0))</f>
        <v>Original</v>
      </c>
      <c r="I65" s="4">
        <f>INDEX(Scores!$E$2:$E$926, MATCH('Next Gen'!$A66, Scores!$F$2:$F$926, 0))</f>
        <v>45791</v>
      </c>
      <c r="L65"/>
      <c r="M65"/>
      <c r="N65"/>
      <c r="O65"/>
      <c r="P65"/>
    </row>
    <row r="66" spans="1:16">
      <c r="A66" s="1">
        <v>99</v>
      </c>
      <c r="B66" s="1" t="s">
        <v>6</v>
      </c>
      <c r="C66" s="1">
        <v>9</v>
      </c>
      <c r="D66" s="1">
        <v>4</v>
      </c>
      <c r="E66" s="1">
        <v>4</v>
      </c>
      <c r="F66" s="1">
        <f>SUMIF(Scores!$F$2:$F$926, 'Next Gen'!$A66, INDEX(Scores!$I$2:$Q$926, 0, MATCH($B66, Scores!$I$1:$Q$1, 0)))</f>
        <v>9</v>
      </c>
      <c r="G66" s="1" t="str">
        <f>INDEX(Scores!$B$2:$B$926, MATCH('Next Gen'!$A67, Scores!$F$2:$F$926, 0))</f>
        <v>mid</v>
      </c>
      <c r="H66" s="1" t="str">
        <f>INDEX(Scores!$D$2:$D$926, MATCH('Next Gen'!$A66, Scores!$F$2:$F$926, 0))</f>
        <v>Original</v>
      </c>
      <c r="I66" s="4">
        <f>INDEX(Scores!$E$2:$E$926, MATCH('Next Gen'!$A67, Scores!$F$2:$F$926, 0))</f>
        <v>45791</v>
      </c>
      <c r="L66"/>
      <c r="M66"/>
      <c r="N66"/>
      <c r="O66"/>
      <c r="P66"/>
    </row>
    <row r="67" spans="1:16">
      <c r="A67" s="1">
        <v>99</v>
      </c>
      <c r="B67" s="1" t="s">
        <v>7</v>
      </c>
      <c r="C67" s="1">
        <v>9</v>
      </c>
      <c r="D67" s="1">
        <v>2</v>
      </c>
      <c r="E67" s="1">
        <v>2</v>
      </c>
      <c r="F67" s="1">
        <f>SUMIF(Scores!$F$2:$F$926, 'Next Gen'!$A67, INDEX(Scores!$I$2:$Q$926, 0, MATCH($B67, Scores!$I$1:$Q$1, 0)))</f>
        <v>5</v>
      </c>
      <c r="G67" s="1" t="str">
        <f>INDEX(Scores!$B$2:$B$926, MATCH('Next Gen'!$A68, Scores!$F$2:$F$926, 0))</f>
        <v>mid</v>
      </c>
      <c r="H67" s="1" t="str">
        <f>INDEX(Scores!$D$2:$D$926, MATCH('Next Gen'!$A67, Scores!$F$2:$F$926, 0))</f>
        <v>Original</v>
      </c>
      <c r="I67" s="4">
        <f>INDEX(Scores!$E$2:$E$926, MATCH('Next Gen'!$A68, Scores!$F$2:$F$926, 0))</f>
        <v>45791</v>
      </c>
      <c r="L67"/>
      <c r="M67"/>
      <c r="N67"/>
      <c r="O67"/>
      <c r="P67"/>
    </row>
    <row r="68" spans="1:16">
      <c r="A68" s="1">
        <v>99</v>
      </c>
      <c r="B68" s="1" t="s">
        <v>4</v>
      </c>
      <c r="C68" s="1">
        <v>9</v>
      </c>
      <c r="D68" s="1">
        <v>9</v>
      </c>
      <c r="E68" s="1">
        <v>1</v>
      </c>
      <c r="F68" s="1">
        <f>SUMIF(Scores!$F$2:$F$926, 'Next Gen'!$A68, INDEX(Scores!$I$2:$Q$926, 0, MATCH($B68, Scores!$I$1:$Q$1, 0)))</f>
        <v>3</v>
      </c>
      <c r="G68" s="1" t="str">
        <f>INDEX(Scores!$B$2:$B$926, MATCH('Next Gen'!$A65, Scores!$F$2:$F$926, 0))</f>
        <v>mid</v>
      </c>
      <c r="H68" s="1" t="str">
        <f>INDEX(Scores!$D$2:$D$926, MATCH('Next Gen'!$A68, Scores!$F$2:$F$926, 0))</f>
        <v>Original</v>
      </c>
      <c r="I68" s="4">
        <f>INDEX(Scores!$E$2:$E$926, MATCH('Next Gen'!$A65, Scores!$F$2:$F$926, 0))</f>
        <v>45791</v>
      </c>
      <c r="L68"/>
      <c r="M68"/>
      <c r="N68"/>
      <c r="O68"/>
      <c r="P68"/>
    </row>
    <row r="69" spans="1:16">
      <c r="A69" s="1">
        <v>100</v>
      </c>
      <c r="B69" s="1" t="s">
        <v>5</v>
      </c>
      <c r="C69" s="1">
        <v>9</v>
      </c>
      <c r="D69" s="1">
        <v>8</v>
      </c>
      <c r="E69" s="1">
        <v>4</v>
      </c>
      <c r="F69" s="1">
        <f>SUMIF(Scores!$F$2:$F$926, 'Next Gen'!$A69, INDEX(Scores!$I$2:$Q$926, 0, MATCH($B69, Scores!$I$1:$Q$1, 0)))</f>
        <v>7</v>
      </c>
      <c r="G69" s="1" t="str">
        <f>INDEX(Scores!$B$2:$B$926, MATCH('Next Gen'!$A70, Scores!$F$2:$F$926, 0))</f>
        <v>high</v>
      </c>
      <c r="H69" s="1" t="str">
        <f>INDEX(Scores!$D$2:$D$926, MATCH('Next Gen'!$A69, Scores!$F$2:$F$926, 0))</f>
        <v>Original</v>
      </c>
      <c r="I69" s="4">
        <f>INDEX(Scores!$E$2:$E$926, MATCH('Next Gen'!$A70, Scores!$F$2:$F$926, 0))</f>
        <v>45791</v>
      </c>
      <c r="L69"/>
      <c r="M69"/>
      <c r="N69"/>
      <c r="O69"/>
      <c r="P69"/>
    </row>
    <row r="70" spans="1:16">
      <c r="A70" s="1">
        <v>100</v>
      </c>
      <c r="B70" s="1" t="s">
        <v>4</v>
      </c>
      <c r="C70" s="1">
        <v>9</v>
      </c>
      <c r="D70" s="1">
        <v>9</v>
      </c>
      <c r="E70" s="1">
        <v>4</v>
      </c>
      <c r="F70" s="1">
        <f>SUMIF(Scores!$F$2:$F$926, 'Next Gen'!$A70, INDEX(Scores!$I$2:$Q$926, 0, MATCH($B70, Scores!$I$1:$Q$1, 0)))</f>
        <v>9</v>
      </c>
      <c r="G70" s="1" t="str">
        <f>INDEX(Scores!$B$2:$B$926, MATCH('Next Gen'!$A69, Scores!$F$2:$F$926, 0))</f>
        <v>high</v>
      </c>
      <c r="H70" s="1" t="str">
        <f>INDEX(Scores!$D$2:$D$926, MATCH('Next Gen'!$A70, Scores!$F$2:$F$926, 0))</f>
        <v>Original</v>
      </c>
      <c r="I70" s="4">
        <f>INDEX(Scores!$E$2:$E$926, MATCH('Next Gen'!$A69, Scores!$F$2:$F$926, 0))</f>
        <v>45791</v>
      </c>
      <c r="L70"/>
      <c r="M70"/>
      <c r="N70"/>
      <c r="O70"/>
      <c r="P70"/>
    </row>
    <row r="71" spans="1:16">
      <c r="A71" s="1">
        <v>101</v>
      </c>
      <c r="B71" s="1" t="s">
        <v>5</v>
      </c>
      <c r="C71" s="1">
        <v>9</v>
      </c>
      <c r="D71" s="1">
        <v>7</v>
      </c>
      <c r="E71" s="1">
        <v>5</v>
      </c>
      <c r="F71" s="1">
        <f>SUMIF(Scores!$F$2:$F$926, 'Next Gen'!$A71, INDEX(Scores!$I$2:$Q$926, 0, MATCH($B71, Scores!$I$1:$Q$1, 0)))</f>
        <v>9</v>
      </c>
      <c r="G71" s="1" t="str">
        <f>INDEX(Scores!$B$2:$B$926, MATCH('Next Gen'!$A71, Scores!$F$2:$F$926, 0))</f>
        <v>mid</v>
      </c>
      <c r="H71" s="1" t="str">
        <f>INDEX(Scores!$D$2:$D$926, MATCH('Next Gen'!$A71, Scores!$F$2:$F$926, 0))</f>
        <v>Original</v>
      </c>
      <c r="I71" s="4">
        <f>INDEX(Scores!$E$2:$E$926, MATCH('Next Gen'!$A71, Scores!$F$2:$F$926, 0))</f>
        <v>45797</v>
      </c>
      <c r="L71"/>
      <c r="M71"/>
      <c r="N71"/>
      <c r="O71"/>
      <c r="P71"/>
    </row>
    <row r="72" spans="1:16">
      <c r="A72" s="1">
        <v>101</v>
      </c>
      <c r="B72" s="1" t="s">
        <v>6</v>
      </c>
      <c r="C72" s="1">
        <v>9</v>
      </c>
      <c r="D72" s="1">
        <v>7</v>
      </c>
      <c r="E72" s="1">
        <v>2</v>
      </c>
      <c r="F72" s="1">
        <f>SUMIF(Scores!$F$2:$F$926, 'Next Gen'!$A72, INDEX(Scores!$I$2:$Q$926, 0, MATCH($B72, Scores!$I$1:$Q$1, 0)))</f>
        <v>6</v>
      </c>
      <c r="G72" s="1" t="str">
        <f>INDEX(Scores!$B$2:$B$926, MATCH('Next Gen'!$A72, Scores!$F$2:$F$926, 0))</f>
        <v>mid</v>
      </c>
      <c r="H72" s="1" t="str">
        <f>INDEX(Scores!$D$2:$D$926, MATCH('Next Gen'!$A72, Scores!$F$2:$F$926, 0))</f>
        <v>Original</v>
      </c>
      <c r="I72" s="4">
        <f>INDEX(Scores!$E$2:$E$926, MATCH('Next Gen'!$A72, Scores!$F$2:$F$926, 0))</f>
        <v>45797</v>
      </c>
      <c r="L72"/>
      <c r="M72"/>
      <c r="N72"/>
      <c r="O72"/>
      <c r="P72"/>
    </row>
    <row r="73" spans="1:16">
      <c r="A73" s="1">
        <v>102</v>
      </c>
      <c r="B73" s="1" t="s">
        <v>5</v>
      </c>
      <c r="C73" s="1">
        <v>9</v>
      </c>
      <c r="D73" s="1">
        <v>8</v>
      </c>
      <c r="E73" s="1">
        <v>5</v>
      </c>
      <c r="F73" s="1">
        <f>SUMIF(Scores!$F$2:$F$926, 'Next Gen'!$A73, INDEX(Scores!$I$2:$Q$926, 0, MATCH($B73, Scores!$I$1:$Q$1, 0)))</f>
        <v>8</v>
      </c>
      <c r="G73" s="1" t="str">
        <f>INDEX(Scores!$B$2:$B$926, MATCH('Next Gen'!$A73, Scores!$F$2:$F$926, 0))</f>
        <v>mid</v>
      </c>
      <c r="H73" s="1" t="str">
        <f>INDEX(Scores!$D$2:$D$926, MATCH('Next Gen'!$A73, Scores!$F$2:$F$926, 0))</f>
        <v>Original</v>
      </c>
      <c r="I73" s="4">
        <f>INDEX(Scores!$E$2:$E$926, MATCH('Next Gen'!$A73, Scores!$F$2:$F$926, 0))</f>
        <v>45797</v>
      </c>
      <c r="L73"/>
      <c r="M73"/>
      <c r="N73"/>
      <c r="O73"/>
      <c r="P73"/>
    </row>
    <row r="74" spans="1:16">
      <c r="A74" s="1">
        <v>102</v>
      </c>
      <c r="B74" s="1" t="s">
        <v>7</v>
      </c>
      <c r="C74" s="1">
        <v>9</v>
      </c>
      <c r="D74" s="1">
        <v>2</v>
      </c>
      <c r="E74" s="1">
        <v>1</v>
      </c>
      <c r="F74" s="1">
        <f>SUMIF(Scores!$F$2:$F$926, 'Next Gen'!$A74, INDEX(Scores!$I$2:$Q$926, 0, MATCH($B74, Scores!$I$1:$Q$1, 0)))</f>
        <v>1</v>
      </c>
      <c r="G74" s="1" t="str">
        <f>INDEX(Scores!$B$2:$B$926, MATCH('Next Gen'!$A74, Scores!$F$2:$F$926, 0))</f>
        <v>mid</v>
      </c>
      <c r="H74" s="1" t="str">
        <f>INDEX(Scores!$D$2:$D$926, MATCH('Next Gen'!$A74, Scores!$F$2:$F$926, 0))</f>
        <v>Original</v>
      </c>
      <c r="I74" s="4">
        <f>INDEX(Scores!$E$2:$E$926, MATCH('Next Gen'!$A74, Scores!$F$2:$F$926, 0))</f>
        <v>45797</v>
      </c>
      <c r="L74"/>
      <c r="M74"/>
      <c r="N74"/>
      <c r="O74"/>
      <c r="P74"/>
    </row>
    <row r="75" spans="1:16">
      <c r="A75" s="1">
        <v>103</v>
      </c>
      <c r="B75" s="1" t="s">
        <v>5</v>
      </c>
      <c r="C75" s="1">
        <v>9</v>
      </c>
      <c r="D75" s="1">
        <v>9</v>
      </c>
      <c r="E75" s="1">
        <v>7</v>
      </c>
      <c r="F75" s="1">
        <f>SUMIF(Scores!$F$2:$F$926, 'Next Gen'!$A75, INDEX(Scores!$I$2:$Q$926, 0, MATCH($B75, Scores!$I$1:$Q$1, 0)))</f>
        <v>12</v>
      </c>
      <c r="G75" s="1" t="str">
        <f>INDEX(Scores!$B$2:$B$926, MATCH('Next Gen'!$A75, Scores!$F$2:$F$926, 0))</f>
        <v>mid</v>
      </c>
      <c r="H75" s="1" t="str">
        <f>INDEX(Scores!$D$2:$D$926, MATCH('Next Gen'!$A75, Scores!$F$2:$F$926, 0))</f>
        <v>Original</v>
      </c>
      <c r="I75" s="4">
        <f>INDEX(Scores!$E$2:$E$926, MATCH('Next Gen'!$A75, Scores!$F$2:$F$926, 0))</f>
        <v>45798</v>
      </c>
      <c r="L75"/>
      <c r="M75"/>
      <c r="N75"/>
      <c r="O75"/>
      <c r="P75"/>
    </row>
    <row r="76" spans="1:16">
      <c r="A76" s="1">
        <v>103</v>
      </c>
      <c r="B76" s="1" t="s">
        <v>6</v>
      </c>
      <c r="C76" s="1">
        <v>9</v>
      </c>
      <c r="D76" s="1">
        <v>3</v>
      </c>
      <c r="E76" s="1">
        <v>3</v>
      </c>
      <c r="F76" s="1">
        <f>SUMIF(Scores!$F$2:$F$926, 'Next Gen'!$A76, INDEX(Scores!$I$2:$Q$926, 0, MATCH($B76, Scores!$I$1:$Q$1, 0)))</f>
        <v>5</v>
      </c>
      <c r="G76" s="1" t="str">
        <f>INDEX(Scores!$B$2:$B$926, MATCH('Next Gen'!$A76, Scores!$F$2:$F$926, 0))</f>
        <v>mid</v>
      </c>
      <c r="H76" s="1" t="str">
        <f>INDEX(Scores!$D$2:$D$926, MATCH('Next Gen'!$A76, Scores!$F$2:$F$926, 0))</f>
        <v>Original</v>
      </c>
      <c r="I76" s="4">
        <f>INDEX(Scores!$E$2:$E$926, MATCH('Next Gen'!$A76, Scores!$F$2:$F$926, 0))</f>
        <v>45798</v>
      </c>
      <c r="L76"/>
      <c r="M76"/>
      <c r="N76"/>
      <c r="O76"/>
      <c r="P76"/>
    </row>
    <row r="77" spans="1:16">
      <c r="A77" s="1">
        <v>104</v>
      </c>
      <c r="B77" s="1" t="s">
        <v>5</v>
      </c>
      <c r="C77" s="1">
        <v>9</v>
      </c>
      <c r="D77" s="1">
        <v>6</v>
      </c>
      <c r="E77" s="1">
        <v>2</v>
      </c>
      <c r="F77" s="1">
        <f>SUMIF(Scores!$F$2:$F$926, 'Next Gen'!$A77, INDEX(Scores!$I$2:$Q$926, 0, MATCH($B77, Scores!$I$1:$Q$1, 0)))</f>
        <v>4</v>
      </c>
      <c r="G77" s="1" t="str">
        <f>INDEX(Scores!$B$2:$B$926, MATCH('Next Gen'!$A77, Scores!$F$2:$F$926, 0))</f>
        <v>mid</v>
      </c>
      <c r="H77" s="1" t="str">
        <f>INDEX(Scores!$D$2:$D$926, MATCH('Next Gen'!$A77, Scores!$F$2:$F$926, 0))</f>
        <v>Original</v>
      </c>
      <c r="I77" s="4">
        <f>INDEX(Scores!$E$2:$E$926, MATCH('Next Gen'!$A77, Scores!$F$2:$F$926, 0))</f>
        <v>45799</v>
      </c>
      <c r="L77"/>
      <c r="M77"/>
      <c r="N77"/>
      <c r="O77"/>
      <c r="P77"/>
    </row>
    <row r="78" spans="1:16">
      <c r="A78" s="1">
        <v>104</v>
      </c>
      <c r="B78" s="1" t="s">
        <v>6</v>
      </c>
      <c r="C78" s="1">
        <v>9</v>
      </c>
      <c r="D78" s="1">
        <v>7</v>
      </c>
      <c r="E78" s="1">
        <v>1</v>
      </c>
      <c r="F78" s="1">
        <f>SUMIF(Scores!$F$2:$F$926, 'Next Gen'!$A78, INDEX(Scores!$I$2:$Q$926, 0, MATCH($B78, Scores!$I$1:$Q$1, 0)))</f>
        <v>1</v>
      </c>
      <c r="G78" s="1" t="str">
        <f>INDEX(Scores!$B$2:$B$926, MATCH('Next Gen'!$A78, Scores!$F$2:$F$926, 0))</f>
        <v>mid</v>
      </c>
      <c r="H78" s="1" t="str">
        <f>INDEX(Scores!$D$2:$D$926, MATCH('Next Gen'!$A78, Scores!$F$2:$F$926, 0))</f>
        <v>Original</v>
      </c>
      <c r="I78" s="4">
        <f>INDEX(Scores!$E$2:$E$926, MATCH('Next Gen'!$A78, Scores!$F$2:$F$926, 0))</f>
        <v>45799</v>
      </c>
      <c r="L78"/>
    </row>
    <row r="79" spans="1:16">
      <c r="A79" s="1">
        <v>105</v>
      </c>
      <c r="B79" s="1" t="s">
        <v>5</v>
      </c>
      <c r="C79" s="1">
        <v>9</v>
      </c>
      <c r="D79" s="1">
        <v>8</v>
      </c>
      <c r="E79" s="1">
        <v>3</v>
      </c>
      <c r="F79" s="1">
        <f>SUMIF(Scores!$F$2:$F$926, 'Next Gen'!$A79, INDEX(Scores!$I$2:$Q$926, 0, MATCH($B79, Scores!$I$1:$Q$1, 0)))</f>
        <v>3</v>
      </c>
      <c r="G79" s="1" t="str">
        <f>INDEX(Scores!$B$2:$B$926, MATCH('Next Gen'!$A79, Scores!$F$2:$F$926, 0))</f>
        <v>mid</v>
      </c>
      <c r="H79" s="1" t="str">
        <f>INDEX(Scores!$D$2:$D$926, MATCH('Next Gen'!$A79, Scores!$F$2:$F$926, 0))</f>
        <v>Original</v>
      </c>
      <c r="I79" s="4">
        <f>INDEX(Scores!$E$2:$E$926, MATCH('Next Gen'!$A79, Scores!$F$2:$F$926, 0))</f>
        <v>45811</v>
      </c>
      <c r="L79"/>
    </row>
    <row r="80" spans="1:16">
      <c r="A80" s="1">
        <v>105</v>
      </c>
      <c r="B80" s="1" t="s">
        <v>6</v>
      </c>
      <c r="C80" s="1">
        <v>9</v>
      </c>
      <c r="D80" s="1">
        <v>3</v>
      </c>
      <c r="E80" s="1">
        <v>1</v>
      </c>
      <c r="F80" s="1">
        <f>SUMIF(Scores!$F$2:$F$926, 'Next Gen'!$A80, INDEX(Scores!$I$2:$Q$926, 0, MATCH($B80, Scores!$I$1:$Q$1, 0)))</f>
        <v>1</v>
      </c>
      <c r="G80" s="1" t="str">
        <f>INDEX(Scores!$B$2:$B$926, MATCH('Next Gen'!$A80, Scores!$F$2:$F$926, 0))</f>
        <v>mid</v>
      </c>
      <c r="H80" s="1" t="str">
        <f>INDEX(Scores!$D$2:$D$926, MATCH('Next Gen'!$A80, Scores!$F$2:$F$926, 0))</f>
        <v>Original</v>
      </c>
      <c r="I80" s="4">
        <f>INDEX(Scores!$E$2:$E$926, MATCH('Next Gen'!$A80, Scores!$F$2:$F$926, 0))</f>
        <v>45811</v>
      </c>
      <c r="L80"/>
    </row>
    <row r="81" spans="1:12">
      <c r="A81" s="1">
        <v>106</v>
      </c>
      <c r="B81" s="1" t="s">
        <v>5</v>
      </c>
      <c r="C81" s="1">
        <v>9</v>
      </c>
      <c r="D81" s="1">
        <v>7</v>
      </c>
      <c r="E81" s="1">
        <v>2</v>
      </c>
      <c r="F81" s="1">
        <f>SUMIF(Scores!$F$2:$F$926, 'Next Gen'!$A81, INDEX(Scores!$I$2:$Q$926, 0, MATCH($B81, Scores!$I$1:$Q$1, 0)))</f>
        <v>3</v>
      </c>
      <c r="G81" s="1" t="str">
        <f>INDEX(Scores!$B$2:$B$926, MATCH('Next Gen'!$A81, Scores!$F$2:$F$926, 0))</f>
        <v>mid</v>
      </c>
      <c r="H81" s="1" t="str">
        <f>INDEX(Scores!$D$2:$D$926, MATCH('Next Gen'!$A81, Scores!$F$2:$F$926, 0))</f>
        <v>Original</v>
      </c>
      <c r="I81" s="4">
        <f>INDEX(Scores!$E$2:$E$926, MATCH('Next Gen'!$A81, Scores!$F$2:$F$926, 0))</f>
        <v>45811</v>
      </c>
      <c r="L81"/>
    </row>
    <row r="82" spans="1:12">
      <c r="A82" s="1">
        <v>106</v>
      </c>
      <c r="B82" s="1" t="s">
        <v>6</v>
      </c>
      <c r="C82" s="1">
        <v>9</v>
      </c>
      <c r="D82" s="1">
        <v>5</v>
      </c>
      <c r="E82" s="1">
        <v>2</v>
      </c>
      <c r="F82" s="1">
        <f>SUMIF(Scores!$F$2:$F$926, 'Next Gen'!$A82, INDEX(Scores!$I$2:$Q$926, 0, MATCH($B82, Scores!$I$1:$Q$1, 0)))</f>
        <v>2</v>
      </c>
      <c r="G82" s="1" t="str">
        <f>INDEX(Scores!$B$2:$B$926, MATCH('Next Gen'!$A82, Scores!$F$2:$F$926, 0))</f>
        <v>mid</v>
      </c>
      <c r="H82" s="1" t="str">
        <f>INDEX(Scores!$D$2:$D$926, MATCH('Next Gen'!$A82, Scores!$F$2:$F$926, 0))</f>
        <v>Original</v>
      </c>
      <c r="I82" s="4">
        <f>INDEX(Scores!$E$2:$E$926, MATCH('Next Gen'!$A82, Scores!$F$2:$F$926, 0))</f>
        <v>45811</v>
      </c>
      <c r="L82"/>
    </row>
    <row r="83" spans="1:12">
      <c r="A83" s="1">
        <v>107</v>
      </c>
      <c r="B83" s="1" t="s">
        <v>5</v>
      </c>
      <c r="C83" s="1">
        <v>9</v>
      </c>
      <c r="D83" s="1">
        <v>7</v>
      </c>
      <c r="E83" s="1">
        <v>4</v>
      </c>
      <c r="F83" s="1">
        <f>SUMIF(Scores!$F$2:$F$926, 'Next Gen'!$A83, INDEX(Scores!$I$2:$Q$926, 0, MATCH($B83, Scores!$I$1:$Q$1, 0)))</f>
        <v>5</v>
      </c>
      <c r="G83" s="1" t="str">
        <f>INDEX(Scores!$B$2:$B$926, MATCH('Next Gen'!$A83, Scores!$F$2:$F$926, 0))</f>
        <v>mid</v>
      </c>
      <c r="H83" s="1" t="str">
        <f>INDEX(Scores!$D$2:$D$926, MATCH('Next Gen'!$A83, Scores!$F$2:$F$926, 0))</f>
        <v>Original</v>
      </c>
      <c r="I83" s="4">
        <f>INDEX(Scores!$E$2:$E$926, MATCH('Next Gen'!$A83, Scores!$F$2:$F$926, 0))</f>
        <v>45818</v>
      </c>
      <c r="L83"/>
    </row>
    <row r="84" spans="1:12">
      <c r="A84" s="1">
        <v>107</v>
      </c>
      <c r="B84" s="1" t="s">
        <v>4</v>
      </c>
      <c r="C84" s="1">
        <v>9</v>
      </c>
      <c r="D84" s="1">
        <v>8</v>
      </c>
      <c r="E84" s="1">
        <v>3</v>
      </c>
      <c r="F84" s="1">
        <f>SUMIF(Scores!$F$2:$F$926, 'Next Gen'!$A84, INDEX(Scores!$I$2:$Q$926, 0, MATCH($B84, Scores!$I$1:$Q$1, 0)))</f>
        <v>6</v>
      </c>
      <c r="G84" s="1" t="str">
        <f>INDEX(Scores!$B$2:$B$926, MATCH('Next Gen'!$A84, Scores!$F$2:$F$926, 0))</f>
        <v>mid</v>
      </c>
      <c r="H84" s="1" t="str">
        <f>INDEX(Scores!$D$2:$D$926, MATCH('Next Gen'!$A84, Scores!$F$2:$F$926, 0))</f>
        <v>Original</v>
      </c>
      <c r="I84" s="4">
        <f>INDEX(Scores!$E$2:$E$926, MATCH('Next Gen'!$A84, Scores!$F$2:$F$926, 0))</f>
        <v>45818</v>
      </c>
      <c r="L84"/>
    </row>
    <row r="85" spans="1:12">
      <c r="A85" s="1">
        <v>108</v>
      </c>
      <c r="B85" s="1" t="s">
        <v>5</v>
      </c>
      <c r="C85" s="1">
        <v>9</v>
      </c>
      <c r="D85" s="1">
        <v>7</v>
      </c>
      <c r="E85" s="1">
        <v>4</v>
      </c>
      <c r="F85" s="1">
        <f>SUMIF(Scores!$F$2:$F$926, 'Next Gen'!$A85, INDEX(Scores!$I$2:$Q$926, 0, MATCH($B85, Scores!$I$1:$Q$1, 0)))</f>
        <v>6</v>
      </c>
      <c r="G85" s="1" t="str">
        <f>INDEX(Scores!$B$2:$B$926, MATCH('Next Gen'!$A85, Scores!$F$2:$F$926, 0))</f>
        <v>mid</v>
      </c>
      <c r="H85" s="1" t="str">
        <f>INDEX(Scores!$D$2:$D$926, MATCH('Next Gen'!$A85, Scores!$F$2:$F$926, 0))</f>
        <v>Original</v>
      </c>
      <c r="I85" s="4">
        <f>INDEX(Scores!$E$2:$E$926, MATCH('Next Gen'!$A85, Scores!$F$2:$F$926, 0))</f>
        <v>45819</v>
      </c>
      <c r="L85"/>
    </row>
    <row r="86" spans="1:12">
      <c r="A86" s="1">
        <v>108</v>
      </c>
      <c r="B86" s="1" t="s">
        <v>4</v>
      </c>
      <c r="C86" s="1">
        <v>9</v>
      </c>
      <c r="D86" s="1">
        <v>9</v>
      </c>
      <c r="E86" s="1">
        <v>4</v>
      </c>
      <c r="F86" s="1">
        <f>SUMIF(Scores!$F$2:$F$926, 'Next Gen'!$A86, INDEX(Scores!$I$2:$Q$926, 0, MATCH($B86, Scores!$I$1:$Q$1, 0)))</f>
        <v>8</v>
      </c>
      <c r="G86" s="1" t="str">
        <f>INDEX(Scores!$B$2:$B$926, MATCH('Next Gen'!$A86, Scores!$F$2:$F$926, 0))</f>
        <v>mid</v>
      </c>
      <c r="H86" s="1" t="str">
        <f>INDEX(Scores!$D$2:$D$926, MATCH('Next Gen'!$A86, Scores!$F$2:$F$926, 0))</f>
        <v>Original</v>
      </c>
      <c r="I86" s="4">
        <f>INDEX(Scores!$E$2:$E$926, MATCH('Next Gen'!$A86, Scores!$F$2:$F$926, 0))</f>
        <v>45819</v>
      </c>
      <c r="L86"/>
    </row>
    <row r="87" spans="1:12">
      <c r="A87" s="1">
        <v>109</v>
      </c>
      <c r="B87" s="1" t="s">
        <v>4</v>
      </c>
      <c r="C87" s="1">
        <v>9</v>
      </c>
      <c r="D87" s="1">
        <v>9</v>
      </c>
      <c r="E87" s="1">
        <v>4</v>
      </c>
      <c r="F87" s="1">
        <f>SUMIF(Scores!$F$2:$F$926, 'Next Gen'!$A87, INDEX(Scores!$I$2:$Q$926, 0, MATCH($B87, Scores!$I$1:$Q$1, 0)))</f>
        <v>5</v>
      </c>
      <c r="G87" s="1" t="str">
        <f>INDEX(Scores!$B$2:$B$926, MATCH('Next Gen'!$A88, Scores!$F$2:$F$926, 0))</f>
        <v>mid</v>
      </c>
      <c r="H87" s="1" t="str">
        <f>INDEX(Scores!$D$2:$D$926, MATCH('Next Gen'!$A87, Scores!$F$2:$F$926, 0))</f>
        <v>Original</v>
      </c>
      <c r="I87" s="4">
        <f>INDEX(Scores!$E$2:$E$926, MATCH('Next Gen'!$A88, Scores!$F$2:$F$926, 0))</f>
        <v>45820</v>
      </c>
      <c r="L87"/>
    </row>
    <row r="88" spans="1:12">
      <c r="A88" s="1">
        <v>109</v>
      </c>
      <c r="B88" s="1" t="s">
        <v>5</v>
      </c>
      <c r="C88" s="1">
        <v>9</v>
      </c>
      <c r="D88" s="1">
        <v>7</v>
      </c>
      <c r="E88" s="1">
        <v>3</v>
      </c>
      <c r="F88" s="1">
        <f>SUMIF(Scores!$F$2:$F$926, 'Next Gen'!$A88, INDEX(Scores!$I$2:$Q$926, 0, MATCH($B88, Scores!$I$1:$Q$1, 0)))</f>
        <v>8</v>
      </c>
      <c r="G88" s="1" t="str">
        <f>INDEX(Scores!$B$2:$B$926, MATCH('Next Gen'!$A87, Scores!$F$2:$F$926, 0))</f>
        <v>mid</v>
      </c>
      <c r="H88" s="1" t="str">
        <f>INDEX(Scores!$D$2:$D$926, MATCH('Next Gen'!$A88, Scores!$F$2:$F$926, 0))</f>
        <v>Original</v>
      </c>
      <c r="I88" s="4">
        <f>INDEX(Scores!$E$2:$E$926, MATCH('Next Gen'!$A87, Scores!$F$2:$F$926, 0))</f>
        <v>45820</v>
      </c>
      <c r="L88"/>
    </row>
    <row r="89" spans="1:12">
      <c r="A89" s="1">
        <v>110</v>
      </c>
      <c r="B89" s="1" t="s">
        <v>4</v>
      </c>
      <c r="C89" s="1">
        <v>9</v>
      </c>
      <c r="D89" s="1">
        <v>7</v>
      </c>
      <c r="E89" s="1">
        <v>3</v>
      </c>
      <c r="F89" s="1">
        <f>SUMIF(Scores!$F$2:$F$926, 'Next Gen'!$A89, INDEX(Scores!$I$2:$Q$926, 0, MATCH($B89, Scores!$I$1:$Q$1, 0)))</f>
        <v>5</v>
      </c>
      <c r="G89" s="1" t="str">
        <f>INDEX(Scores!$B$2:$B$926, MATCH('Next Gen'!$A90, Scores!$F$2:$F$926, 0))</f>
        <v>mid</v>
      </c>
      <c r="H89" s="1" t="str">
        <f>INDEX(Scores!$D$2:$D$926, MATCH('Next Gen'!$A89, Scores!$F$2:$F$926, 0))</f>
        <v>Original</v>
      </c>
      <c r="I89" s="4">
        <f>INDEX(Scores!$E$2:$E$926, MATCH('Next Gen'!$A90, Scores!$F$2:$F$926, 0))</f>
        <v>45821</v>
      </c>
      <c r="L89"/>
    </row>
    <row r="90" spans="1:12">
      <c r="A90" s="1">
        <v>110</v>
      </c>
      <c r="B90" s="1" t="s">
        <v>5</v>
      </c>
      <c r="C90" s="1">
        <v>9</v>
      </c>
      <c r="D90" s="1">
        <v>8</v>
      </c>
      <c r="E90" s="1">
        <v>1</v>
      </c>
      <c r="F90" s="1">
        <f>SUMIF(Scores!$F$2:$F$926, 'Next Gen'!$A90, INDEX(Scores!$I$2:$Q$926, 0, MATCH($B90, Scores!$I$1:$Q$1, 0)))</f>
        <v>3</v>
      </c>
      <c r="G90" s="1" t="str">
        <f>INDEX(Scores!$B$2:$B$926, MATCH('Next Gen'!$A89, Scores!$F$2:$F$926, 0))</f>
        <v>mid</v>
      </c>
      <c r="H90" s="1" t="str">
        <f>INDEX(Scores!$D$2:$D$926, MATCH('Next Gen'!$A90, Scores!$F$2:$F$926, 0))</f>
        <v>Original</v>
      </c>
      <c r="I90" s="4">
        <f>INDEX(Scores!$E$2:$E$926, MATCH('Next Gen'!$A89, Scores!$F$2:$F$926, 0))</f>
        <v>45821</v>
      </c>
      <c r="L90"/>
    </row>
    <row r="91" spans="1:12">
      <c r="A91" s="1">
        <v>111</v>
      </c>
      <c r="B91" s="1" t="s">
        <v>4</v>
      </c>
      <c r="C91" s="1">
        <v>9</v>
      </c>
      <c r="D91" s="1">
        <v>8</v>
      </c>
      <c r="E91" s="1">
        <v>4</v>
      </c>
      <c r="F91" s="1">
        <f>SUMIF(Scores!$F$2:$F$926, 'Next Gen'!$A91, INDEX(Scores!$I$2:$Q$926, 0, MATCH($B91, Scores!$I$1:$Q$1, 0)))</f>
        <v>7</v>
      </c>
      <c r="G91" s="1" t="str">
        <f>INDEX(Scores!$B$2:$B$926, MATCH('Next Gen'!$A92, Scores!$F$2:$F$926, 0))</f>
        <v>mid</v>
      </c>
      <c r="H91" s="1" t="str">
        <f>INDEX(Scores!$D$2:$D$926, MATCH('Next Gen'!$A91, Scores!$F$2:$F$926, 0))</f>
        <v>Original</v>
      </c>
      <c r="I91" s="4">
        <f>INDEX(Scores!$E$2:$E$926, MATCH('Next Gen'!$A92, Scores!$F$2:$F$926, 0))</f>
        <v>45824</v>
      </c>
      <c r="L91"/>
    </row>
    <row r="92" spans="1:12">
      <c r="A92" s="1">
        <v>111</v>
      </c>
      <c r="B92" s="1" t="s">
        <v>5</v>
      </c>
      <c r="C92" s="1">
        <v>9</v>
      </c>
      <c r="D92" s="1">
        <v>8</v>
      </c>
      <c r="E92" s="1">
        <v>2</v>
      </c>
      <c r="F92" s="1">
        <f>SUMIF(Scores!$F$2:$F$926, 'Next Gen'!$A92, INDEX(Scores!$I$2:$Q$926, 0, MATCH($B92, Scores!$I$1:$Q$1, 0)))</f>
        <v>4</v>
      </c>
      <c r="G92" s="1" t="str">
        <f>INDEX(Scores!$B$2:$B$926, MATCH('Next Gen'!$A91, Scores!$F$2:$F$926, 0))</f>
        <v>mid</v>
      </c>
      <c r="H92" s="1" t="str">
        <f>INDEX(Scores!$D$2:$D$926, MATCH('Next Gen'!$A92, Scores!$F$2:$F$926, 0))</f>
        <v>Original</v>
      </c>
      <c r="I92" s="4">
        <f>INDEX(Scores!$E$2:$E$926, MATCH('Next Gen'!$A91, Scores!$F$2:$F$926, 0))</f>
        <v>45824</v>
      </c>
      <c r="L92"/>
    </row>
    <row r="93" spans="1:12">
      <c r="A93" s="1">
        <v>112</v>
      </c>
      <c r="B93" s="1" t="s">
        <v>6</v>
      </c>
      <c r="C93" s="1">
        <v>9</v>
      </c>
      <c r="D93" s="1">
        <v>6</v>
      </c>
      <c r="E93" s="1">
        <v>3</v>
      </c>
      <c r="F93" s="1">
        <f>SUMIF(Scores!$F$2:$F$926, 'Next Gen'!$A93, INDEX(Scores!$I$2:$Q$926, 0, MATCH($B93, Scores!$I$1:$Q$1, 0)))</f>
        <v>4</v>
      </c>
      <c r="G93" s="1" t="str">
        <f>INDEX(Scores!$B$2:$B$926, MATCH('Next Gen'!$A95, Scores!$F$2:$F$926, 0))</f>
        <v>mid</v>
      </c>
      <c r="H93" s="1" t="str">
        <f>INDEX(Scores!$D$2:$D$926, MATCH('Next Gen'!$A93, Scores!$F$2:$F$926, 0))</f>
        <v>Original</v>
      </c>
      <c r="I93" s="4">
        <f>INDEX(Scores!$E$2:$E$926, MATCH('Next Gen'!$A95, Scores!$F$2:$F$926, 0))</f>
        <v>45824</v>
      </c>
      <c r="L93"/>
    </row>
    <row r="94" spans="1:12">
      <c r="A94" s="1">
        <v>112</v>
      </c>
      <c r="B94" s="1" t="s">
        <v>7</v>
      </c>
      <c r="C94" s="1">
        <v>9</v>
      </c>
      <c r="D94" s="1">
        <v>3</v>
      </c>
      <c r="E94" s="1">
        <v>2</v>
      </c>
      <c r="F94" s="1">
        <f>SUMIF(Scores!$F$2:$F$926, 'Next Gen'!$A94, INDEX(Scores!$I$2:$Q$926, 0, MATCH($B94, Scores!$I$1:$Q$1, 0)))</f>
        <v>6</v>
      </c>
      <c r="G94" s="1" t="str">
        <f>INDEX(Scores!$B$2:$B$926, MATCH('Next Gen'!$A96, Scores!$F$2:$F$926, 0))</f>
        <v>mid</v>
      </c>
      <c r="H94" s="1" t="str">
        <f>INDEX(Scores!$D$2:$D$926, MATCH('Next Gen'!$A94, Scores!$F$2:$F$926, 0))</f>
        <v>Original</v>
      </c>
      <c r="I94" s="4">
        <f>INDEX(Scores!$E$2:$E$926, MATCH('Next Gen'!$A96, Scores!$F$2:$F$926, 0))</f>
        <v>45824</v>
      </c>
      <c r="L94"/>
    </row>
    <row r="95" spans="1:12">
      <c r="A95" s="1">
        <v>112</v>
      </c>
      <c r="B95" s="1" t="s">
        <v>4</v>
      </c>
      <c r="C95" s="1">
        <v>9</v>
      </c>
      <c r="D95" s="1">
        <v>9</v>
      </c>
      <c r="E95" s="1">
        <v>2</v>
      </c>
      <c r="F95" s="1">
        <f>SUMIF(Scores!$F$2:$F$926, 'Next Gen'!$A95, INDEX(Scores!$I$2:$Q$926, 0, MATCH($B95, Scores!$I$1:$Q$1, 0)))</f>
        <v>3</v>
      </c>
      <c r="G95" s="1" t="str">
        <f>INDEX(Scores!$B$2:$B$926, MATCH('Next Gen'!$A94, Scores!$F$2:$F$926, 0))</f>
        <v>mid</v>
      </c>
      <c r="H95" s="1" t="str">
        <f>INDEX(Scores!$D$2:$D$926, MATCH('Next Gen'!$A95, Scores!$F$2:$F$926, 0))</f>
        <v>Original</v>
      </c>
      <c r="I95" s="4">
        <f>INDEX(Scores!$E$2:$E$926, MATCH('Next Gen'!$A94, Scores!$F$2:$F$926, 0))</f>
        <v>45824</v>
      </c>
      <c r="L95"/>
    </row>
    <row r="96" spans="1:12">
      <c r="A96" s="1">
        <v>112</v>
      </c>
      <c r="B96" s="1" t="s">
        <v>5</v>
      </c>
      <c r="C96" s="1">
        <v>9</v>
      </c>
      <c r="D96" s="1">
        <v>8</v>
      </c>
      <c r="E96" s="1">
        <v>1</v>
      </c>
      <c r="F96" s="1">
        <f>SUMIF(Scores!$F$2:$F$926, 'Next Gen'!$A96, INDEX(Scores!$I$2:$Q$926, 0, MATCH($B96, Scores!$I$1:$Q$1, 0)))</f>
        <v>1</v>
      </c>
      <c r="G96" s="1" t="str">
        <f>INDEX(Scores!$B$2:$B$926, MATCH('Next Gen'!$A93, Scores!$F$2:$F$926, 0))</f>
        <v>mid</v>
      </c>
      <c r="H96" s="1" t="str">
        <f>INDEX(Scores!$D$2:$D$926, MATCH('Next Gen'!$A96, Scores!$F$2:$F$926, 0))</f>
        <v>Original</v>
      </c>
      <c r="I96" s="4">
        <f>INDEX(Scores!$E$2:$E$926, MATCH('Next Gen'!$A93, Scores!$F$2:$F$926, 0))</f>
        <v>45824</v>
      </c>
      <c r="L96"/>
    </row>
    <row r="97" spans="1:12">
      <c r="A97" s="1">
        <v>113</v>
      </c>
      <c r="B97" s="1" t="s">
        <v>4</v>
      </c>
      <c r="C97" s="1">
        <v>9</v>
      </c>
      <c r="D97" s="1">
        <v>9</v>
      </c>
      <c r="E97" s="1">
        <v>7</v>
      </c>
      <c r="F97" s="1">
        <f>SUMIF(Scores!$F$2:$F$926, 'Next Gen'!$A97, INDEX(Scores!$I$2:$Q$926, 0, MATCH($B97, Scores!$I$1:$Q$1, 0)))</f>
        <v>12</v>
      </c>
      <c r="G97" s="1" t="str">
        <f>INDEX(Scores!$B$2:$B$926, MATCH('Next Gen'!$A98, Scores!$F$2:$F$926, 0))</f>
        <v>mid</v>
      </c>
      <c r="H97" s="1" t="str">
        <f>INDEX(Scores!$D$2:$D$926, MATCH('Next Gen'!$A97, Scores!$F$2:$F$926, 0))</f>
        <v>Original</v>
      </c>
      <c r="I97" s="4">
        <f>INDEX(Scores!$E$2:$E$926, MATCH('Next Gen'!$A98, Scores!$F$2:$F$926, 0))</f>
        <v>45825</v>
      </c>
      <c r="L97"/>
    </row>
    <row r="98" spans="1:12">
      <c r="A98" s="1">
        <v>113</v>
      </c>
      <c r="B98" s="1" t="s">
        <v>5</v>
      </c>
      <c r="C98" s="1">
        <v>9</v>
      </c>
      <c r="D98" s="1">
        <v>9</v>
      </c>
      <c r="E98" s="1">
        <v>3</v>
      </c>
      <c r="F98" s="1">
        <f>SUMIF(Scores!$F$2:$F$926, 'Next Gen'!$A98, INDEX(Scores!$I$2:$Q$926, 0, MATCH($B98, Scores!$I$1:$Q$1, 0)))</f>
        <v>7</v>
      </c>
      <c r="G98" s="1" t="str">
        <f>INDEX(Scores!$B$2:$B$926, MATCH('Next Gen'!$A97, Scores!$F$2:$F$926, 0))</f>
        <v>mid</v>
      </c>
      <c r="H98" s="1" t="str">
        <f>INDEX(Scores!$D$2:$D$926, MATCH('Next Gen'!$A98, Scores!$F$2:$F$926, 0))</f>
        <v>Original</v>
      </c>
      <c r="I98" s="4">
        <f>INDEX(Scores!$E$2:$E$926, MATCH('Next Gen'!$A97, Scores!$F$2:$F$926, 0))</f>
        <v>45825</v>
      </c>
      <c r="L98"/>
    </row>
    <row r="99" spans="1:12">
      <c r="A99" s="1">
        <v>114</v>
      </c>
      <c r="B99" s="1" t="s">
        <v>5</v>
      </c>
      <c r="C99" s="1">
        <v>9</v>
      </c>
      <c r="D99" s="1">
        <v>7</v>
      </c>
      <c r="E99" s="1">
        <v>4</v>
      </c>
      <c r="F99" s="1">
        <f>SUMIF(Scores!$F$2:$F$926, 'Next Gen'!$A99, INDEX(Scores!$I$2:$Q$926, 0, MATCH($B99, Scores!$I$1:$Q$1, 0)))</f>
        <v>11</v>
      </c>
      <c r="G99" s="1" t="str">
        <f>INDEX(Scores!$B$2:$B$926, MATCH('Next Gen'!$A99, Scores!$F$2:$F$926, 0))</f>
        <v>mid</v>
      </c>
      <c r="H99" s="1" t="str">
        <f>INDEX(Scores!$D$2:$D$926, MATCH('Next Gen'!$A99, Scores!$F$2:$F$926, 0))</f>
        <v>Original</v>
      </c>
      <c r="I99" s="4">
        <f>INDEX(Scores!$E$2:$E$926, MATCH('Next Gen'!$A99, Scores!$F$2:$F$926, 0))</f>
        <v>45825</v>
      </c>
      <c r="L99"/>
    </row>
    <row r="100" spans="1:12">
      <c r="A100" s="1">
        <v>114</v>
      </c>
      <c r="B100" s="1" t="s">
        <v>6</v>
      </c>
      <c r="C100" s="1">
        <v>9</v>
      </c>
      <c r="D100" s="1">
        <v>4</v>
      </c>
      <c r="E100" s="1">
        <v>1</v>
      </c>
      <c r="F100" s="1">
        <f>SUMIF(Scores!$F$2:$F$926, 'Next Gen'!$A100, INDEX(Scores!$I$2:$Q$926, 0, MATCH($B100, Scores!$I$1:$Q$1, 0)))</f>
        <v>1</v>
      </c>
      <c r="G100" s="1" t="str">
        <f>INDEX(Scores!$B$2:$B$926, MATCH('Next Gen'!$A101, Scores!$F$2:$F$926, 0))</f>
        <v>mid</v>
      </c>
      <c r="H100" s="1" t="str">
        <f>INDEX(Scores!$D$2:$D$926, MATCH('Next Gen'!$A100, Scores!$F$2:$F$926, 0))</f>
        <v>Original</v>
      </c>
      <c r="I100" s="4">
        <f>INDEX(Scores!$E$2:$E$926, MATCH('Next Gen'!$A101, Scores!$F$2:$F$926, 0))</f>
        <v>45825</v>
      </c>
      <c r="L100"/>
    </row>
    <row r="101" spans="1:12">
      <c r="A101" s="1">
        <v>114</v>
      </c>
      <c r="B101" s="1" t="s">
        <v>4</v>
      </c>
      <c r="C101" s="1">
        <v>9</v>
      </c>
      <c r="D101" s="1">
        <v>8</v>
      </c>
      <c r="E101" s="1">
        <v>0</v>
      </c>
      <c r="F101" s="1">
        <f>SUMIF(Scores!$F$2:$F$926, 'Next Gen'!$A101, INDEX(Scores!$I$2:$Q$926, 0, MATCH($B101, Scores!$I$1:$Q$1, 0)))</f>
        <v>0</v>
      </c>
      <c r="G101" s="1" t="str">
        <f>INDEX(Scores!$B$2:$B$926, MATCH('Next Gen'!$A100, Scores!$F$2:$F$926, 0))</f>
        <v>mid</v>
      </c>
      <c r="H101" s="1" t="str">
        <f>INDEX(Scores!$D$2:$D$926, MATCH('Next Gen'!$A101, Scores!$F$2:$F$926, 0))</f>
        <v>Original</v>
      </c>
      <c r="I101" s="4">
        <f>INDEX(Scores!$E$2:$E$926, MATCH('Next Gen'!$A100, Scores!$F$2:$F$926, 0))</f>
        <v>45825</v>
      </c>
      <c r="L101"/>
    </row>
    <row r="102" spans="1:12">
      <c r="A102" s="1">
        <v>115</v>
      </c>
      <c r="B102" s="1" t="s">
        <v>4</v>
      </c>
      <c r="C102" s="1">
        <v>9</v>
      </c>
      <c r="D102" s="1">
        <v>8</v>
      </c>
      <c r="E102" s="1">
        <v>5</v>
      </c>
      <c r="F102" s="1">
        <f>SUMIF(Scores!$F$2:$F$926, 'Next Gen'!$A102, INDEX(Scores!$I$2:$Q$926, 0, MATCH($B102, Scores!$I$1:$Q$1, 0)))</f>
        <v>14</v>
      </c>
      <c r="G102" s="1" t="str">
        <f>INDEX(Scores!$B$2:$B$926, MATCH('Next Gen'!$A103, Scores!$F$2:$F$926, 0))</f>
        <v>high</v>
      </c>
      <c r="H102" s="1" t="str">
        <f>INDEX(Scores!$D$2:$D$926, MATCH('Next Gen'!$A102, Scores!$F$2:$F$926, 0))</f>
        <v>Original</v>
      </c>
      <c r="I102" s="4">
        <f>INDEX(Scores!$E$2:$E$926, MATCH('Next Gen'!$A103, Scores!$F$2:$F$926, 0))</f>
        <v>45825</v>
      </c>
      <c r="L102"/>
    </row>
    <row r="103" spans="1:12">
      <c r="A103" s="1">
        <v>115</v>
      </c>
      <c r="B103" s="1" t="s">
        <v>5</v>
      </c>
      <c r="C103" s="1">
        <v>9</v>
      </c>
      <c r="D103" s="1">
        <v>8</v>
      </c>
      <c r="E103" s="1">
        <v>5</v>
      </c>
      <c r="F103" s="1">
        <f>SUMIF(Scores!$F$2:$F$926, 'Next Gen'!$A103, INDEX(Scores!$I$2:$Q$926, 0, MATCH($B103, Scores!$I$1:$Q$1, 0)))</f>
        <v>10</v>
      </c>
      <c r="G103" s="1" t="str">
        <f>INDEX(Scores!$B$2:$B$926, MATCH('Next Gen'!$A102, Scores!$F$2:$F$926, 0))</f>
        <v>high</v>
      </c>
      <c r="H103" s="1" t="str">
        <f>INDEX(Scores!$D$2:$D$926, MATCH('Next Gen'!$A103, Scores!$F$2:$F$926, 0))</f>
        <v>Original</v>
      </c>
      <c r="I103" s="4">
        <f>INDEX(Scores!$E$2:$E$926, MATCH('Next Gen'!$A102, Scores!$F$2:$F$926, 0))</f>
        <v>45825</v>
      </c>
      <c r="L103"/>
    </row>
    <row r="104" spans="1:12">
      <c r="A104" s="1">
        <v>115</v>
      </c>
      <c r="B104" s="1" t="s">
        <v>6</v>
      </c>
      <c r="C104" s="1">
        <v>9</v>
      </c>
      <c r="D104" s="1">
        <v>6</v>
      </c>
      <c r="E104" s="1">
        <v>2</v>
      </c>
      <c r="F104" s="1">
        <f>SUMIF(Scores!$F$2:$F$926, 'Next Gen'!$A104, INDEX(Scores!$I$2:$Q$926, 0, MATCH($B104, Scores!$I$1:$Q$1, 0)))</f>
        <v>2</v>
      </c>
      <c r="G104" s="1" t="str">
        <f>INDEX(Scores!$B$2:$B$926, MATCH('Next Gen'!$A104, Scores!$F$2:$F$926, 0))</f>
        <v>high</v>
      </c>
      <c r="H104" s="1" t="str">
        <f>INDEX(Scores!$D$2:$D$926, MATCH('Next Gen'!$A104, Scores!$F$2:$F$926, 0))</f>
        <v>Original</v>
      </c>
      <c r="I104" s="4">
        <f>INDEX(Scores!$E$2:$E$926, MATCH('Next Gen'!$A104, Scores!$F$2:$F$926, 0))</f>
        <v>45825</v>
      </c>
      <c r="L104"/>
    </row>
    <row r="105" spans="1:12">
      <c r="A105" s="1">
        <v>116</v>
      </c>
      <c r="B105" s="1" t="s">
        <v>5</v>
      </c>
      <c r="C105" s="1">
        <v>12</v>
      </c>
      <c r="D105" s="1">
        <v>10</v>
      </c>
      <c r="E105" s="1">
        <v>4</v>
      </c>
      <c r="F105" s="1">
        <f>SUMIF(Scores!$F$2:$F$926, 'Next Gen'!$A105, INDEX(Scores!$I$2:$Q$926, 0, MATCH($B105, Scores!$I$1:$Q$1, 0)))</f>
        <v>10</v>
      </c>
      <c r="G105" s="1" t="str">
        <f>INDEX(Scores!$B$2:$B$926, MATCH('Next Gen'!$A105, Scores!$F$2:$F$926, 0))</f>
        <v>mid</v>
      </c>
      <c r="H105" s="1" t="str">
        <f>INDEX(Scores!$D$2:$D$926, MATCH('Next Gen'!$A105, Scores!$F$2:$F$926, 0))</f>
        <v>Original</v>
      </c>
      <c r="I105" s="4">
        <f>INDEX(Scores!$E$2:$E$926, MATCH('Next Gen'!$A105, Scores!$F$2:$F$926, 0))</f>
        <v>45826</v>
      </c>
      <c r="L105"/>
    </row>
    <row r="106" spans="1:12">
      <c r="A106" s="1">
        <v>116</v>
      </c>
      <c r="B106" s="1" t="s">
        <v>4</v>
      </c>
      <c r="C106" s="1">
        <v>12</v>
      </c>
      <c r="D106" s="1">
        <v>10</v>
      </c>
      <c r="E106" s="1">
        <v>4</v>
      </c>
      <c r="F106" s="1">
        <f>SUMIF(Scores!$F$2:$F$926, 'Next Gen'!$A106, INDEX(Scores!$I$2:$Q$926, 0, MATCH($B106, Scores!$I$1:$Q$1, 0)))</f>
        <v>7</v>
      </c>
      <c r="G106" s="1" t="str">
        <f>INDEX(Scores!$B$2:$B$926, MATCH('Next Gen'!$A106, Scores!$F$2:$F$926, 0))</f>
        <v>mid</v>
      </c>
      <c r="H106" s="1" t="str">
        <f>INDEX(Scores!$D$2:$D$926, MATCH('Next Gen'!$A106, Scores!$F$2:$F$926, 0))</f>
        <v>Original</v>
      </c>
      <c r="I106" s="4">
        <f>INDEX(Scores!$E$2:$E$926, MATCH('Next Gen'!$A106, Scores!$F$2:$F$926, 0))</f>
        <v>45826</v>
      </c>
      <c r="L106"/>
    </row>
    <row r="107" spans="1:12">
      <c r="A107" s="1">
        <v>117</v>
      </c>
      <c r="B107" s="1" t="s">
        <v>4</v>
      </c>
      <c r="C107" s="1">
        <v>9</v>
      </c>
      <c r="D107" s="1">
        <v>9</v>
      </c>
      <c r="E107" s="1">
        <v>5</v>
      </c>
      <c r="F107" s="1">
        <f>SUMIF(Scores!$F$2:$F$926, 'Next Gen'!$A107, INDEX(Scores!$I$2:$Q$926, 0, MATCH($B107, Scores!$I$1:$Q$1, 0)))</f>
        <v>14</v>
      </c>
      <c r="G107" s="1" t="str">
        <f>INDEX(Scores!$B$2:$B$926, MATCH('Next Gen'!$A108, Scores!$F$2:$F$926, 0))</f>
        <v>low</v>
      </c>
      <c r="H107" s="1" t="str">
        <f>INDEX(Scores!$D$2:$D$926, MATCH('Next Gen'!$A107, Scores!$F$2:$F$926, 0))</f>
        <v>Original</v>
      </c>
      <c r="I107" s="4">
        <f>INDEX(Scores!$E$2:$E$926, MATCH('Next Gen'!$A108, Scores!$F$2:$F$926, 0))</f>
        <v>45826</v>
      </c>
      <c r="L107"/>
    </row>
    <row r="108" spans="1:12">
      <c r="A108" s="1">
        <v>117</v>
      </c>
      <c r="B108" s="1" t="s">
        <v>5</v>
      </c>
      <c r="C108" s="1">
        <v>9</v>
      </c>
      <c r="D108" s="1">
        <v>7</v>
      </c>
      <c r="E108" s="1">
        <v>2</v>
      </c>
      <c r="F108" s="1">
        <f>SUMIF(Scores!$F$2:$F$926, 'Next Gen'!$A108, INDEX(Scores!$I$2:$Q$926, 0, MATCH($B108, Scores!$I$1:$Q$1, 0)))</f>
        <v>2</v>
      </c>
      <c r="G108" s="1" t="str">
        <f>INDEX(Scores!$B$2:$B$926, MATCH('Next Gen'!$A107, Scores!$F$2:$F$926, 0))</f>
        <v>low</v>
      </c>
      <c r="H108" s="1" t="str">
        <f>INDEX(Scores!$D$2:$D$926, MATCH('Next Gen'!$A108, Scores!$F$2:$F$926, 0))</f>
        <v>Original</v>
      </c>
      <c r="I108" s="4">
        <f>INDEX(Scores!$E$2:$E$926, MATCH('Next Gen'!$A107, Scores!$F$2:$F$926, 0))</f>
        <v>45826</v>
      </c>
      <c r="L108"/>
    </row>
    <row r="109" spans="1:12">
      <c r="A109" s="1">
        <v>118</v>
      </c>
      <c r="B109" s="1" t="s">
        <v>4</v>
      </c>
      <c r="C109" s="1">
        <v>9</v>
      </c>
      <c r="D109" s="1">
        <v>7</v>
      </c>
      <c r="E109" s="1">
        <v>4</v>
      </c>
      <c r="F109" s="1">
        <f>SUMIF(Scores!$F$2:$F$926, 'Next Gen'!$A109, INDEX(Scores!$I$2:$Q$926, 0, MATCH($B109, Scores!$I$1:$Q$1, 0)))</f>
        <v>9</v>
      </c>
      <c r="G109" s="1" t="str">
        <f>INDEX(Scores!$B$2:$B$926, MATCH('Next Gen'!$A110, Scores!$F$2:$F$926, 0))</f>
        <v>high</v>
      </c>
      <c r="H109" s="1" t="str">
        <f>INDEX(Scores!$D$2:$D$926, MATCH('Next Gen'!$A109, Scores!$F$2:$F$926, 0))</f>
        <v>Original</v>
      </c>
      <c r="I109" s="4">
        <f>INDEX(Scores!$E$2:$E$926, MATCH('Next Gen'!$A110, Scores!$F$2:$F$926, 0))</f>
        <v>45826</v>
      </c>
      <c r="L109"/>
    </row>
    <row r="110" spans="1:12">
      <c r="A110" s="1">
        <v>118</v>
      </c>
      <c r="B110" s="1" t="s">
        <v>5</v>
      </c>
      <c r="C110" s="1">
        <v>9</v>
      </c>
      <c r="D110" s="1">
        <v>8</v>
      </c>
      <c r="E110" s="1">
        <v>2</v>
      </c>
      <c r="F110" s="1">
        <f>SUMIF(Scores!$F$2:$F$926, 'Next Gen'!$A110, INDEX(Scores!$I$2:$Q$926, 0, MATCH($B110, Scores!$I$1:$Q$1, 0)))</f>
        <v>5</v>
      </c>
      <c r="G110" s="1" t="str">
        <f>INDEX(Scores!$B$2:$B$926, MATCH('Next Gen'!$A109, Scores!$F$2:$F$926, 0))</f>
        <v>high</v>
      </c>
      <c r="H110" s="1" t="str">
        <f>INDEX(Scores!$D$2:$D$926, MATCH('Next Gen'!$A110, Scores!$F$2:$F$926, 0))</f>
        <v>Original</v>
      </c>
      <c r="I110" s="4">
        <f>INDEX(Scores!$E$2:$E$926, MATCH('Next Gen'!$A109, Scores!$F$2:$F$926, 0))</f>
        <v>45826</v>
      </c>
      <c r="L110"/>
    </row>
    <row r="111" spans="1:12">
      <c r="A111" s="1">
        <v>119</v>
      </c>
      <c r="B111" s="1" t="s">
        <v>5</v>
      </c>
      <c r="C111" s="1">
        <v>9</v>
      </c>
      <c r="D111" s="1">
        <v>9</v>
      </c>
      <c r="E111" s="1">
        <v>6</v>
      </c>
      <c r="F111" s="1">
        <f>SUMIF(Scores!$F$2:$F$926, 'Next Gen'!$A111, INDEX(Scores!$I$2:$Q$926, 0, MATCH($B111, Scores!$I$1:$Q$1, 0)))</f>
        <v>13</v>
      </c>
      <c r="G111" s="1" t="str">
        <f>INDEX(Scores!$B$2:$B$926, MATCH('Next Gen'!$A111, Scores!$F$2:$F$926, 0))</f>
        <v>mid</v>
      </c>
      <c r="H111" s="1" t="str">
        <f>INDEX(Scores!$D$2:$D$926, MATCH('Next Gen'!$A111, Scores!$F$2:$F$926, 0))</f>
        <v>Original</v>
      </c>
      <c r="I111" s="4">
        <f>INDEX(Scores!$E$2:$E$926, MATCH('Next Gen'!$A111, Scores!$F$2:$F$926, 0))</f>
        <v>45827</v>
      </c>
      <c r="L111"/>
    </row>
    <row r="112" spans="1:12">
      <c r="A112" s="1">
        <v>119</v>
      </c>
      <c r="B112" s="1" t="s">
        <v>4</v>
      </c>
      <c r="C112" s="1">
        <v>9</v>
      </c>
      <c r="D112" s="1">
        <v>9</v>
      </c>
      <c r="E112" s="1">
        <v>4</v>
      </c>
      <c r="F112" s="1">
        <f>SUMIF(Scores!$F$2:$F$926, 'Next Gen'!$A112, INDEX(Scores!$I$2:$Q$926, 0, MATCH($B112, Scores!$I$1:$Q$1, 0)))</f>
        <v>8</v>
      </c>
      <c r="G112" s="1" t="str">
        <f>INDEX(Scores!$B$2:$B$926, MATCH('Next Gen'!$A112, Scores!$F$2:$F$926, 0))</f>
        <v>mid</v>
      </c>
      <c r="H112" s="1" t="str">
        <f>INDEX(Scores!$D$2:$D$926, MATCH('Next Gen'!$A112, Scores!$F$2:$F$926, 0))</f>
        <v>Original</v>
      </c>
      <c r="I112" s="4">
        <f>INDEX(Scores!$E$2:$E$926, MATCH('Next Gen'!$A112, Scores!$F$2:$F$926, 0))</f>
        <v>45827</v>
      </c>
      <c r="L112"/>
    </row>
    <row r="113" spans="1:12" ht="17" customHeight="1">
      <c r="A113" s="1">
        <v>120</v>
      </c>
      <c r="B113" s="1" t="s">
        <v>4</v>
      </c>
      <c r="C113" s="1">
        <v>12</v>
      </c>
      <c r="D113" s="1">
        <v>12</v>
      </c>
      <c r="E113" s="1">
        <v>6</v>
      </c>
      <c r="F113" s="1">
        <f>SUMIF(Scores!$F$2:$F$926, 'Next Gen'!$A113, INDEX(Scores!$I$2:$Q$926, 0, MATCH($B113, Scores!$I$1:$Q$1, 0)))</f>
        <v>12</v>
      </c>
      <c r="G113" s="1" t="str">
        <f>INDEX(Scores!$B$2:$B$926, MATCH('Next Gen'!$A114, Scores!$F$2:$F$926, 0))</f>
        <v>mid</v>
      </c>
      <c r="H113" s="1" t="str">
        <f>INDEX(Scores!$D$2:$D$926, MATCH('Next Gen'!$A113, Scores!$F$2:$F$926, 0))</f>
        <v>Original</v>
      </c>
      <c r="I113" s="4">
        <f>INDEX(Scores!$E$2:$E$926, MATCH('Next Gen'!$A114, Scores!$F$2:$F$926, 0))</f>
        <v>45827</v>
      </c>
      <c r="L113"/>
    </row>
    <row r="114" spans="1:12">
      <c r="A114" s="1">
        <v>120</v>
      </c>
      <c r="B114" s="1" t="s">
        <v>5</v>
      </c>
      <c r="C114" s="1">
        <v>12</v>
      </c>
      <c r="D114" s="1">
        <v>12</v>
      </c>
      <c r="E114" s="1">
        <v>5</v>
      </c>
      <c r="F114" s="1">
        <f>SUMIF(Scores!$F$2:$F$926, 'Next Gen'!$A114, INDEX(Scores!$I$2:$Q$926, 0, MATCH($B114, Scores!$I$1:$Q$1, 0)))</f>
        <v>8</v>
      </c>
      <c r="G114" s="1" t="str">
        <f>INDEX(Scores!$B$2:$B$926, MATCH('Next Gen'!$A113, Scores!$F$2:$F$926, 0))</f>
        <v>mid</v>
      </c>
      <c r="H114" s="1" t="str">
        <f>INDEX(Scores!$D$2:$D$926, MATCH('Next Gen'!$A114, Scores!$F$2:$F$926, 0))</f>
        <v>Original</v>
      </c>
      <c r="I114" s="4">
        <f>INDEX(Scores!$E$2:$E$926, MATCH('Next Gen'!$A113, Scores!$F$2:$F$926, 0))</f>
        <v>45827</v>
      </c>
      <c r="L114"/>
    </row>
    <row r="115" spans="1:12" ht="17" customHeight="1">
      <c r="A115" s="1">
        <v>121</v>
      </c>
      <c r="B115" s="1" t="s">
        <v>4</v>
      </c>
      <c r="C115" s="1">
        <v>9</v>
      </c>
      <c r="D115" s="1">
        <v>7</v>
      </c>
      <c r="E115" s="1">
        <v>5</v>
      </c>
      <c r="F115" s="1">
        <f>SUMIF(Scores!$F$2:$F$926, 'Next Gen'!$A115, INDEX(Scores!$I$2:$Q$926, 0, MATCH($B115, Scores!$I$1:$Q$1, 0)))</f>
        <v>10</v>
      </c>
      <c r="G115" s="1" t="str">
        <f>INDEX(Scores!$B$2:$B$926, MATCH('Next Gen'!$A116, Scores!$F$2:$F$926, 0))</f>
        <v>mid</v>
      </c>
      <c r="H115" s="1" t="str">
        <f>INDEX(Scores!$D$2:$D$926, MATCH('Next Gen'!$A115, Scores!$F$2:$F$926, 0))</f>
        <v>Original</v>
      </c>
      <c r="I115" s="4">
        <f>INDEX(Scores!$E$2:$E$926, MATCH('Next Gen'!$A116, Scores!$F$2:$F$926, 0))</f>
        <v>45828</v>
      </c>
      <c r="L115"/>
    </row>
    <row r="116" spans="1:12">
      <c r="A116" s="1">
        <v>121</v>
      </c>
      <c r="B116" s="1" t="s">
        <v>5</v>
      </c>
      <c r="C116" s="1">
        <v>9</v>
      </c>
      <c r="D116" s="1">
        <v>7</v>
      </c>
      <c r="E116" s="1">
        <v>4</v>
      </c>
      <c r="F116" s="1">
        <f>SUMIF(Scores!$F$2:$F$926, 'Next Gen'!$A116, INDEX(Scores!$I$2:$Q$926, 0, MATCH($B116, Scores!$I$1:$Q$1, 0)))</f>
        <v>6</v>
      </c>
      <c r="G116" s="1" t="str">
        <f>INDEX(Scores!$B$2:$B$926, MATCH('Next Gen'!$A115, Scores!$F$2:$F$926, 0))</f>
        <v>mid</v>
      </c>
      <c r="H116" s="1" t="str">
        <f>INDEX(Scores!$D$2:$D$926, MATCH('Next Gen'!$A116, Scores!$F$2:$F$926, 0))</f>
        <v>Original</v>
      </c>
      <c r="I116" s="4">
        <f>INDEX(Scores!$E$2:$E$926, MATCH('Next Gen'!$A115, Scores!$F$2:$F$926, 0))</f>
        <v>45828</v>
      </c>
      <c r="L116"/>
    </row>
    <row r="117" spans="1:12" ht="17" customHeight="1">
      <c r="A117" s="1">
        <v>122</v>
      </c>
      <c r="B117" s="1" t="s">
        <v>5</v>
      </c>
      <c r="C117" s="1">
        <v>9</v>
      </c>
      <c r="D117" s="1">
        <v>7</v>
      </c>
      <c r="E117" s="1">
        <v>6</v>
      </c>
      <c r="F117" s="1">
        <f>SUMIF(Scores!$F$2:$F$926, 'Next Gen'!$A117, INDEX(Scores!$I$2:$Q$926, 0, MATCH($B117, Scores!$I$1:$Q$1, 0)))</f>
        <v>11</v>
      </c>
      <c r="G117" s="1" t="str">
        <f>INDEX(Scores!$B$2:$B$926, MATCH('Next Gen'!$A117, Scores!$F$2:$F$926, 0))</f>
        <v>high</v>
      </c>
      <c r="H117" s="1" t="str">
        <f>INDEX(Scores!$D$2:$D$926, MATCH('Next Gen'!$A117, Scores!$F$2:$F$926, 0))</f>
        <v>Original</v>
      </c>
      <c r="I117" s="4">
        <f>INDEX(Scores!$E$2:$E$926, MATCH('Next Gen'!$A117, Scores!$F$2:$F$926, 0))</f>
        <v>45828</v>
      </c>
      <c r="L117"/>
    </row>
    <row r="118" spans="1:12">
      <c r="A118" s="1">
        <v>122</v>
      </c>
      <c r="B118" s="1" t="s">
        <v>4</v>
      </c>
      <c r="C118" s="1">
        <v>9</v>
      </c>
      <c r="D118" s="1">
        <v>7</v>
      </c>
      <c r="E118" s="1">
        <v>3</v>
      </c>
      <c r="F118" s="1">
        <f>SUMIF(Scores!$F$2:$F$926, 'Next Gen'!$A118, INDEX(Scores!$I$2:$Q$926, 0, MATCH($B118, Scores!$I$1:$Q$1, 0)))</f>
        <v>7</v>
      </c>
      <c r="G118" s="1" t="str">
        <f>INDEX(Scores!$B$2:$B$926, MATCH('Next Gen'!$A118, Scores!$F$2:$F$926, 0))</f>
        <v>high</v>
      </c>
      <c r="H118" s="1" t="str">
        <f>INDEX(Scores!$D$2:$D$926, MATCH('Next Gen'!$A118, Scores!$F$2:$F$926, 0))</f>
        <v>Original</v>
      </c>
      <c r="I118" s="4">
        <f>INDEX(Scores!$E$2:$E$926, MATCH('Next Gen'!$A118, Scores!$F$2:$F$926, 0))</f>
        <v>45828</v>
      </c>
      <c r="L118"/>
    </row>
    <row r="119" spans="1:12" ht="17" customHeight="1">
      <c r="A119" s="1">
        <v>123</v>
      </c>
      <c r="B119" s="1" t="s">
        <v>4</v>
      </c>
      <c r="C119" s="1">
        <v>9</v>
      </c>
      <c r="D119" s="1">
        <v>8</v>
      </c>
      <c r="E119" s="1">
        <v>4</v>
      </c>
      <c r="F119" s="1">
        <f>SUMIF(Scores!$F$2:$F$926, 'Next Gen'!$A119, INDEX(Scores!$I$2:$Q$926, 0, MATCH($B119, Scores!$I$1:$Q$1, 0)))</f>
        <v>11</v>
      </c>
      <c r="G119" s="1" t="str">
        <f>INDEX(Scores!$B$2:$B$926, MATCH('Next Gen'!$A120, Scores!$F$2:$F$926, 0))</f>
        <v>low</v>
      </c>
      <c r="H119" s="1" t="str">
        <f>INDEX(Scores!$D$2:$D$926, MATCH('Next Gen'!$A119, Scores!$F$2:$F$926, 0))</f>
        <v>Original</v>
      </c>
      <c r="I119" s="4">
        <f>INDEX(Scores!$E$2:$E$926, MATCH('Next Gen'!$A120, Scores!$F$2:$F$926, 0))</f>
        <v>45828</v>
      </c>
      <c r="L119"/>
    </row>
    <row r="120" spans="1:12">
      <c r="A120" s="1">
        <v>123</v>
      </c>
      <c r="B120" s="1" t="s">
        <v>5</v>
      </c>
      <c r="C120" s="1">
        <v>9</v>
      </c>
      <c r="D120" s="1">
        <v>8</v>
      </c>
      <c r="E120" s="1">
        <v>2</v>
      </c>
      <c r="F120" s="1">
        <f>SUMIF(Scores!$F$2:$F$926, 'Next Gen'!$A120, INDEX(Scores!$I$2:$Q$926, 0, MATCH($B120, Scores!$I$1:$Q$1, 0)))</f>
        <v>3</v>
      </c>
      <c r="G120" s="1" t="str">
        <f>INDEX(Scores!$B$2:$B$926, MATCH('Next Gen'!$A119, Scores!$F$2:$F$926, 0))</f>
        <v>low</v>
      </c>
      <c r="H120" s="1" t="str">
        <f>INDEX(Scores!$D$2:$D$926, MATCH('Next Gen'!$A120, Scores!$F$2:$F$926, 0))</f>
        <v>Original</v>
      </c>
      <c r="I120" s="4">
        <f>INDEX(Scores!$E$2:$E$926, MATCH('Next Gen'!$A119, Scores!$F$2:$F$926, 0))</f>
        <v>45828</v>
      </c>
      <c r="L120"/>
    </row>
    <row r="121" spans="1:12" ht="17" customHeight="1">
      <c r="A121" s="1">
        <v>124</v>
      </c>
      <c r="B121" s="1" t="s">
        <v>5</v>
      </c>
      <c r="C121" s="1">
        <v>9</v>
      </c>
      <c r="D121" s="1">
        <v>7</v>
      </c>
      <c r="E121" s="1">
        <v>4</v>
      </c>
      <c r="F121" s="1">
        <f>SUMIF(Scores!$F$2:$F$926, 'Next Gen'!$A121, INDEX(Scores!$I$2:$Q$926, 0, MATCH($B121, Scores!$I$1:$Q$1, 0)))</f>
        <v>12</v>
      </c>
      <c r="G121" s="1" t="str">
        <f>INDEX(Scores!$B$2:$B$926, MATCH('Next Gen'!$A121, Scores!$F$2:$F$926, 0))</f>
        <v>mid</v>
      </c>
      <c r="H121" s="1" t="str">
        <f>INDEX(Scores!$D$2:$D$926, MATCH('Next Gen'!$A121, Scores!$F$2:$F$926, 0))</f>
        <v>Original</v>
      </c>
      <c r="I121" s="4">
        <f>INDEX(Scores!$E$2:$E$926, MATCH('Next Gen'!$A121, Scores!$F$2:$F$926, 0))</f>
        <v>45831</v>
      </c>
      <c r="L121"/>
    </row>
    <row r="122" spans="1:12">
      <c r="A122" s="1">
        <v>124</v>
      </c>
      <c r="B122" s="1" t="s">
        <v>78</v>
      </c>
      <c r="C122" s="1">
        <v>9</v>
      </c>
      <c r="D122" s="1">
        <v>2</v>
      </c>
      <c r="E122" s="1">
        <v>1</v>
      </c>
      <c r="F122" s="1">
        <f>SUMIF(Scores!$F$2:$F$926, 'Next Gen'!$A122, INDEX(Scores!$I$2:$Q$926, 0, MATCH($B122, Scores!$I$1:$Q$1, 0)))</f>
        <v>2</v>
      </c>
      <c r="G122" s="1" t="str">
        <f>INDEX(Scores!$B$2:$B$926, MATCH('Next Gen'!$A122, Scores!$F$2:$F$926, 0))</f>
        <v>mid</v>
      </c>
      <c r="H122" s="1" t="str">
        <f>INDEX(Scores!$D$2:$D$926, MATCH('Next Gen'!$A122, Scores!$F$2:$F$926, 0))</f>
        <v>Original</v>
      </c>
      <c r="I122" s="4">
        <f>INDEX(Scores!$E$2:$E$926, MATCH('Next Gen'!$A122, Scores!$F$2:$F$926, 0))</f>
        <v>45831</v>
      </c>
      <c r="L122"/>
    </row>
    <row r="123" spans="1:12" ht="17" customHeight="1">
      <c r="A123" s="1">
        <v>125</v>
      </c>
      <c r="B123" s="1" t="s">
        <v>5</v>
      </c>
      <c r="C123" s="1">
        <v>9</v>
      </c>
      <c r="D123" s="1">
        <v>8</v>
      </c>
      <c r="E123" s="1">
        <v>6</v>
      </c>
      <c r="F123" s="1">
        <f>SUMIF(Scores!$F$2:$F$926, 'Next Gen'!$A123, INDEX(Scores!$I$2:$Q$926, 0, MATCH($B123, Scores!$I$1:$Q$1, 0)))</f>
        <v>10</v>
      </c>
      <c r="G123" s="1" t="str">
        <f>INDEX(Scores!$B$2:$B$926, MATCH('Next Gen'!$A123, Scores!$F$2:$F$926, 0))</f>
        <v>mid</v>
      </c>
      <c r="H123" s="1" t="str">
        <f>INDEX(Scores!$D$2:$D$926, MATCH('Next Gen'!$A123, Scores!$F$2:$F$926, 0))</f>
        <v>Original</v>
      </c>
      <c r="I123" s="4">
        <f>INDEX(Scores!$E$2:$E$926, MATCH('Next Gen'!$A123, Scores!$F$2:$F$926, 0))</f>
        <v>45831</v>
      </c>
      <c r="L123"/>
    </row>
    <row r="124" spans="1:12">
      <c r="A124" s="1">
        <v>125</v>
      </c>
      <c r="B124" s="1" t="s">
        <v>4</v>
      </c>
      <c r="C124" s="1">
        <v>9</v>
      </c>
      <c r="D124" s="1">
        <v>9</v>
      </c>
      <c r="E124" s="1">
        <v>3</v>
      </c>
      <c r="F124" s="1">
        <f>SUMIF(Scores!$F$2:$F$926, 'Next Gen'!$A124, INDEX(Scores!$I$2:$Q$926, 0, MATCH($B124, Scores!$I$1:$Q$1, 0)))</f>
        <v>9</v>
      </c>
      <c r="G124" s="1" t="str">
        <f>INDEX(Scores!$B$2:$B$926, MATCH('Next Gen'!$A124, Scores!$F$2:$F$926, 0))</f>
        <v>mid</v>
      </c>
      <c r="H124" s="1" t="str">
        <f>INDEX(Scores!$D$2:$D$926, MATCH('Next Gen'!$A124, Scores!$F$2:$F$926, 0))</f>
        <v>Original</v>
      </c>
      <c r="I124" s="4">
        <f>INDEX(Scores!$E$2:$E$926, MATCH('Next Gen'!$A124, Scores!$F$2:$F$926, 0))</f>
        <v>45831</v>
      </c>
      <c r="L124"/>
    </row>
    <row r="125" spans="1:12" ht="17" customHeight="1">
      <c r="A125" s="1">
        <v>126</v>
      </c>
      <c r="B125" s="1" t="s">
        <v>4</v>
      </c>
      <c r="C125" s="1">
        <v>15</v>
      </c>
      <c r="D125" s="1">
        <v>13</v>
      </c>
      <c r="E125" s="1">
        <v>4</v>
      </c>
      <c r="F125" s="1">
        <f>SUMIF(Scores!$F$2:$F$926, 'Next Gen'!$A125, INDEX(Scores!$I$2:$Q$926, 0, MATCH($B125, Scores!$I$1:$Q$1, 0)))</f>
        <v>9</v>
      </c>
      <c r="G125" s="1" t="str">
        <f>INDEX(Scores!$B$2:$B$926, MATCH('Next Gen'!$A126, Scores!$F$2:$F$926, 0))</f>
        <v>mid</v>
      </c>
      <c r="H125" s="1" t="str">
        <f>INDEX(Scores!$D$2:$D$926, MATCH('Next Gen'!$A125, Scores!$F$2:$F$926, 0))</f>
        <v>Original</v>
      </c>
      <c r="I125" s="4">
        <f>INDEX(Scores!$E$2:$E$926, MATCH('Next Gen'!$A126, Scores!$F$2:$F$926, 0))</f>
        <v>45832</v>
      </c>
      <c r="L125"/>
    </row>
    <row r="126" spans="1:12">
      <c r="A126" s="1">
        <v>126</v>
      </c>
      <c r="B126" s="1" t="s">
        <v>5</v>
      </c>
      <c r="C126" s="1">
        <v>15</v>
      </c>
      <c r="D126" s="1">
        <v>13</v>
      </c>
      <c r="E126" s="1">
        <v>3</v>
      </c>
      <c r="F126" s="1">
        <f>SUMIF(Scores!$F$2:$F$926, 'Next Gen'!$A126, INDEX(Scores!$I$2:$Q$926, 0, MATCH($B126, Scores!$I$1:$Q$1, 0)))</f>
        <v>5</v>
      </c>
      <c r="G126" s="1" t="str">
        <f>INDEX(Scores!$B$2:$B$926, MATCH('Next Gen'!$A125, Scores!$F$2:$F$926, 0))</f>
        <v>mid</v>
      </c>
      <c r="H126" s="1" t="str">
        <f>INDEX(Scores!$D$2:$D$926, MATCH('Next Gen'!$A126, Scores!$F$2:$F$926, 0))</f>
        <v>Original</v>
      </c>
      <c r="I126" s="4">
        <f>INDEX(Scores!$E$2:$E$926, MATCH('Next Gen'!$A125, Scores!$F$2:$F$926, 0))</f>
        <v>45832</v>
      </c>
      <c r="L126"/>
    </row>
    <row r="127" spans="1:12" ht="17" customHeight="1">
      <c r="A127" s="1">
        <v>127</v>
      </c>
      <c r="B127" s="1" t="s">
        <v>5</v>
      </c>
      <c r="C127" s="1">
        <v>9</v>
      </c>
      <c r="D127" s="1">
        <v>9</v>
      </c>
      <c r="E127" s="1">
        <v>5</v>
      </c>
      <c r="F127" s="1">
        <f>SUMIF(Scores!$F$2:$F$926, 'Next Gen'!$A127, INDEX(Scores!$I$2:$Q$926, 0, MATCH($B127, Scores!$I$1:$Q$1, 0)))</f>
        <v>11</v>
      </c>
      <c r="G127" s="1" t="str">
        <f>INDEX(Scores!$B$2:$B$926, MATCH('Next Gen'!$A127, Scores!$F$2:$F$926, 0))</f>
        <v>mid</v>
      </c>
      <c r="H127" s="1" t="str">
        <f>INDEX(Scores!$D$2:$D$926, MATCH('Next Gen'!$A127, Scores!$F$2:$F$926, 0))</f>
        <v>Original</v>
      </c>
      <c r="I127" s="4">
        <f>INDEX(Scores!$E$2:$E$926, MATCH('Next Gen'!$A127, Scores!$F$2:$F$926, 0))</f>
        <v>45832</v>
      </c>
      <c r="L127"/>
    </row>
    <row r="128" spans="1:12">
      <c r="A128" s="1">
        <v>127</v>
      </c>
      <c r="B128" s="1" t="s">
        <v>6</v>
      </c>
      <c r="C128" s="1">
        <v>9</v>
      </c>
      <c r="D128" s="1">
        <v>4</v>
      </c>
      <c r="E128" s="1">
        <v>2</v>
      </c>
      <c r="F128" s="1">
        <f>SUMIF(Scores!$F$2:$F$926, 'Next Gen'!$A128, INDEX(Scores!$I$2:$Q$926, 0, MATCH($B128, Scores!$I$1:$Q$1, 0)))</f>
        <v>4</v>
      </c>
      <c r="G128" s="1" t="str">
        <f>INDEX(Scores!$B$2:$B$926, MATCH('Next Gen'!$A129, Scores!$F$2:$F$926, 0))</f>
        <v>mid</v>
      </c>
      <c r="H128" s="1" t="str">
        <f>INDEX(Scores!$D$2:$D$926, MATCH('Next Gen'!$A128, Scores!$F$2:$F$926, 0))</f>
        <v>Original</v>
      </c>
      <c r="I128" s="4">
        <f>INDEX(Scores!$E$2:$E$926, MATCH('Next Gen'!$A129, Scores!$F$2:$F$926, 0))</f>
        <v>45832</v>
      </c>
      <c r="L128"/>
    </row>
    <row r="129" spans="1:12">
      <c r="A129" s="1">
        <v>127</v>
      </c>
      <c r="B129" s="1" t="s">
        <v>4</v>
      </c>
      <c r="C129" s="1">
        <v>9</v>
      </c>
      <c r="D129" s="1">
        <v>9</v>
      </c>
      <c r="E129" s="1">
        <v>2</v>
      </c>
      <c r="F129" s="1">
        <f>SUMIF(Scores!$F$2:$F$926, 'Next Gen'!$A129, INDEX(Scores!$I$2:$Q$926, 0, MATCH($B129, Scores!$I$1:$Q$1, 0)))</f>
        <v>2</v>
      </c>
      <c r="G129" s="1" t="str">
        <f>INDEX(Scores!$B$2:$B$926, MATCH('Next Gen'!$A128, Scores!$F$2:$F$926, 0))</f>
        <v>mid</v>
      </c>
      <c r="H129" s="1" t="str">
        <f>INDEX(Scores!$D$2:$D$926, MATCH('Next Gen'!$A129, Scores!$F$2:$F$926, 0))</f>
        <v>Original</v>
      </c>
      <c r="I129" s="4">
        <f>INDEX(Scores!$E$2:$E$926, MATCH('Next Gen'!$A128, Scores!$F$2:$F$926, 0))</f>
        <v>45832</v>
      </c>
      <c r="L129"/>
    </row>
    <row r="130" spans="1:12">
      <c r="A130" s="1">
        <v>128</v>
      </c>
      <c r="B130" s="1" t="s">
        <v>4</v>
      </c>
      <c r="C130" s="1">
        <v>9</v>
      </c>
      <c r="D130" s="1">
        <v>8</v>
      </c>
      <c r="E130" s="1">
        <v>5</v>
      </c>
      <c r="F130" s="1">
        <f>SUMIF(Scores!$F$2:$F$926, 'Next Gen'!$A130, INDEX(Scores!$I$2:$Q$926, 0, MATCH($B130, Scores!$I$1:$Q$1, 0)))</f>
        <v>7</v>
      </c>
      <c r="G130" s="1" t="str">
        <f>INDEX(Scores!$B$2:$B$926, MATCH('Next Gen'!$A130, Scores!$F$2:$F$926, 0))</f>
        <v>mid</v>
      </c>
      <c r="H130" s="1" t="str">
        <f>INDEX(Scores!$D$2:$D$926, MATCH('Next Gen'!$A130, Scores!$F$2:$F$926, 0))</f>
        <v>Original</v>
      </c>
      <c r="I130" s="4">
        <f>INDEX(Scores!$E$2:$E$926, MATCH('Next Gen'!$A130, Scores!$F$2:$F$926, 0))</f>
        <v>45832</v>
      </c>
      <c r="L130"/>
    </row>
    <row r="131" spans="1:12">
      <c r="A131" s="1">
        <v>128</v>
      </c>
      <c r="B131" s="1" t="s">
        <v>5</v>
      </c>
      <c r="C131" s="1">
        <v>9</v>
      </c>
      <c r="D131" s="1">
        <v>8</v>
      </c>
      <c r="E131" s="1">
        <v>2</v>
      </c>
      <c r="F131" s="1">
        <f>SUMIF(Scores!$F$2:$F$926, 'Next Gen'!$A131, INDEX(Scores!$I$2:$Q$926, 0, MATCH($B131, Scores!$I$1:$Q$1, 0)))</f>
        <v>2</v>
      </c>
      <c r="G131" s="1" t="str">
        <f>INDEX(Scores!$B$2:$B$926, MATCH('Next Gen'!$A131, Scores!$F$2:$F$926, 0))</f>
        <v>mid</v>
      </c>
      <c r="H131" s="1" t="str">
        <f>INDEX(Scores!$D$2:$D$926, MATCH('Next Gen'!$A131, Scores!$F$2:$F$926, 0))</f>
        <v>Original</v>
      </c>
      <c r="I131" s="4">
        <f>INDEX(Scores!$E$2:$E$926, MATCH('Next Gen'!$A131, Scores!$F$2:$F$926, 0))</f>
        <v>45832</v>
      </c>
      <c r="L131"/>
    </row>
    <row r="132" spans="1:12">
      <c r="A132" s="1">
        <v>129</v>
      </c>
      <c r="B132" s="1" t="s">
        <v>5</v>
      </c>
      <c r="C132" s="1">
        <v>9</v>
      </c>
      <c r="D132" s="1">
        <v>8</v>
      </c>
      <c r="E132" s="1">
        <v>4</v>
      </c>
      <c r="F132" s="1">
        <f>SUMIF(Scores!$F$2:$F$926, 'Next Gen'!$A132, INDEX(Scores!$I$2:$Q$926, 0, MATCH($B132, Scores!$I$1:$Q$1, 0)))</f>
        <v>7</v>
      </c>
      <c r="G132" s="1" t="str">
        <f>INDEX(Scores!$B$2:$B$926, MATCH('Next Gen'!$A133, Scores!$F$2:$F$926, 0))</f>
        <v>mid</v>
      </c>
      <c r="H132" s="1" t="str">
        <f>INDEX(Scores!$D$2:$D$926, MATCH('Next Gen'!$A132, Scores!$F$2:$F$926, 0))</f>
        <v>Original</v>
      </c>
      <c r="I132" s="4">
        <f>INDEX(Scores!$E$2:$E$926, MATCH('Next Gen'!$A133, Scores!$F$2:$F$926, 0))</f>
        <v>45833</v>
      </c>
      <c r="L132"/>
    </row>
    <row r="133" spans="1:12">
      <c r="A133" s="1">
        <v>129</v>
      </c>
      <c r="B133" s="1" t="s">
        <v>4</v>
      </c>
      <c r="C133" s="1">
        <v>9</v>
      </c>
      <c r="D133" s="1">
        <v>9</v>
      </c>
      <c r="E133" s="1">
        <v>0</v>
      </c>
      <c r="F133" s="1">
        <f>SUMIF(Scores!$F$2:$F$926, 'Next Gen'!$A133, INDEX(Scores!$I$2:$Q$926, 0, MATCH($B133, Scores!$I$1:$Q$1, 0)))</f>
        <v>0</v>
      </c>
      <c r="G133" s="1" t="str">
        <f>INDEX(Scores!$B$2:$B$926, MATCH('Next Gen'!$A132, Scores!$F$2:$F$926, 0))</f>
        <v>mid</v>
      </c>
      <c r="H133" s="1" t="str">
        <f>INDEX(Scores!$D$2:$D$926, MATCH('Next Gen'!$A133, Scores!$F$2:$F$926, 0))</f>
        <v>Original</v>
      </c>
      <c r="I133" s="4">
        <f>INDEX(Scores!$E$2:$E$926, MATCH('Next Gen'!$A132, Scores!$F$2:$F$926, 0))</f>
        <v>45833</v>
      </c>
      <c r="L133"/>
    </row>
    <row r="134" spans="1:12">
      <c r="A134" s="1">
        <v>130</v>
      </c>
      <c r="B134" s="1" t="s">
        <v>4</v>
      </c>
      <c r="C134" s="1">
        <v>9</v>
      </c>
      <c r="D134" s="1">
        <v>9</v>
      </c>
      <c r="E134" s="1">
        <v>6</v>
      </c>
      <c r="F134" s="1">
        <f>SUMIF(Scores!$F$2:$F$926, 'Next Gen'!$A134, INDEX(Scores!$I$2:$Q$926, 0, MATCH($B134, Scores!$I$1:$Q$1, 0)))</f>
        <v>14</v>
      </c>
      <c r="G134" s="1" t="str">
        <f>INDEX(Scores!$B$2:$B$926, MATCH('Next Gen'!$A135, Scores!$F$2:$F$926, 0))</f>
        <v>mid</v>
      </c>
      <c r="H134" s="1" t="str">
        <f>INDEX(Scores!$D$2:$D$926, MATCH('Next Gen'!$A134, Scores!$F$2:$F$926, 0))</f>
        <v>Original</v>
      </c>
      <c r="I134" s="4">
        <f>INDEX(Scores!$E$2:$E$926, MATCH('Next Gen'!$A135, Scores!$F$2:$F$926, 0))</f>
        <v>45833</v>
      </c>
      <c r="L134"/>
    </row>
    <row r="135" spans="1:12">
      <c r="A135" s="1">
        <v>130</v>
      </c>
      <c r="B135" s="1" t="s">
        <v>78</v>
      </c>
      <c r="C135" s="1">
        <v>9</v>
      </c>
      <c r="D135" s="1">
        <v>4</v>
      </c>
      <c r="E135" s="1">
        <v>1</v>
      </c>
      <c r="F135" s="1">
        <f>SUMIF(Scores!$F$2:$F$926, 'Next Gen'!$A135, INDEX(Scores!$I$2:$Q$926, 0, MATCH($B135, Scores!$I$1:$Q$1, 0)))</f>
        <v>1</v>
      </c>
      <c r="G135" s="1" t="str">
        <f>INDEX(Scores!$B$2:$B$926, MATCH('Next Gen'!$A136, Scores!$F$2:$F$926, 0))</f>
        <v>mid</v>
      </c>
      <c r="H135" s="1" t="str">
        <f>INDEX(Scores!$D$2:$D$926, MATCH('Next Gen'!$A135, Scores!$F$2:$F$926, 0))</f>
        <v>Original</v>
      </c>
      <c r="I135" s="4">
        <f>INDEX(Scores!$E$2:$E$926, MATCH('Next Gen'!$A136, Scores!$F$2:$F$926, 0))</f>
        <v>45833</v>
      </c>
      <c r="L135"/>
    </row>
    <row r="136" spans="1:12">
      <c r="A136" s="1">
        <v>130</v>
      </c>
      <c r="B136" s="1" t="s">
        <v>5</v>
      </c>
      <c r="C136" s="1">
        <v>9</v>
      </c>
      <c r="D136" s="1">
        <v>7</v>
      </c>
      <c r="E136" s="1">
        <v>0</v>
      </c>
      <c r="F136" s="1">
        <f>SUMIF(Scores!$F$2:$F$926, 'Next Gen'!$A136, INDEX(Scores!$I$2:$Q$926, 0, MATCH($B136, Scores!$I$1:$Q$1, 0)))</f>
        <v>0</v>
      </c>
      <c r="G136" s="1" t="str">
        <f>INDEX(Scores!$B$2:$B$926, MATCH('Next Gen'!$A134, Scores!$F$2:$F$926, 0))</f>
        <v>mid</v>
      </c>
      <c r="H136" s="1" t="str">
        <f>INDEX(Scores!$D$2:$D$926, MATCH('Next Gen'!$A136, Scores!$F$2:$F$926, 0))</f>
        <v>Original</v>
      </c>
      <c r="I136" s="4">
        <f>INDEX(Scores!$E$2:$E$926, MATCH('Next Gen'!$A134, Scores!$F$2:$F$926, 0))</f>
        <v>45833</v>
      </c>
      <c r="L136"/>
    </row>
    <row r="137" spans="1:12">
      <c r="A137" s="1">
        <v>131</v>
      </c>
      <c r="B137" s="1" t="s">
        <v>4</v>
      </c>
      <c r="C137" s="1">
        <v>12</v>
      </c>
      <c r="D137" s="1">
        <v>12</v>
      </c>
      <c r="E137" s="1">
        <v>5</v>
      </c>
      <c r="F137" s="1">
        <f>SUMIF(Scores!$F$2:$F$926, 'Next Gen'!$A137, INDEX(Scores!$I$2:$Q$926, 0, MATCH($B137, Scores!$I$1:$Q$1, 0)))</f>
        <v>9</v>
      </c>
      <c r="G137" s="1" t="str">
        <f>INDEX(Scores!$B$2:$B$926, MATCH('Next Gen'!$A137, Scores!$F$2:$F$926, 0))</f>
        <v>mid</v>
      </c>
      <c r="H137" s="1" t="str">
        <f>INDEX(Scores!$D$2:$D$926, MATCH('Next Gen'!$A137, Scores!$F$2:$F$926, 0))</f>
        <v>Original</v>
      </c>
      <c r="I137" s="4">
        <f>INDEX(Scores!$E$2:$E$926, MATCH('Next Gen'!$A137, Scores!$F$2:$F$926, 0))</f>
        <v>45833</v>
      </c>
      <c r="L137"/>
    </row>
    <row r="138" spans="1:12">
      <c r="A138" s="1">
        <v>131</v>
      </c>
      <c r="B138" s="1" t="s">
        <v>5</v>
      </c>
      <c r="C138" s="1">
        <v>12</v>
      </c>
      <c r="D138" s="1">
        <v>10</v>
      </c>
      <c r="E138" s="1">
        <v>5</v>
      </c>
      <c r="F138" s="1">
        <f>SUMIF(Scores!$F$2:$F$926, 'Next Gen'!$A138, INDEX(Scores!$I$2:$Q$926, 0, MATCH($B138, Scores!$I$1:$Q$1, 0)))</f>
        <v>7</v>
      </c>
      <c r="G138" s="1" t="str">
        <f>INDEX(Scores!$B$2:$B$926, MATCH('Next Gen'!$A138, Scores!$F$2:$F$926, 0))</f>
        <v>mid</v>
      </c>
      <c r="H138" s="1" t="str">
        <f>INDEX(Scores!$D$2:$D$926, MATCH('Next Gen'!$A138, Scores!$F$2:$F$926, 0))</f>
        <v>Original</v>
      </c>
      <c r="I138" s="4">
        <f>INDEX(Scores!$E$2:$E$926, MATCH('Next Gen'!$A138, Scores!$F$2:$F$926, 0))</f>
        <v>45833</v>
      </c>
      <c r="L138"/>
    </row>
    <row r="139" spans="1:12">
      <c r="A139" s="1">
        <v>132</v>
      </c>
      <c r="B139" s="1" t="s">
        <v>4</v>
      </c>
      <c r="C139" s="1">
        <v>9</v>
      </c>
      <c r="D139" s="1">
        <v>9</v>
      </c>
      <c r="E139" s="1">
        <v>4</v>
      </c>
      <c r="F139" s="1">
        <f>SUMIF(Scores!$F$2:$F$926, 'Next Gen'!$A139, INDEX(Scores!$I$2:$Q$926, 0, MATCH($B139, Scores!$I$1:$Q$1, 0)))</f>
        <v>10</v>
      </c>
      <c r="G139" s="1" t="str">
        <f>INDEX(Scores!$B$2:$B$926, MATCH('Next Gen'!$A139, Scores!$F$2:$F$926, 0))</f>
        <v>mid</v>
      </c>
      <c r="H139" s="1" t="str">
        <f>INDEX(Scores!$D$2:$D$926, MATCH('Next Gen'!$A139, Scores!$F$2:$F$926, 0))</f>
        <v>Original</v>
      </c>
      <c r="I139" s="4">
        <f>INDEX(Scores!$E$2:$E$926, MATCH('Next Gen'!$A139, Scores!$F$2:$F$926, 0))</f>
        <v>45834</v>
      </c>
      <c r="L139"/>
    </row>
    <row r="140" spans="1:12">
      <c r="A140" s="1">
        <v>132</v>
      </c>
      <c r="B140" s="1" t="s">
        <v>5</v>
      </c>
      <c r="C140" s="1">
        <v>9</v>
      </c>
      <c r="D140" s="1">
        <v>8</v>
      </c>
      <c r="E140" s="1">
        <v>2</v>
      </c>
      <c r="F140" s="1">
        <f>SUMIF(Scores!$F$2:$F$926, 'Next Gen'!$A140, INDEX(Scores!$I$2:$Q$926, 0, MATCH($B140, Scores!$I$1:$Q$1, 0)))</f>
        <v>4</v>
      </c>
      <c r="G140" s="1" t="str">
        <f>INDEX(Scores!$B$2:$B$926, MATCH('Next Gen'!$A140, Scores!$F$2:$F$926, 0))</f>
        <v>mid</v>
      </c>
      <c r="H140" s="1" t="str">
        <f>INDEX(Scores!$D$2:$D$926, MATCH('Next Gen'!$A140, Scores!$F$2:$F$926, 0))</f>
        <v>Original</v>
      </c>
      <c r="I140" s="4">
        <f>INDEX(Scores!$E$2:$E$926, MATCH('Next Gen'!$A140, Scores!$F$2:$F$926, 0))</f>
        <v>45834</v>
      </c>
      <c r="L140"/>
    </row>
    <row r="141" spans="1:12">
      <c r="A141" s="1">
        <v>132</v>
      </c>
      <c r="B141" s="1" t="s">
        <v>78</v>
      </c>
      <c r="C141" s="1">
        <v>9</v>
      </c>
      <c r="D141" s="1">
        <v>4</v>
      </c>
      <c r="E141" s="1">
        <v>2</v>
      </c>
      <c r="F141" s="1">
        <f>SUMIF(Scores!$F$2:$F$926, 'Next Gen'!$A141, INDEX(Scores!$I$2:$Q$926, 0, MATCH($B141, Scores!$I$1:$Q$1, 0)))</f>
        <v>4</v>
      </c>
      <c r="G141" s="1" t="str">
        <f>INDEX(Scores!$B$2:$B$926, MATCH('Next Gen'!$A141, Scores!$F$2:$F$926, 0))</f>
        <v>mid</v>
      </c>
      <c r="H141" s="1" t="str">
        <f>INDEX(Scores!$D$2:$D$926, MATCH('Next Gen'!$A141, Scores!$F$2:$F$926, 0))</f>
        <v>Original</v>
      </c>
      <c r="I141" s="4">
        <f>INDEX(Scores!$E$2:$E$926, MATCH('Next Gen'!$A141, Scores!$F$2:$F$926, 0))</f>
        <v>45834</v>
      </c>
      <c r="L141"/>
    </row>
    <row r="142" spans="1:12">
      <c r="A142" s="1">
        <v>133</v>
      </c>
      <c r="B142" s="1" t="s">
        <v>4</v>
      </c>
      <c r="C142" s="1">
        <v>9</v>
      </c>
      <c r="D142" s="1">
        <v>9</v>
      </c>
      <c r="E142" s="1">
        <v>5</v>
      </c>
      <c r="F142" s="1">
        <f>SUMIF(Scores!$F$2:$F$926, 'Next Gen'!$A142, INDEX(Scores!$I$2:$Q$926, 0, MATCH($B142, Scores!$I$1:$Q$1, 0)))</f>
        <v>10</v>
      </c>
      <c r="G142" s="1" t="str">
        <f>INDEX(Scores!$B$2:$B$926, MATCH('Next Gen'!$A142, Scores!$F$2:$F$926, 0))</f>
        <v>mid</v>
      </c>
      <c r="H142" s="1" t="str">
        <f>INDEX(Scores!$D$2:$D$926, MATCH('Next Gen'!$A142, Scores!$F$2:$F$926, 0))</f>
        <v>Original</v>
      </c>
      <c r="I142" s="4">
        <f>INDEX(Scores!$E$2:$E$926, MATCH('Next Gen'!$A142, Scores!$F$2:$F$926, 0))</f>
        <v>45834</v>
      </c>
      <c r="L142"/>
    </row>
    <row r="143" spans="1:12">
      <c r="A143" s="1">
        <v>133</v>
      </c>
      <c r="B143" s="1" t="s">
        <v>5</v>
      </c>
      <c r="C143" s="1">
        <v>9</v>
      </c>
      <c r="D143" s="1">
        <v>8</v>
      </c>
      <c r="E143" s="1">
        <v>3</v>
      </c>
      <c r="F143" s="1">
        <f>SUMIF(Scores!$F$2:$F$926, 'Next Gen'!$A143, INDEX(Scores!$I$2:$Q$926, 0, MATCH($B143, Scores!$I$1:$Q$1, 0)))</f>
        <v>4</v>
      </c>
      <c r="G143" s="1" t="str">
        <f>INDEX(Scores!$B$2:$B$926, MATCH('Next Gen'!$A143, Scores!$F$2:$F$926, 0))</f>
        <v>mid</v>
      </c>
      <c r="H143" s="1" t="str">
        <f>INDEX(Scores!$D$2:$D$926, MATCH('Next Gen'!$A143, Scores!$F$2:$F$926, 0))</f>
        <v>Original</v>
      </c>
      <c r="I143" s="4">
        <f>INDEX(Scores!$E$2:$E$926, MATCH('Next Gen'!$A143, Scores!$F$2:$F$926, 0))</f>
        <v>45834</v>
      </c>
      <c r="L143"/>
    </row>
    <row r="144" spans="1:12">
      <c r="A144" s="1">
        <v>134</v>
      </c>
      <c r="B144" s="1" t="s">
        <v>4</v>
      </c>
      <c r="C144" s="1">
        <v>9</v>
      </c>
      <c r="D144" s="1">
        <v>9</v>
      </c>
      <c r="E144" s="1">
        <v>3</v>
      </c>
      <c r="F144" s="1">
        <f>SUMIF(Scores!$F$2:$F$926, 'Next Gen'!$A144, INDEX(Scores!$I$2:$Q$926, 0, MATCH($B144, Scores!$I$1:$Q$1, 0)))</f>
        <v>6</v>
      </c>
      <c r="G144" s="1" t="str">
        <f>INDEX(Scores!$B$2:$B$926, MATCH('Next Gen'!$A144, Scores!$F$2:$F$926, 0))</f>
        <v>mid</v>
      </c>
      <c r="H144" s="1" t="str">
        <f>INDEX(Scores!$D$2:$D$926, MATCH('Next Gen'!$A144, Scores!$F$2:$F$926, 0))</f>
        <v>Original</v>
      </c>
      <c r="I144" s="4">
        <f>INDEX(Scores!$E$2:$E$926, MATCH('Next Gen'!$A144, Scores!$F$2:$F$926, 0))</f>
        <v>45835</v>
      </c>
      <c r="L144"/>
    </row>
    <row r="145" spans="1:12">
      <c r="A145" s="1">
        <v>134</v>
      </c>
      <c r="B145" s="1" t="s">
        <v>78</v>
      </c>
      <c r="C145" s="1">
        <v>9</v>
      </c>
      <c r="D145" s="1">
        <v>5</v>
      </c>
      <c r="E145" s="1">
        <v>1</v>
      </c>
      <c r="F145" s="1">
        <f>SUMIF(Scores!$F$2:$F$926, 'Next Gen'!$A145, INDEX(Scores!$I$2:$Q$926, 0, MATCH($B145, Scores!$I$1:$Q$1, 0)))</f>
        <v>3</v>
      </c>
      <c r="G145" s="1" t="str">
        <f>INDEX(Scores!$B$2:$B$926, MATCH('Next Gen'!$A145, Scores!$F$2:$F$926, 0))</f>
        <v>mid</v>
      </c>
      <c r="H145" s="1" t="str">
        <f>INDEX(Scores!$D$2:$D$926, MATCH('Next Gen'!$A145, Scores!$F$2:$F$926, 0))</f>
        <v>Original</v>
      </c>
      <c r="I145" s="4">
        <f>INDEX(Scores!$E$2:$E$926, MATCH('Next Gen'!$A145, Scores!$F$2:$F$926, 0))</f>
        <v>45835</v>
      </c>
      <c r="L145"/>
    </row>
    <row r="146" spans="1:12">
      <c r="A146" s="1">
        <v>135</v>
      </c>
      <c r="B146" s="1" t="s">
        <v>4</v>
      </c>
      <c r="C146" s="1">
        <v>9</v>
      </c>
      <c r="D146" s="1">
        <v>8</v>
      </c>
      <c r="E146" s="1">
        <v>6</v>
      </c>
      <c r="F146" s="1">
        <f>SUMIF(Scores!$F$2:$F$926, 'Next Gen'!$A146, INDEX(Scores!$I$2:$Q$926, 0, MATCH($B146, Scores!$I$1:$Q$1, 0)))</f>
        <v>16</v>
      </c>
      <c r="G146" s="1" t="str">
        <f>INDEX(Scores!$B$2:$B$926, MATCH('Next Gen'!$A146, Scores!$F$2:$F$926, 0))</f>
        <v>mid</v>
      </c>
      <c r="H146" s="1" t="str">
        <f>INDEX(Scores!$D$2:$D$926, MATCH('Next Gen'!$A146, Scores!$F$2:$F$926, 0))</f>
        <v>Original</v>
      </c>
      <c r="I146" s="4">
        <f>INDEX(Scores!$E$2:$E$926, MATCH('Next Gen'!$A146, Scores!$F$2:$F$926, 0))</f>
        <v>45835</v>
      </c>
      <c r="L146"/>
    </row>
    <row r="147" spans="1:12">
      <c r="A147" s="1">
        <v>135</v>
      </c>
      <c r="B147" s="1" t="s">
        <v>5</v>
      </c>
      <c r="C147" s="1">
        <v>9</v>
      </c>
      <c r="D147" s="1">
        <v>5</v>
      </c>
      <c r="E147" s="1">
        <v>0</v>
      </c>
      <c r="F147" s="1">
        <f>SUMIF(Scores!$F$2:$F$926, 'Next Gen'!$A147, INDEX(Scores!$I$2:$Q$926, 0, MATCH($B147, Scores!$I$1:$Q$1, 0)))</f>
        <v>0</v>
      </c>
      <c r="G147" s="1" t="str">
        <f>INDEX(Scores!$B$2:$B$926, MATCH('Next Gen'!$A147, Scores!$F$2:$F$926, 0))</f>
        <v>mid</v>
      </c>
      <c r="H147" s="1" t="str">
        <f>INDEX(Scores!$D$2:$D$926, MATCH('Next Gen'!$A147, Scores!$F$2:$F$926, 0))</f>
        <v>Original</v>
      </c>
      <c r="I147" s="4">
        <f>INDEX(Scores!$E$2:$E$926, MATCH('Next Gen'!$A147, Scores!$F$2:$F$926, 0))</f>
        <v>45835</v>
      </c>
      <c r="L147"/>
    </row>
    <row r="148" spans="1:12">
      <c r="A148" s="1">
        <v>136</v>
      </c>
      <c r="B148" s="1" t="s">
        <v>5</v>
      </c>
      <c r="C148" s="1">
        <v>9</v>
      </c>
      <c r="D148" s="1">
        <v>8</v>
      </c>
      <c r="E148" s="1">
        <v>4</v>
      </c>
      <c r="F148" s="1">
        <f>SUMIF(Scores!$F$2:$F$926, 'Next Gen'!$A148, INDEX(Scores!$I$2:$Q$926, 0, MATCH($B148, Scores!$I$1:$Q$1, 0)))</f>
        <v>9</v>
      </c>
      <c r="G148" s="1" t="str">
        <f>INDEX(Scores!$B$2:$B$926, MATCH('Next Gen'!$A149, Scores!$F$2:$F$926, 0))</f>
        <v>high</v>
      </c>
      <c r="H148" s="1" t="str">
        <f>INDEX(Scores!$D$2:$D$926, MATCH('Next Gen'!$A148, Scores!$F$2:$F$926, 0))</f>
        <v>Original</v>
      </c>
      <c r="I148" s="4">
        <f>INDEX(Scores!$E$2:$E$926, MATCH('Next Gen'!$A149, Scores!$F$2:$F$926, 0))</f>
        <v>45835</v>
      </c>
      <c r="L148"/>
    </row>
    <row r="149" spans="1:12">
      <c r="A149" s="1">
        <v>136</v>
      </c>
      <c r="B149" s="1" t="s">
        <v>4</v>
      </c>
      <c r="C149" s="1">
        <v>9</v>
      </c>
      <c r="D149" s="1">
        <v>7</v>
      </c>
      <c r="E149" s="1">
        <v>2</v>
      </c>
      <c r="F149" s="1">
        <f>SUMIF(Scores!$F$2:$F$926, 'Next Gen'!$A149, INDEX(Scores!$I$2:$Q$926, 0, MATCH($B149, Scores!$I$1:$Q$1, 0)))</f>
        <v>4</v>
      </c>
      <c r="G149" s="1" t="str">
        <f>INDEX(Scores!$B$2:$B$926, MATCH('Next Gen'!$A148, Scores!$F$2:$F$926, 0))</f>
        <v>high</v>
      </c>
      <c r="H149" s="1" t="str">
        <f>INDEX(Scores!$D$2:$D$926, MATCH('Next Gen'!$A149, Scores!$F$2:$F$926, 0))</f>
        <v>Original</v>
      </c>
      <c r="I149" s="4">
        <f>INDEX(Scores!$E$2:$E$926, MATCH('Next Gen'!$A148, Scores!$F$2:$F$926, 0))</f>
        <v>45835</v>
      </c>
      <c r="L149"/>
    </row>
    <row r="150" spans="1:12">
      <c r="A150" s="1">
        <v>137</v>
      </c>
      <c r="B150" s="1" t="s">
        <v>5</v>
      </c>
      <c r="C150" s="1">
        <v>9</v>
      </c>
      <c r="D150" s="1">
        <v>9</v>
      </c>
      <c r="E150" s="1">
        <v>4</v>
      </c>
      <c r="F150" s="1">
        <f>SUMIF(Scores!$F$2:$F$926, 'Next Gen'!$A150, INDEX(Scores!$I$2:$Q$926, 0, MATCH($B150, Scores!$I$1:$Q$1, 0)))</f>
        <v>9</v>
      </c>
      <c r="G150" s="1" t="str">
        <f>INDEX(Scores!$B$2:$B$926, MATCH('Next Gen'!$A151, Scores!$F$2:$F$926, 0))</f>
        <v>mid</v>
      </c>
      <c r="H150" s="1" t="str">
        <f>INDEX(Scores!$D$2:$D$926, MATCH('Next Gen'!$A150, Scores!$F$2:$F$926, 0))</f>
        <v>Original</v>
      </c>
      <c r="I150" s="4">
        <f>INDEX(Scores!$E$2:$E$926, MATCH('Next Gen'!$A151, Scores!$F$2:$F$926, 0))</f>
        <v>45838</v>
      </c>
      <c r="L150"/>
    </row>
    <row r="151" spans="1:12">
      <c r="A151" s="1">
        <v>137</v>
      </c>
      <c r="B151" s="1" t="s">
        <v>78</v>
      </c>
      <c r="C151" s="1">
        <v>9</v>
      </c>
      <c r="D151" s="1">
        <v>5</v>
      </c>
      <c r="E151" s="1">
        <v>1</v>
      </c>
      <c r="F151" s="1">
        <f>SUMIF(Scores!$F$2:$F$926, 'Next Gen'!$A151, INDEX(Scores!$I$2:$Q$926, 0, MATCH($B151, Scores!$I$1:$Q$1, 0)))</f>
        <v>1</v>
      </c>
      <c r="G151" s="1" t="str">
        <f>INDEX(Scores!$B$2:$B$926, MATCH('Next Gen'!$A152, Scores!$F$2:$F$926, 0))</f>
        <v>mid</v>
      </c>
      <c r="H151" s="1" t="str">
        <f>INDEX(Scores!$D$2:$D$926, MATCH('Next Gen'!$A151, Scores!$F$2:$F$926, 0))</f>
        <v>Original</v>
      </c>
      <c r="I151" s="4">
        <f>INDEX(Scores!$E$2:$E$926, MATCH('Next Gen'!$A152, Scores!$F$2:$F$926, 0))</f>
        <v>45838</v>
      </c>
      <c r="L151"/>
    </row>
    <row r="152" spans="1:12">
      <c r="A152" s="1">
        <v>137</v>
      </c>
      <c r="B152" s="1" t="s">
        <v>4</v>
      </c>
      <c r="C152" s="1">
        <v>9</v>
      </c>
      <c r="D152" s="1">
        <v>9</v>
      </c>
      <c r="E152" s="1">
        <v>1</v>
      </c>
      <c r="F152" s="1">
        <f>SUMIF(Scores!$F$2:$F$926, 'Next Gen'!$A152, INDEX(Scores!$I$2:$Q$926, 0, MATCH($B152, Scores!$I$1:$Q$1, 0)))</f>
        <v>5</v>
      </c>
      <c r="G152" s="1" t="str">
        <f>INDEX(Scores!$B$2:$B$926, MATCH('Next Gen'!$A150, Scores!$F$2:$F$926, 0))</f>
        <v>mid</v>
      </c>
      <c r="H152" s="1" t="str">
        <f>INDEX(Scores!$D$2:$D$926, MATCH('Next Gen'!$A152, Scores!$F$2:$F$926, 0))</f>
        <v>Original</v>
      </c>
      <c r="I152" s="4">
        <f>INDEX(Scores!$E$2:$E$926, MATCH('Next Gen'!$A150, Scores!$F$2:$F$926, 0))</f>
        <v>45838</v>
      </c>
    </row>
    <row r="153" spans="1:12">
      <c r="A153" s="1">
        <v>138</v>
      </c>
      <c r="B153" s="1" t="s">
        <v>4</v>
      </c>
      <c r="C153" s="1">
        <v>9</v>
      </c>
      <c r="D153" s="1">
        <v>8</v>
      </c>
      <c r="E153" s="1">
        <v>5</v>
      </c>
      <c r="F153" s="1">
        <f>SUMIF(Scores!$F$2:$F$926, 'Next Gen'!$A153, INDEX(Scores!$I$2:$Q$926, 0, MATCH($B153, Scores!$I$1:$Q$1, 0)))</f>
        <v>13</v>
      </c>
      <c r="G153" s="1" t="str">
        <f>INDEX(Scores!$B$2:$B$926, MATCH('Next Gen'!$A153, Scores!$F$2:$F$926, 0))</f>
        <v>high</v>
      </c>
      <c r="H153" s="1" t="str">
        <f>INDEX(Scores!$D$2:$D$926, MATCH('Next Gen'!$A153, Scores!$F$2:$F$926, 0))</f>
        <v>Original</v>
      </c>
      <c r="I153" s="4">
        <f>INDEX(Scores!$E$2:$E$926, MATCH('Next Gen'!$A153, Scores!$F$2:$F$926, 0))</f>
        <v>45838</v>
      </c>
    </row>
    <row r="154" spans="1:12">
      <c r="A154" s="1">
        <v>138</v>
      </c>
      <c r="B154" s="1" t="s">
        <v>78</v>
      </c>
      <c r="C154" s="1">
        <v>9</v>
      </c>
      <c r="D154" s="1">
        <v>5</v>
      </c>
      <c r="E154" s="1">
        <v>3</v>
      </c>
      <c r="F154" s="1">
        <f>SUMIF(Scores!$F$2:$F$926, 'Next Gen'!$A154, INDEX(Scores!$I$2:$Q$926, 0, MATCH($B154, Scores!$I$1:$Q$1, 0)))</f>
        <v>3</v>
      </c>
      <c r="G154" s="1" t="str">
        <f>INDEX(Scores!$B$2:$B$926, MATCH('Next Gen'!$A155, Scores!$F$2:$F$926, 0))</f>
        <v>high</v>
      </c>
      <c r="H154" s="1" t="str">
        <f>INDEX(Scores!$D$2:$D$926, MATCH('Next Gen'!$A154, Scores!$F$2:$F$926, 0))</f>
        <v>Original</v>
      </c>
      <c r="I154" s="4">
        <f>INDEX(Scores!$E$2:$E$926, MATCH('Next Gen'!$A155, Scores!$F$2:$F$926, 0))</f>
        <v>45838</v>
      </c>
    </row>
    <row r="155" spans="1:12">
      <c r="A155" s="1">
        <v>138</v>
      </c>
      <c r="B155" s="1" t="s">
        <v>5</v>
      </c>
      <c r="C155" s="1">
        <v>9</v>
      </c>
      <c r="D155" s="1">
        <v>5</v>
      </c>
      <c r="E155" s="1">
        <v>2</v>
      </c>
      <c r="F155" s="1">
        <f>SUMIF(Scores!$F$2:$F$926, 'Next Gen'!$A155, INDEX(Scores!$I$2:$Q$926, 0, MATCH($B155, Scores!$I$1:$Q$1, 0)))</f>
        <v>3</v>
      </c>
      <c r="G155" s="1" t="str">
        <f>INDEX(Scores!$B$2:$B$926, MATCH('Next Gen'!$A154, Scores!$F$2:$F$926, 0))</f>
        <v>high</v>
      </c>
      <c r="H155" s="1" t="str">
        <f>INDEX(Scores!$D$2:$D$926, MATCH('Next Gen'!$A155, Scores!$F$2:$F$926, 0))</f>
        <v>Original</v>
      </c>
      <c r="I155" s="4">
        <f>INDEX(Scores!$E$2:$E$926, MATCH('Next Gen'!$A154, Scores!$F$2:$F$926, 0))</f>
        <v>45838</v>
      </c>
    </row>
    <row r="156" spans="1:12">
      <c r="A156" s="1">
        <v>139</v>
      </c>
      <c r="B156" s="1" t="s">
        <v>5</v>
      </c>
      <c r="C156" s="1">
        <v>9</v>
      </c>
      <c r="D156" s="1">
        <v>9</v>
      </c>
      <c r="E156" s="1">
        <v>3</v>
      </c>
      <c r="F156" s="1">
        <f>SUMIF(Scores!$F$2:$F$926, 'Next Gen'!$A156, INDEX(Scores!$I$2:$Q$926, 0, MATCH($B156, Scores!$I$1:$Q$1, 0)))</f>
        <v>4</v>
      </c>
      <c r="G156" s="1" t="str">
        <f>INDEX(Scores!$B$2:$B$926, MATCH('Next Gen'!$A157, Scores!$F$2:$F$926, 0))</f>
        <v>mid</v>
      </c>
      <c r="H156" s="1" t="str">
        <f>INDEX(Scores!$D$2:$D$926, MATCH('Next Gen'!$A156, Scores!$F$2:$F$926, 0))</f>
        <v>Original</v>
      </c>
      <c r="I156" s="4">
        <f>INDEX(Scores!$E$2:$E$926, MATCH('Next Gen'!$A157, Scores!$F$2:$F$926, 0))</f>
        <v>45838</v>
      </c>
    </row>
    <row r="157" spans="1:12">
      <c r="A157" s="1">
        <v>139</v>
      </c>
      <c r="B157" s="1" t="s">
        <v>6</v>
      </c>
      <c r="C157" s="1">
        <v>9</v>
      </c>
      <c r="D157" s="1">
        <v>5</v>
      </c>
      <c r="E157" s="1">
        <v>3</v>
      </c>
      <c r="F157" s="1">
        <f>SUMIF(Scores!$F$2:$F$926, 'Next Gen'!$A157, INDEX(Scores!$I$2:$Q$926, 0, MATCH($B157, Scores!$I$1:$Q$1, 0)))</f>
        <v>5</v>
      </c>
      <c r="G157" s="1" t="str">
        <f>INDEX(Scores!$B$2:$B$926, MATCH('Next Gen'!$A158, Scores!$F$2:$F$926, 0))</f>
        <v>mid</v>
      </c>
      <c r="H157" s="1" t="str">
        <f>INDEX(Scores!$D$2:$D$926, MATCH('Next Gen'!$A157, Scores!$F$2:$F$926, 0))</f>
        <v>Original</v>
      </c>
      <c r="I157" s="4">
        <f>INDEX(Scores!$E$2:$E$926, MATCH('Next Gen'!$A158, Scores!$F$2:$F$926, 0))</f>
        <v>45838</v>
      </c>
    </row>
    <row r="158" spans="1:12">
      <c r="A158" s="1">
        <v>139</v>
      </c>
      <c r="B158" s="1" t="s">
        <v>4</v>
      </c>
      <c r="C158" s="1">
        <v>9</v>
      </c>
      <c r="D158" s="1">
        <v>8</v>
      </c>
      <c r="E158" s="1">
        <v>2</v>
      </c>
      <c r="F158" s="1">
        <f>SUMIF(Scores!$F$2:$F$926, 'Next Gen'!$A158, INDEX(Scores!$I$2:$Q$926, 0, MATCH($B158, Scores!$I$1:$Q$1, 0)))</f>
        <v>4</v>
      </c>
      <c r="G158" s="1" t="str">
        <f>INDEX(Scores!$B$2:$B$926, MATCH('Next Gen'!$A156, Scores!$F$2:$F$926, 0))</f>
        <v>mid</v>
      </c>
      <c r="H158" s="1" t="str">
        <f>INDEX(Scores!$D$2:$D$926, MATCH('Next Gen'!$A158, Scores!$F$2:$F$926, 0))</f>
        <v>Original</v>
      </c>
      <c r="I158" s="4">
        <f>INDEX(Scores!$E$2:$E$926, MATCH('Next Gen'!$A156, Scores!$F$2:$F$926, 0))</f>
        <v>45838</v>
      </c>
    </row>
    <row r="159" spans="1:12">
      <c r="A159" s="1">
        <v>140</v>
      </c>
      <c r="B159" s="1" t="s">
        <v>5</v>
      </c>
      <c r="C159" s="1">
        <v>12</v>
      </c>
      <c r="D159" s="1">
        <v>12</v>
      </c>
      <c r="E159" s="1">
        <v>8</v>
      </c>
      <c r="F159" s="1">
        <f>SUMIF(Scores!$F$2:$F$926, 'Next Gen'!$A159, INDEX(Scores!$I$2:$Q$926, 0, MATCH($B159, Scores!$I$1:$Q$1, 0)))</f>
        <v>14</v>
      </c>
      <c r="G159" s="1" t="str">
        <f>INDEX(Scores!$B$2:$B$926, MATCH('Next Gen'!$A160, Scores!$F$2:$F$926, 0))</f>
        <v>mid</v>
      </c>
      <c r="H159" s="1" t="str">
        <f>INDEX(Scores!$D$2:$D$926, MATCH('Next Gen'!$A159, Scores!$F$2:$F$926, 0))</f>
        <v>Original</v>
      </c>
      <c r="I159" s="4">
        <f>INDEX(Scores!$E$2:$E$926, MATCH('Next Gen'!$A160, Scores!$F$2:$F$926, 0))</f>
        <v>45839</v>
      </c>
    </row>
    <row r="160" spans="1:12">
      <c r="A160" s="1">
        <v>140</v>
      </c>
      <c r="B160" s="1" t="s">
        <v>4</v>
      </c>
      <c r="C160" s="1">
        <v>12</v>
      </c>
      <c r="D160" s="1">
        <v>12</v>
      </c>
      <c r="E160" s="1">
        <v>4</v>
      </c>
      <c r="F160" s="1">
        <f>SUMIF(Scores!$F$2:$F$926, 'Next Gen'!$A160, INDEX(Scores!$I$2:$Q$926, 0, MATCH($B160, Scores!$I$1:$Q$1, 0)))</f>
        <v>8</v>
      </c>
      <c r="G160" s="1" t="str">
        <f>INDEX(Scores!$B$2:$B$926, MATCH('Next Gen'!$A159, Scores!$F$2:$F$926, 0))</f>
        <v>mid</v>
      </c>
      <c r="H160" s="1" t="str">
        <f>INDEX(Scores!$D$2:$D$926, MATCH('Next Gen'!$A160, Scores!$F$2:$F$926, 0))</f>
        <v>Original</v>
      </c>
      <c r="I160" s="4">
        <f>INDEX(Scores!$E$2:$E$926, MATCH('Next Gen'!$A159, Scores!$F$2:$F$926, 0))</f>
        <v>45839</v>
      </c>
    </row>
    <row r="161" spans="1:9">
      <c r="A161" s="1">
        <v>140</v>
      </c>
      <c r="B161" s="1" t="s">
        <v>78</v>
      </c>
      <c r="C161" s="1">
        <v>9</v>
      </c>
      <c r="D161" s="1">
        <v>5</v>
      </c>
      <c r="E161" s="1">
        <v>2</v>
      </c>
      <c r="F161" s="1">
        <f>SUMIF(Scores!$F$2:$F$926, 'Next Gen'!$A161, INDEX(Scores!$I$2:$Q$926, 0, MATCH($B161, Scores!$I$1:$Q$1, 0)))</f>
        <v>2</v>
      </c>
      <c r="G161" s="1" t="str">
        <f>INDEX(Scores!$B$2:$B$926, MATCH('Next Gen'!$A161, Scores!$F$2:$F$926, 0))</f>
        <v>mid</v>
      </c>
      <c r="H161" s="1" t="str">
        <f>INDEX(Scores!$D$2:$D$926, MATCH('Next Gen'!$A161, Scores!$F$2:$F$926, 0))</f>
        <v>Original</v>
      </c>
      <c r="I161" s="4">
        <f>INDEX(Scores!$E$2:$E$926, MATCH('Next Gen'!$A161, Scores!$F$2:$F$926, 0))</f>
        <v>45839</v>
      </c>
    </row>
    <row r="162" spans="1:9">
      <c r="A162" s="1">
        <v>141</v>
      </c>
      <c r="B162" s="1" t="s">
        <v>5</v>
      </c>
      <c r="C162" s="1">
        <v>9</v>
      </c>
      <c r="D162" s="1">
        <v>8</v>
      </c>
      <c r="E162" s="1">
        <v>5</v>
      </c>
      <c r="F162" s="1">
        <f>SUMIF(Scores!$F$2:$F$926, 'Next Gen'!$A162, INDEX(Scores!$I$2:$Q$926, 0, MATCH($B162, Scores!$I$1:$Q$1, 0)))</f>
        <v>14</v>
      </c>
      <c r="G162" s="1" t="str">
        <f>INDEX(Scores!$B$2:$B$926, MATCH('Next Gen'!$A163, Scores!$F$2:$F$926, 0))</f>
        <v>high</v>
      </c>
      <c r="H162" s="1" t="str">
        <f>INDEX(Scores!$D$2:$D$926, MATCH('Next Gen'!$A162, Scores!$F$2:$F$926, 0))</f>
        <v>Original</v>
      </c>
      <c r="I162" s="4">
        <f>INDEX(Scores!$E$2:$E$926, MATCH('Next Gen'!$A163, Scores!$F$2:$F$926, 0))</f>
        <v>45839</v>
      </c>
    </row>
    <row r="163" spans="1:9">
      <c r="A163" s="1">
        <v>141</v>
      </c>
      <c r="B163" s="1" t="s">
        <v>4</v>
      </c>
      <c r="C163" s="1">
        <v>9</v>
      </c>
      <c r="D163" s="1">
        <v>7</v>
      </c>
      <c r="E163" s="1">
        <v>4</v>
      </c>
      <c r="F163" s="1">
        <f>SUMIF(Scores!$F$2:$F$926, 'Next Gen'!$A163, INDEX(Scores!$I$2:$Q$926, 0, MATCH($B163, Scores!$I$1:$Q$1, 0)))</f>
        <v>3</v>
      </c>
      <c r="G163" s="1" t="str">
        <f>INDEX(Scores!$B$2:$B$926, MATCH('Next Gen'!$A162, Scores!$F$2:$F$926, 0))</f>
        <v>high</v>
      </c>
      <c r="H163" s="1" t="str">
        <f>INDEX(Scores!$D$2:$D$926, MATCH('Next Gen'!$A163, Scores!$F$2:$F$926, 0))</f>
        <v>Original</v>
      </c>
      <c r="I163" s="4">
        <f>INDEX(Scores!$E$2:$E$926, MATCH('Next Gen'!$A162, Scores!$F$2:$F$926, 0))</f>
        <v>45839</v>
      </c>
    </row>
    <row r="164" spans="1:9">
      <c r="A164" s="1">
        <v>141</v>
      </c>
      <c r="B164" s="1" t="s">
        <v>6</v>
      </c>
      <c r="C164" s="1">
        <v>9</v>
      </c>
      <c r="D164" s="1">
        <v>6</v>
      </c>
      <c r="E164" s="1">
        <v>3</v>
      </c>
      <c r="F164" s="1">
        <f>SUMIF(Scores!$F$2:$F$926, 'Next Gen'!$A164, INDEX(Scores!$I$2:$Q$926, 0, MATCH($B164, Scores!$I$1:$Q$1, 0)))</f>
        <v>5</v>
      </c>
      <c r="G164" s="1" t="str">
        <f>INDEX(Scores!$B$2:$B$926, MATCH('Next Gen'!$A164, Scores!$F$2:$F$926, 0))</f>
        <v>high</v>
      </c>
      <c r="H164" s="1" t="str">
        <f>INDEX(Scores!$D$2:$D$926, MATCH('Next Gen'!$A164, Scores!$F$2:$F$926, 0))</f>
        <v>Original</v>
      </c>
      <c r="I164" s="4">
        <f>INDEX(Scores!$E$2:$E$926, MATCH('Next Gen'!$A164, Scores!$F$2:$F$926, 0))</f>
        <v>45839</v>
      </c>
    </row>
    <row r="165" spans="1:9">
      <c r="A165" s="1">
        <v>142</v>
      </c>
      <c r="B165" s="1" t="s">
        <v>5</v>
      </c>
      <c r="C165" s="1">
        <v>9</v>
      </c>
      <c r="D165" s="1">
        <v>9</v>
      </c>
      <c r="E165" s="1">
        <v>5</v>
      </c>
      <c r="F165" s="1">
        <f>SUMIF(Scores!$F$2:$F$926, 'Next Gen'!$A165, INDEX(Scores!$I$2:$Q$926, 0, MATCH($B165, Scores!$I$1:$Q$1, 0)))</f>
        <v>8</v>
      </c>
      <c r="G165" s="1" t="str">
        <f>INDEX(Scores!$B$2:$B$926, MATCH('Next Gen'!$A166, Scores!$F$2:$F$926, 0))</f>
        <v>mid</v>
      </c>
      <c r="H165" s="1" t="str">
        <f>INDEX(Scores!$D$2:$D$926, MATCH('Next Gen'!$A165, Scores!$F$2:$F$926, 0))</f>
        <v>Original</v>
      </c>
      <c r="I165" s="4">
        <f>INDEX(Scores!$E$2:$E$926, MATCH('Next Gen'!$A166, Scores!$F$2:$F$926, 0))</f>
        <v>45839</v>
      </c>
    </row>
    <row r="166" spans="1:9">
      <c r="A166" s="1">
        <v>142</v>
      </c>
      <c r="B166" s="1" t="s">
        <v>6</v>
      </c>
      <c r="C166" s="1">
        <v>9</v>
      </c>
      <c r="D166" s="1">
        <v>6</v>
      </c>
      <c r="E166" s="1">
        <v>3</v>
      </c>
      <c r="F166" s="1">
        <f>SUMIF(Scores!$F$2:$F$926, 'Next Gen'!$A166, INDEX(Scores!$I$2:$Q$926, 0, MATCH($B166, Scores!$I$1:$Q$1, 0)))</f>
        <v>4</v>
      </c>
      <c r="G166" s="1" t="str">
        <f>INDEX(Scores!$B$2:$B$926, MATCH('Next Gen'!$A167, Scores!$F$2:$F$926, 0))</f>
        <v>mid</v>
      </c>
      <c r="H166" s="1" t="str">
        <f>INDEX(Scores!$D$2:$D$926, MATCH('Next Gen'!$A166, Scores!$F$2:$F$926, 0))</f>
        <v>Original</v>
      </c>
      <c r="I166" s="4">
        <f>INDEX(Scores!$E$2:$E$926, MATCH('Next Gen'!$A167, Scores!$F$2:$F$926, 0))</f>
        <v>45839</v>
      </c>
    </row>
    <row r="167" spans="1:9">
      <c r="A167" s="1">
        <v>142</v>
      </c>
      <c r="B167" s="1" t="s">
        <v>4</v>
      </c>
      <c r="C167" s="1">
        <v>9</v>
      </c>
      <c r="D167" s="1">
        <v>9</v>
      </c>
      <c r="E167" s="1">
        <v>2</v>
      </c>
      <c r="F167" s="1">
        <f>SUMIF(Scores!$F$2:$F$926, 'Next Gen'!$A167, INDEX(Scores!$I$2:$Q$926, 0, MATCH($B167, Scores!$I$1:$Q$1, 0)))</f>
        <v>6</v>
      </c>
      <c r="G167" s="1" t="str">
        <f>INDEX(Scores!$B$2:$B$926, MATCH('Next Gen'!$A165, Scores!$F$2:$F$926, 0))</f>
        <v>mid</v>
      </c>
      <c r="H167" s="1" t="str">
        <f>INDEX(Scores!$D$2:$D$926, MATCH('Next Gen'!$A167, Scores!$F$2:$F$926, 0))</f>
        <v>Original</v>
      </c>
      <c r="I167" s="4">
        <f>INDEX(Scores!$E$2:$E$926, MATCH('Next Gen'!$A165, Scores!$F$2:$F$926, 0))</f>
        <v>45839</v>
      </c>
    </row>
    <row r="168" spans="1:9">
      <c r="A168" s="1">
        <v>143</v>
      </c>
      <c r="B168" s="1" t="s">
        <v>5</v>
      </c>
      <c r="C168" s="1">
        <v>9</v>
      </c>
      <c r="D168" s="1">
        <v>9</v>
      </c>
      <c r="E168" s="1">
        <v>4</v>
      </c>
      <c r="F168" s="1">
        <f>SUMIF(Scores!$F$2:$F$926, 'Next Gen'!$A168, INDEX(Scores!$I$2:$Q$926, 0, MATCH($B168, Scores!$I$1:$Q$1, 0)))</f>
        <v>10</v>
      </c>
      <c r="G168" s="1" t="str">
        <f>INDEX(Scores!$B$2:$B$926, MATCH('Next Gen'!$A168, Scores!$F$2:$F$926, 0))</f>
        <v>mid</v>
      </c>
      <c r="H168" s="1" t="str">
        <f>INDEX(Scores!$D$2:$D$926, MATCH('Next Gen'!$A168, Scores!$F$2:$F$926, 0))</f>
        <v>Original</v>
      </c>
      <c r="I168" s="4">
        <f>INDEX(Scores!$E$2:$E$926, MATCH('Next Gen'!$A168, Scores!$F$2:$F$926, 0))</f>
        <v>45840</v>
      </c>
    </row>
    <row r="169" spans="1:9">
      <c r="A169" s="1">
        <v>143</v>
      </c>
      <c r="B169" s="1" t="s">
        <v>78</v>
      </c>
      <c r="C169" s="1">
        <v>9</v>
      </c>
      <c r="D169" s="1">
        <v>5</v>
      </c>
      <c r="E169" s="1">
        <v>3</v>
      </c>
      <c r="F169" s="1">
        <f>SUMIF(Scores!$F$2:$F$926, 'Next Gen'!$A169, INDEX(Scores!$I$2:$Q$926, 0, MATCH($B169, Scores!$I$1:$Q$1, 0)))</f>
        <v>8</v>
      </c>
      <c r="G169" s="1" t="str">
        <f>INDEX(Scores!$B$2:$B$926, MATCH('Next Gen'!$A170, Scores!$F$2:$F$926, 0))</f>
        <v>mid</v>
      </c>
      <c r="H169" s="1" t="str">
        <f>INDEX(Scores!$D$2:$D$926, MATCH('Next Gen'!$A169, Scores!$F$2:$F$926, 0))</f>
        <v>Original</v>
      </c>
      <c r="I169" s="4">
        <f>INDEX(Scores!$E$2:$E$926, MATCH('Next Gen'!$A170, Scores!$F$2:$F$926, 0))</f>
        <v>45840</v>
      </c>
    </row>
    <row r="170" spans="1:9">
      <c r="A170" s="1">
        <v>143</v>
      </c>
      <c r="B170" s="1" t="s">
        <v>6</v>
      </c>
      <c r="C170" s="1">
        <v>9</v>
      </c>
      <c r="D170" s="1">
        <v>6</v>
      </c>
      <c r="E170" s="1">
        <v>2</v>
      </c>
      <c r="F170" s="1">
        <f>SUMIF(Scores!$F$2:$F$926, 'Next Gen'!$A170, INDEX(Scores!$I$2:$Q$926, 0, MATCH($B170, Scores!$I$1:$Q$1, 0)))</f>
        <v>3</v>
      </c>
      <c r="G170" s="1" t="str">
        <f>INDEX(Scores!$B$2:$B$926, MATCH('Next Gen'!$A171, Scores!$F$2:$F$926, 0))</f>
        <v>mid</v>
      </c>
      <c r="H170" s="1" t="str">
        <f>INDEX(Scores!$D$2:$D$926, MATCH('Next Gen'!$A170, Scores!$F$2:$F$926, 0))</f>
        <v>Original</v>
      </c>
      <c r="I170" s="4">
        <f>INDEX(Scores!$E$2:$E$926, MATCH('Next Gen'!$A171, Scores!$F$2:$F$926, 0))</f>
        <v>45840</v>
      </c>
    </row>
    <row r="171" spans="1:9">
      <c r="A171" s="1">
        <v>143</v>
      </c>
      <c r="B171" s="1" t="s">
        <v>4</v>
      </c>
      <c r="C171" s="1">
        <v>9</v>
      </c>
      <c r="D171" s="1">
        <v>9</v>
      </c>
      <c r="E171" s="1">
        <v>2</v>
      </c>
      <c r="F171" s="1">
        <f>SUMIF(Scores!$F$2:$F$926, 'Next Gen'!$A171, INDEX(Scores!$I$2:$Q$926, 0, MATCH($B171, Scores!$I$1:$Q$1, 0)))</f>
        <v>4</v>
      </c>
      <c r="G171" s="1" t="str">
        <f>INDEX(Scores!$B$2:$B$926, MATCH('Next Gen'!$A169, Scores!$F$2:$F$926, 0))</f>
        <v>mid</v>
      </c>
      <c r="H171" s="1" t="str">
        <f>INDEX(Scores!$D$2:$D$926, MATCH('Next Gen'!$A171, Scores!$F$2:$F$926, 0))</f>
        <v>Original</v>
      </c>
      <c r="I171" s="4">
        <f>INDEX(Scores!$E$2:$E$926, MATCH('Next Gen'!$A169, Scores!$F$2:$F$926, 0))</f>
        <v>45840</v>
      </c>
    </row>
    <row r="172" spans="1:9">
      <c r="A172" s="1">
        <v>144</v>
      </c>
      <c r="B172" s="1" t="s">
        <v>4</v>
      </c>
      <c r="C172" s="1">
        <v>9</v>
      </c>
      <c r="D172" s="1">
        <v>9</v>
      </c>
      <c r="E172" s="1">
        <v>7</v>
      </c>
      <c r="F172" s="1">
        <f>SUMIF(Scores!$F$2:$F$926, 'Next Gen'!$A172, INDEX(Scores!$I$2:$Q$926, 0, MATCH($B172, Scores!$I$1:$Q$1, 0)))</f>
        <v>17</v>
      </c>
      <c r="G172" s="1" t="str">
        <f>INDEX(Scores!$B$2:$B$926, MATCH('Next Gen'!$A172, Scores!$F$2:$F$926, 0))</f>
        <v>mid</v>
      </c>
      <c r="H172" s="1" t="str">
        <f>INDEX(Scores!$D$2:$D$926, MATCH('Next Gen'!$A172, Scores!$F$2:$F$926, 0))</f>
        <v>Original</v>
      </c>
      <c r="I172" s="4">
        <f>INDEX(Scores!$E$2:$E$926, MATCH('Next Gen'!$A172, Scores!$F$2:$F$926, 0))</f>
        <v>45840</v>
      </c>
    </row>
    <row r="173" spans="1:9">
      <c r="A173" s="1">
        <v>144</v>
      </c>
      <c r="B173" s="1" t="s">
        <v>5</v>
      </c>
      <c r="C173" s="1">
        <v>9</v>
      </c>
      <c r="D173" s="1">
        <v>6</v>
      </c>
      <c r="E173" s="1">
        <v>5</v>
      </c>
      <c r="F173" s="1">
        <f>SUMIF(Scores!$F$2:$F$926, 'Next Gen'!$A173, INDEX(Scores!$I$2:$Q$926, 0, MATCH($B173, Scores!$I$1:$Q$1, 0)))</f>
        <v>9</v>
      </c>
      <c r="G173" s="1" t="str">
        <f>INDEX(Scores!$B$2:$B$926, MATCH('Next Gen'!$A173, Scores!$F$2:$F$926, 0))</f>
        <v>mid</v>
      </c>
      <c r="H173" s="1" t="str">
        <f>INDEX(Scores!$D$2:$D$926, MATCH('Next Gen'!$A173, Scores!$F$2:$F$926, 0))</f>
        <v>Original</v>
      </c>
      <c r="I173" s="4">
        <f>INDEX(Scores!$E$2:$E$926, MATCH('Next Gen'!$A173, Scores!$F$2:$F$926, 0))</f>
        <v>45840</v>
      </c>
    </row>
    <row r="174" spans="1:9">
      <c r="A174" s="1">
        <v>144</v>
      </c>
      <c r="B174" s="1" t="s">
        <v>6</v>
      </c>
      <c r="C174" s="1">
        <v>9</v>
      </c>
      <c r="D174" s="1">
        <v>4</v>
      </c>
      <c r="E174" s="1">
        <v>2</v>
      </c>
      <c r="F174" s="1">
        <f>SUMIF(Scores!$F$2:$F$926, 'Next Gen'!$A174, INDEX(Scores!$I$2:$Q$926, 0, MATCH($B174, Scores!$I$1:$Q$1, 0)))</f>
        <v>2</v>
      </c>
      <c r="G174" s="1" t="str">
        <f>INDEX(Scores!$B$2:$B$926, MATCH('Next Gen'!$A174, Scores!$F$2:$F$926, 0))</f>
        <v>mid</v>
      </c>
      <c r="H174" s="1" t="str">
        <f>INDEX(Scores!$D$2:$D$926, MATCH('Next Gen'!$A174, Scores!$F$2:$F$926, 0))</f>
        <v>Original</v>
      </c>
      <c r="I174" s="4">
        <f>INDEX(Scores!$E$2:$E$926, MATCH('Next Gen'!$A174, Scores!$F$2:$F$926, 0))</f>
        <v>45840</v>
      </c>
    </row>
    <row r="175" spans="1:9">
      <c r="A175" s="1">
        <v>145</v>
      </c>
      <c r="B175" s="1" t="s">
        <v>4</v>
      </c>
      <c r="C175" s="1">
        <v>9</v>
      </c>
      <c r="D175" s="1">
        <v>9</v>
      </c>
      <c r="E175" s="1">
        <v>4</v>
      </c>
      <c r="F175" s="1">
        <f>SUMIF(Scores!$F$2:$F$926, 'Next Gen'!$A175, INDEX(Scores!$I$2:$Q$926, 0, MATCH($B175, Scores!$I$1:$Q$1, 0)))</f>
        <v>5</v>
      </c>
      <c r="G175" s="1" t="str">
        <f>INDEX(Scores!$B$2:$B$926, MATCH('Next Gen'!$A175, Scores!$F$2:$F$926, 0))</f>
        <v>mid</v>
      </c>
      <c r="H175" s="1" t="str">
        <f>INDEX(Scores!$D$2:$D$926, MATCH('Next Gen'!$A175, Scores!$F$2:$F$926, 0))</f>
        <v>Original</v>
      </c>
      <c r="I175" s="4">
        <f>INDEX(Scores!$E$2:$E$926, MATCH('Next Gen'!$A175, Scores!$F$2:$F$926, 0))</f>
        <v>45841</v>
      </c>
    </row>
    <row r="176" spans="1:9">
      <c r="A176" s="1">
        <v>145</v>
      </c>
      <c r="B176" s="1" t="s">
        <v>5</v>
      </c>
      <c r="C176" s="1">
        <v>9</v>
      </c>
      <c r="D176" s="1">
        <v>7</v>
      </c>
      <c r="E176" s="1">
        <v>2</v>
      </c>
      <c r="F176" s="1">
        <f>SUMIF(Scores!$F$2:$F$926, 'Next Gen'!$A176, INDEX(Scores!$I$2:$Q$926, 0, MATCH($B176, Scores!$I$1:$Q$1, 0)))</f>
        <v>4</v>
      </c>
      <c r="G176" s="1" t="str">
        <f>INDEX(Scores!$B$2:$B$926, MATCH('Next Gen'!$A176, Scores!$F$2:$F$926, 0))</f>
        <v>mid</v>
      </c>
      <c r="H176" s="1" t="str">
        <f>INDEX(Scores!$D$2:$D$926, MATCH('Next Gen'!$A176, Scores!$F$2:$F$926, 0))</f>
        <v>Original</v>
      </c>
      <c r="I176" s="4">
        <f>INDEX(Scores!$E$2:$E$926, MATCH('Next Gen'!$A176, Scores!$F$2:$F$926, 0))</f>
        <v>45841</v>
      </c>
    </row>
    <row r="177" spans="1:9">
      <c r="A177" s="1">
        <v>145</v>
      </c>
      <c r="B177" s="1" t="s">
        <v>78</v>
      </c>
      <c r="C177" s="1">
        <v>9</v>
      </c>
      <c r="D177" s="1">
        <v>5</v>
      </c>
      <c r="E177" s="1">
        <v>1</v>
      </c>
      <c r="F177" s="1">
        <f>SUMIF(Scores!$F$2:$F$926, 'Next Gen'!$A177, INDEX(Scores!$I$2:$Q$926, 0, MATCH($B177, Scores!$I$1:$Q$1, 0)))</f>
        <v>1</v>
      </c>
      <c r="G177" s="1" t="str">
        <f>INDEX(Scores!$B$2:$B$926, MATCH('Next Gen'!$A177, Scores!$F$2:$F$926, 0))</f>
        <v>mid</v>
      </c>
      <c r="H177" s="1" t="str">
        <f>INDEX(Scores!$D$2:$D$926, MATCH('Next Gen'!$A177, Scores!$F$2:$F$926, 0))</f>
        <v>Original</v>
      </c>
      <c r="I177" s="4">
        <f>INDEX(Scores!$E$2:$E$926, MATCH('Next Gen'!$A177, Scores!$F$2:$F$926, 0))</f>
        <v>45841</v>
      </c>
    </row>
    <row r="178" spans="1:9">
      <c r="A178" s="1">
        <v>146</v>
      </c>
      <c r="B178" s="1" t="s">
        <v>5</v>
      </c>
      <c r="C178" s="1">
        <v>9</v>
      </c>
      <c r="D178" s="1">
        <v>8</v>
      </c>
      <c r="E178" s="1">
        <v>5</v>
      </c>
      <c r="F178" s="1">
        <f>SUMIF(Scores!$F$2:$F$926, 'Next Gen'!$A178, INDEX(Scores!$I$2:$Q$926, 0, MATCH($B178, Scores!$I$1:$Q$1, 0)))</f>
        <v>13</v>
      </c>
      <c r="G178" s="1" t="str">
        <f>INDEX(Scores!$B$2:$B$926, MATCH('Next Gen'!$A180, Scores!$F$2:$F$926, 0))</f>
        <v>high</v>
      </c>
      <c r="H178" s="1" t="str">
        <f>INDEX(Scores!$D$2:$D$926, MATCH('Next Gen'!$A178, Scores!$F$2:$F$926, 0))</f>
        <v>Original</v>
      </c>
      <c r="I178" s="4">
        <f>INDEX(Scores!$E$2:$E$926, MATCH('Next Gen'!$A180, Scores!$F$2:$F$926, 0))</f>
        <v>45841</v>
      </c>
    </row>
    <row r="179" spans="1:9">
      <c r="A179" s="1">
        <v>146</v>
      </c>
      <c r="B179" s="1" t="s">
        <v>4</v>
      </c>
      <c r="C179" s="1">
        <v>9</v>
      </c>
      <c r="D179" s="1">
        <v>9</v>
      </c>
      <c r="E179" s="1">
        <v>4</v>
      </c>
      <c r="F179" s="1">
        <f>SUMIF(Scores!$F$2:$F$926, 'Next Gen'!$A179, INDEX(Scores!$I$2:$Q$926, 0, MATCH($B179, Scores!$I$1:$Q$1, 0)))</f>
        <v>9</v>
      </c>
      <c r="G179" s="1" t="str">
        <f>INDEX(Scores!$B$2:$B$926, MATCH('Next Gen'!$A179, Scores!$F$2:$F$926, 0))</f>
        <v>high</v>
      </c>
      <c r="H179" s="1" t="str">
        <f>INDEX(Scores!$D$2:$D$926, MATCH('Next Gen'!$A179, Scores!$F$2:$F$926, 0))</f>
        <v>Original</v>
      </c>
      <c r="I179" s="4">
        <f>INDEX(Scores!$E$2:$E$926, MATCH('Next Gen'!$A179, Scores!$F$2:$F$926, 0))</f>
        <v>45841</v>
      </c>
    </row>
    <row r="180" spans="1:9">
      <c r="A180" s="1">
        <v>146</v>
      </c>
      <c r="B180" s="1" t="s">
        <v>78</v>
      </c>
      <c r="C180" s="1">
        <v>9</v>
      </c>
      <c r="D180" s="1">
        <v>4</v>
      </c>
      <c r="E180" s="1">
        <v>1</v>
      </c>
      <c r="F180" s="1">
        <f>SUMIF(Scores!$F$2:$F$926, 'Next Gen'!$A180, INDEX(Scores!$I$2:$Q$926, 0, MATCH($B180, Scores!$I$1:$Q$1, 0)))</f>
        <v>3</v>
      </c>
      <c r="G180" s="1" t="str">
        <f>INDEX(Scores!$B$2:$B$926, MATCH('Next Gen'!$A178, Scores!$F$2:$F$926, 0))</f>
        <v>high</v>
      </c>
      <c r="H180" s="1" t="str">
        <f>INDEX(Scores!$D$2:$D$926, MATCH('Next Gen'!$A180, Scores!$F$2:$F$926, 0))</f>
        <v>Original</v>
      </c>
      <c r="I180" s="4">
        <f>INDEX(Scores!$E$2:$E$926, MATCH('Next Gen'!$A178, Scores!$F$2:$F$926, 0))</f>
        <v>45841</v>
      </c>
    </row>
    <row r="181" spans="1:9">
      <c r="A181" s="1">
        <v>147</v>
      </c>
      <c r="B181" s="1" t="s">
        <v>4</v>
      </c>
      <c r="C181" s="1">
        <v>9</v>
      </c>
      <c r="D181" s="1">
        <v>7</v>
      </c>
      <c r="E181" s="1">
        <v>5</v>
      </c>
      <c r="F181" s="1">
        <f>SUMIF(Scores!$F$2:$F$926, 'Next Gen'!$A181, INDEX(Scores!$I$2:$Q$926, 0, MATCH($B181, Scores!$I$1:$Q$1, 0)))</f>
        <v>15</v>
      </c>
      <c r="G181" s="1" t="str">
        <f>INDEX(Scores!$B$2:$B$926, MATCH('Next Gen'!$A182, Scores!$F$2:$F$926, 0))</f>
        <v>low</v>
      </c>
      <c r="H181" s="1" t="str">
        <f>INDEX(Scores!$D$2:$D$926, MATCH('Next Gen'!$A181, Scores!$F$2:$F$926, 0))</f>
        <v>Original</v>
      </c>
      <c r="I181" s="4">
        <f>INDEX(Scores!$E$2:$E$926, MATCH('Next Gen'!$A182, Scores!$F$2:$F$926, 0))</f>
        <v>45841</v>
      </c>
    </row>
    <row r="182" spans="1:9">
      <c r="A182" s="1">
        <v>147</v>
      </c>
      <c r="B182" s="1" t="s">
        <v>78</v>
      </c>
      <c r="C182" s="1">
        <v>9</v>
      </c>
      <c r="D182" s="1">
        <v>6</v>
      </c>
      <c r="E182" s="1">
        <v>2</v>
      </c>
      <c r="F182" s="1">
        <f>SUMIF(Scores!$F$2:$F$926, 'Next Gen'!$A182, INDEX(Scores!$I$2:$Q$926, 0, MATCH($B182, Scores!$I$1:$Q$1, 0)))</f>
        <v>3</v>
      </c>
      <c r="G182" s="1" t="str">
        <f>INDEX(Scores!$B$2:$B$926, MATCH('Next Gen'!$A181, Scores!$F$2:$F$926, 0))</f>
        <v>low</v>
      </c>
      <c r="H182" s="1" t="str">
        <f>INDEX(Scores!$D$2:$D$926, MATCH('Next Gen'!$A182, Scores!$F$2:$F$926, 0))</f>
        <v>Original</v>
      </c>
      <c r="I182" s="4">
        <f>INDEX(Scores!$E$2:$E$926, MATCH('Next Gen'!$A181, Scores!$F$2:$F$926, 0))</f>
        <v>45841</v>
      </c>
    </row>
    <row r="183" spans="1:9">
      <c r="A183" s="1">
        <v>147</v>
      </c>
      <c r="B183" s="1" t="s">
        <v>5</v>
      </c>
      <c r="C183" s="1">
        <v>9</v>
      </c>
      <c r="D183" s="1">
        <v>6</v>
      </c>
      <c r="E183" s="1">
        <v>2</v>
      </c>
      <c r="F183" s="1">
        <f>SUMIF(Scores!$F$2:$F$926, 'Next Gen'!$A183, INDEX(Scores!$I$2:$Q$926, 0, MATCH($B183, Scores!$I$1:$Q$1, 0)))</f>
        <v>4</v>
      </c>
      <c r="G183" s="1" t="str">
        <f>INDEX(Scores!$B$2:$B$926, MATCH('Next Gen'!$A183, Scores!$F$2:$F$926, 0))</f>
        <v>low</v>
      </c>
      <c r="H183" s="1" t="str">
        <f>INDEX(Scores!$D$2:$D$926, MATCH('Next Gen'!$A183, Scores!$F$2:$F$926, 0))</f>
        <v>Original</v>
      </c>
      <c r="I183" s="4">
        <f>INDEX(Scores!$E$2:$E$926, MATCH('Next Gen'!$A183, Scores!$F$2:$F$926, 0))</f>
        <v>45841</v>
      </c>
    </row>
    <row r="184" spans="1:9">
      <c r="A184" s="1">
        <v>148</v>
      </c>
      <c r="B184" s="1" t="s">
        <v>6</v>
      </c>
      <c r="C184" s="1">
        <v>9</v>
      </c>
      <c r="D184" s="1">
        <v>5</v>
      </c>
      <c r="E184" s="1">
        <v>3</v>
      </c>
      <c r="F184" s="1">
        <f>SUMIF(Scores!$F$2:$F$926, 'Next Gen'!$A184, INDEX(Scores!$I$2:$Q$926, 0, MATCH($B184, Scores!$I$1:$Q$1, 0)))</f>
        <v>5</v>
      </c>
      <c r="G184" s="1" t="str">
        <f>INDEX(Scores!$B$2:$B$926, MATCH('Next Gen'!$A186, Scores!$F$2:$F$926, 0))</f>
        <v>mid</v>
      </c>
      <c r="H184" s="1" t="str">
        <f>INDEX(Scores!$D$2:$D$926, MATCH('Next Gen'!$A184, Scores!$F$2:$F$926, 0))</f>
        <v>Original</v>
      </c>
      <c r="I184" s="4">
        <f>INDEX(Scores!$E$2:$E$926, MATCH('Next Gen'!$A186, Scores!$F$2:$F$926, 0))</f>
        <v>45845</v>
      </c>
    </row>
    <row r="185" spans="1:9">
      <c r="A185" s="1">
        <v>148</v>
      </c>
      <c r="B185" s="1" t="s">
        <v>78</v>
      </c>
      <c r="C185" s="1">
        <v>9</v>
      </c>
      <c r="D185" s="1">
        <v>5</v>
      </c>
      <c r="E185" s="1">
        <v>2</v>
      </c>
      <c r="F185" s="1">
        <f>SUMIF(Scores!$F$2:$F$926, 'Next Gen'!$A185, INDEX(Scores!$I$2:$Q$926, 0, MATCH($B185, Scores!$I$1:$Q$1, 0)))</f>
        <v>4</v>
      </c>
      <c r="G185" s="1" t="str">
        <f>INDEX(Scores!$B$2:$B$926, MATCH('Next Gen'!$A184, Scores!$F$2:$F$926, 0))</f>
        <v>mid</v>
      </c>
      <c r="H185" s="1" t="str">
        <f>INDEX(Scores!$D$2:$D$926, MATCH('Next Gen'!$A185, Scores!$F$2:$F$926, 0))</f>
        <v>Original</v>
      </c>
      <c r="I185" s="4">
        <f>INDEX(Scores!$E$2:$E$926, MATCH('Next Gen'!$A184, Scores!$F$2:$F$926, 0))</f>
        <v>45845</v>
      </c>
    </row>
    <row r="186" spans="1:9">
      <c r="A186" s="1">
        <v>148</v>
      </c>
      <c r="B186" s="1" t="s">
        <v>4</v>
      </c>
      <c r="C186" s="1">
        <v>9</v>
      </c>
      <c r="D186" s="1">
        <v>8</v>
      </c>
      <c r="E186" s="1">
        <v>1</v>
      </c>
      <c r="F186" s="1">
        <f>SUMIF(Scores!$F$2:$F$926, 'Next Gen'!$A186, INDEX(Scores!$I$2:$Q$926, 0, MATCH($B186, Scores!$I$1:$Q$1, 0)))</f>
        <v>1</v>
      </c>
      <c r="G186" s="1" t="str">
        <f>INDEX(Scores!$B$2:$B$926, MATCH('Next Gen'!$A185, Scores!$F$2:$F$926, 0))</f>
        <v>mid</v>
      </c>
      <c r="H186" s="1" t="str">
        <f>INDEX(Scores!$D$2:$D$926, MATCH('Next Gen'!$A186, Scores!$F$2:$F$926, 0))</f>
        <v>Original</v>
      </c>
      <c r="I186" s="4">
        <f>INDEX(Scores!$E$2:$E$926, MATCH('Next Gen'!$A185, Scores!$F$2:$F$926, 0))</f>
        <v>45845</v>
      </c>
    </row>
    <row r="187" spans="1:9">
      <c r="A187" s="1">
        <v>149</v>
      </c>
      <c r="B187" s="1" t="s">
        <v>4</v>
      </c>
      <c r="C187" s="1">
        <v>9</v>
      </c>
      <c r="D187" s="1">
        <v>8</v>
      </c>
      <c r="E187" s="1">
        <v>5</v>
      </c>
      <c r="F187" s="1">
        <f>SUMIF(Scores!$F$2:$F$926, 'Next Gen'!$A187, INDEX(Scores!$I$2:$Q$926, 0, MATCH($B187, Scores!$I$1:$Q$1, 0)))</f>
        <v>9</v>
      </c>
      <c r="G187" s="1" t="str">
        <f>INDEX(Scores!$B$2:$B$926, MATCH('Next Gen'!$A188, Scores!$F$2:$F$926, 0))</f>
        <v>mid</v>
      </c>
      <c r="H187" s="1" t="str">
        <f>INDEX(Scores!$D$2:$D$926, MATCH('Next Gen'!$A187, Scores!$F$2:$F$926, 0))</f>
        <v>Original</v>
      </c>
      <c r="I187" s="4">
        <f>INDEX(Scores!$E$2:$E$926, MATCH('Next Gen'!$A188, Scores!$F$2:$F$926, 0))</f>
        <v>45845</v>
      </c>
    </row>
    <row r="188" spans="1:9">
      <c r="A188" s="1">
        <v>149</v>
      </c>
      <c r="B188" s="1" t="s">
        <v>78</v>
      </c>
      <c r="C188" s="1">
        <v>9</v>
      </c>
      <c r="D188" s="1">
        <v>3</v>
      </c>
      <c r="E188" s="1">
        <v>2</v>
      </c>
      <c r="F188" s="1">
        <f>SUMIF(Scores!$F$2:$F$926, 'Next Gen'!$A188, INDEX(Scores!$I$2:$Q$926, 0, MATCH($B188, Scores!$I$1:$Q$1, 0)))</f>
        <v>6</v>
      </c>
      <c r="G188" s="1" t="str">
        <f>INDEX(Scores!$B$2:$B$926, MATCH('Next Gen'!$A187, Scores!$F$2:$F$926, 0))</f>
        <v>mid</v>
      </c>
      <c r="H188" s="1" t="str">
        <f>INDEX(Scores!$D$2:$D$926, MATCH('Next Gen'!$A188, Scores!$F$2:$F$926, 0))</f>
        <v>Original</v>
      </c>
      <c r="I188" s="4">
        <f>INDEX(Scores!$E$2:$E$926, MATCH('Next Gen'!$A187, Scores!$F$2:$F$926, 0))</f>
        <v>45845</v>
      </c>
    </row>
    <row r="189" spans="1:9">
      <c r="A189" s="1">
        <v>149</v>
      </c>
      <c r="B189" s="1" t="s">
        <v>6</v>
      </c>
      <c r="C189" s="1">
        <v>9</v>
      </c>
      <c r="D189" s="1">
        <v>4</v>
      </c>
      <c r="E189" s="1">
        <v>1</v>
      </c>
      <c r="F189" s="1">
        <f>SUMIF(Scores!$F$2:$F$926, 'Next Gen'!$A189, INDEX(Scores!$I$2:$Q$926, 0, MATCH($B189, Scores!$I$1:$Q$1, 0)))</f>
        <v>5</v>
      </c>
      <c r="G189" s="1" t="str">
        <f>INDEX(Scores!$B$2:$B$926, MATCH('Next Gen'!$A189, Scores!$F$2:$F$926, 0))</f>
        <v>mid</v>
      </c>
      <c r="H189" s="1" t="str">
        <f>INDEX(Scores!$D$2:$D$926, MATCH('Next Gen'!$A189, Scores!$F$2:$F$926, 0))</f>
        <v>Original</v>
      </c>
      <c r="I189" s="4">
        <f>INDEX(Scores!$E$2:$E$926, MATCH('Next Gen'!$A189, Scores!$F$2:$F$926, 0))</f>
        <v>45845</v>
      </c>
    </row>
    <row r="190" spans="1:9">
      <c r="A190" s="1">
        <v>150</v>
      </c>
      <c r="B190" s="1" t="s">
        <v>4</v>
      </c>
      <c r="C190" s="1">
        <v>9</v>
      </c>
      <c r="D190" s="1">
        <v>9</v>
      </c>
      <c r="E190" s="1">
        <v>5</v>
      </c>
      <c r="F190" s="1">
        <f>SUMIF(Scores!$F$2:$F$926, 'Next Gen'!$A190, INDEX(Scores!$I$2:$Q$926, 0, MATCH($B190, Scores!$I$1:$Q$1, 0)))</f>
        <v>9</v>
      </c>
      <c r="G190" s="1" t="str">
        <f>INDEX(Scores!$B$2:$B$926, MATCH('Next Gen'!$A191, Scores!$F$2:$F$926, 0))</f>
        <v>mid</v>
      </c>
      <c r="H190" s="1" t="str">
        <f>INDEX(Scores!$D$2:$D$926, MATCH('Next Gen'!$A190, Scores!$F$2:$F$926, 0))</f>
        <v>Original</v>
      </c>
      <c r="I190" s="4">
        <f>INDEX(Scores!$E$2:$E$926, MATCH('Next Gen'!$A191, Scores!$F$2:$F$926, 0))</f>
        <v>45845</v>
      </c>
    </row>
    <row r="191" spans="1:9">
      <c r="A191" s="1">
        <v>150</v>
      </c>
      <c r="B191" s="1" t="s">
        <v>78</v>
      </c>
      <c r="C191" s="1">
        <v>9</v>
      </c>
      <c r="D191" s="1">
        <v>6</v>
      </c>
      <c r="E191" s="1">
        <v>4</v>
      </c>
      <c r="F191" s="1">
        <f>SUMIF(Scores!$F$2:$F$926, 'Next Gen'!$A191, INDEX(Scores!$I$2:$Q$926, 0, MATCH($B191, Scores!$I$1:$Q$1, 0)))</f>
        <v>11</v>
      </c>
      <c r="G191" s="1" t="str">
        <f>INDEX(Scores!$B$2:$B$926, MATCH('Next Gen'!$A190, Scores!$F$2:$F$926, 0))</f>
        <v>mid</v>
      </c>
      <c r="H191" s="1" t="str">
        <f>INDEX(Scores!$D$2:$D$926, MATCH('Next Gen'!$A191, Scores!$F$2:$F$926, 0))</f>
        <v>Original</v>
      </c>
      <c r="I191" s="4">
        <f>INDEX(Scores!$E$2:$E$926, MATCH('Next Gen'!$A190, Scores!$F$2:$F$926, 0))</f>
        <v>45845</v>
      </c>
    </row>
    <row r="192" spans="1:9">
      <c r="A192" s="1">
        <v>151</v>
      </c>
      <c r="B192" s="1" t="s">
        <v>4</v>
      </c>
      <c r="C192" s="1">
        <v>9</v>
      </c>
      <c r="D192" s="1">
        <v>9</v>
      </c>
      <c r="E192" s="1">
        <v>5</v>
      </c>
      <c r="F192" s="1">
        <f>SUMIF(Scores!$F$2:$F$926, 'Next Gen'!$A192, INDEX(Scores!$I$2:$Q$926, 0, MATCH($B192, Scores!$I$1:$Q$1, 0)))</f>
        <v>17</v>
      </c>
      <c r="G192" s="1" t="str">
        <f>INDEX(Scores!$B$2:$B$926, MATCH('Next Gen'!$A193, Scores!$F$2:$F$926, 0))</f>
        <v>mid</v>
      </c>
      <c r="H192" s="1" t="str">
        <f>INDEX(Scores!$D$2:$D$926, MATCH('Next Gen'!$A192, Scores!$F$2:$F$926, 0))</f>
        <v>Original</v>
      </c>
      <c r="I192" s="4">
        <f>INDEX(Scores!$E$2:$E$926, MATCH('Next Gen'!$A193, Scores!$F$2:$F$926, 0))</f>
        <v>45846</v>
      </c>
    </row>
    <row r="193" spans="1:9">
      <c r="A193" s="1">
        <v>151</v>
      </c>
      <c r="B193" s="1" t="s">
        <v>78</v>
      </c>
      <c r="C193" s="1">
        <v>9</v>
      </c>
      <c r="D193" s="1">
        <v>4</v>
      </c>
      <c r="E193" s="1">
        <v>2</v>
      </c>
      <c r="F193" s="1">
        <f>SUMIF(Scores!$F$2:$F$926, 'Next Gen'!$A193, INDEX(Scores!$I$2:$Q$926, 0, MATCH($B193, Scores!$I$1:$Q$1, 0)))</f>
        <v>6</v>
      </c>
      <c r="G193" s="1" t="str">
        <f>INDEX(Scores!$B$2:$B$926, MATCH('Next Gen'!$A192, Scores!$F$2:$F$926, 0))</f>
        <v>mid</v>
      </c>
      <c r="H193" s="1" t="str">
        <f>INDEX(Scores!$D$2:$D$926, MATCH('Next Gen'!$A193, Scores!$F$2:$F$926, 0))</f>
        <v>Original</v>
      </c>
      <c r="I193" s="4">
        <f>INDEX(Scores!$E$2:$E$926, MATCH('Next Gen'!$A192, Scores!$F$2:$F$926, 0))</f>
        <v>45846</v>
      </c>
    </row>
    <row r="194" spans="1:9">
      <c r="A194" s="1">
        <v>152</v>
      </c>
      <c r="B194" s="1" t="s">
        <v>4</v>
      </c>
      <c r="C194" s="1">
        <v>12</v>
      </c>
      <c r="D194" s="1">
        <v>12</v>
      </c>
      <c r="E194" s="1">
        <v>5</v>
      </c>
      <c r="F194" s="1">
        <f>SUMIF(Scores!$F$2:$F$926, 'Next Gen'!$A194, INDEX(Scores!$I$2:$Q$926, 0, MATCH($B194, Scores!$I$1:$Q$1, 0)))</f>
        <v>11</v>
      </c>
      <c r="G194" s="1" t="str">
        <f>INDEX(Scores!$B$2:$B$926, MATCH('Next Gen'!$A195, Scores!$F$2:$F$926, 0))</f>
        <v>high</v>
      </c>
      <c r="H194" s="1" t="str">
        <f>INDEX(Scores!$D$2:$D$926, MATCH('Next Gen'!$A194, Scores!$F$2:$F$926, 0))</f>
        <v>Original</v>
      </c>
      <c r="I194" s="4">
        <f>INDEX(Scores!$E$2:$E$926, MATCH('Next Gen'!$A195, Scores!$F$2:$F$926, 0))</f>
        <v>45846</v>
      </c>
    </row>
    <row r="195" spans="1:9">
      <c r="A195" s="1">
        <v>152</v>
      </c>
      <c r="B195" s="1" t="s">
        <v>78</v>
      </c>
      <c r="C195" s="1">
        <v>12</v>
      </c>
      <c r="D195" s="1">
        <v>6</v>
      </c>
      <c r="E195" s="1">
        <v>4</v>
      </c>
      <c r="F195" s="1">
        <f>SUMIF(Scores!$F$2:$F$926, 'Next Gen'!$A195, INDEX(Scores!$I$2:$Q$926, 0, MATCH($B195, Scores!$I$1:$Q$1, 0)))</f>
        <v>5</v>
      </c>
      <c r="G195" s="1" t="str">
        <f>INDEX(Scores!$B$2:$B$926, MATCH('Next Gen'!$A194, Scores!$F$2:$F$926, 0))</f>
        <v>high</v>
      </c>
      <c r="H195" s="1" t="str">
        <f>INDEX(Scores!$D$2:$D$926, MATCH('Next Gen'!$A195, Scores!$F$2:$F$926, 0))</f>
        <v>Original</v>
      </c>
      <c r="I195" s="4">
        <f>INDEX(Scores!$E$2:$E$926, MATCH('Next Gen'!$A194, Scores!$F$2:$F$926, 0))</f>
        <v>45846</v>
      </c>
    </row>
    <row r="196" spans="1:9">
      <c r="A196" s="1">
        <v>153</v>
      </c>
      <c r="B196" s="1" t="s">
        <v>78</v>
      </c>
      <c r="C196" s="1">
        <v>9</v>
      </c>
      <c r="D196" s="1">
        <v>7</v>
      </c>
      <c r="E196" s="1">
        <v>4</v>
      </c>
      <c r="F196" s="1">
        <f>SUMIF(Scores!$F$2:$F$926, 'Next Gen'!$A196, INDEX(Scores!$I$2:$Q$926, 0, MATCH($B196, Scores!$I$1:$Q$1, 0)))</f>
        <v>10</v>
      </c>
      <c r="G196" s="1" t="str">
        <f>INDEX(Scores!$B$2:$B$926, MATCH('Next Gen'!$A196, Scores!$F$2:$F$926, 0))</f>
        <v>mid</v>
      </c>
      <c r="H196" s="1" t="str">
        <f>INDEX(Scores!$D$2:$D$926, MATCH('Next Gen'!$A196, Scores!$F$2:$F$926, 0))</f>
        <v>Original</v>
      </c>
      <c r="I196" s="4">
        <f>INDEX(Scores!$E$2:$E$926, MATCH('Next Gen'!$A196, Scores!$F$2:$F$926, 0))</f>
        <v>45847</v>
      </c>
    </row>
    <row r="197" spans="1:9">
      <c r="A197" s="1">
        <v>153</v>
      </c>
      <c r="B197" s="1" t="s">
        <v>4</v>
      </c>
      <c r="C197" s="1">
        <v>9</v>
      </c>
      <c r="D197" s="1">
        <v>9</v>
      </c>
      <c r="E197" s="1">
        <v>2</v>
      </c>
      <c r="F197" s="1">
        <f>SUMIF(Scores!$F$2:$F$926, 'Next Gen'!$A197, INDEX(Scores!$I$2:$Q$926, 0, MATCH($B197, Scores!$I$1:$Q$1, 0)))</f>
        <v>4</v>
      </c>
      <c r="G197" s="1" t="str">
        <f>INDEX(Scores!$B$2:$B$926, MATCH('Next Gen'!$A197, Scores!$F$2:$F$926, 0))</f>
        <v>mid</v>
      </c>
      <c r="H197" s="1" t="str">
        <f>INDEX(Scores!$D$2:$D$926, MATCH('Next Gen'!$A197, Scores!$F$2:$F$926, 0))</f>
        <v>Original</v>
      </c>
      <c r="I197" s="4">
        <f>INDEX(Scores!$E$2:$E$926, MATCH('Next Gen'!$A197, Scores!$F$2:$F$926, 0))</f>
        <v>45847</v>
      </c>
    </row>
    <row r="198" spans="1:9">
      <c r="A198" s="1">
        <v>154</v>
      </c>
      <c r="B198" s="1" t="s">
        <v>78</v>
      </c>
      <c r="C198" s="1">
        <v>9</v>
      </c>
      <c r="D198" s="1">
        <v>7</v>
      </c>
      <c r="E198" s="1">
        <v>3</v>
      </c>
      <c r="F198" s="1">
        <f>SUMIF(Scores!$F$2:$F$926, 'Next Gen'!$A198, INDEX(Scores!$I$2:$Q$926, 0, MATCH($B198, Scores!$I$1:$Q$1, 0)))</f>
        <v>2</v>
      </c>
      <c r="G198" s="1" t="str">
        <f>INDEX(Scores!$B$2:$B$926, MATCH('Next Gen'!$A198, Scores!$F$2:$F$926, 0))</f>
        <v>high</v>
      </c>
      <c r="H198" s="1" t="str">
        <f>INDEX(Scores!$D$2:$D$926, MATCH('Next Gen'!$A198, Scores!$F$2:$F$926, 0))</f>
        <v>Original</v>
      </c>
      <c r="I198" s="4">
        <f>INDEX(Scores!$E$2:$E$926, MATCH('Next Gen'!$A198, Scores!$F$2:$F$926, 0))</f>
        <v>45847</v>
      </c>
    </row>
    <row r="199" spans="1:9">
      <c r="A199" s="1">
        <v>154</v>
      </c>
      <c r="B199" s="1" t="s">
        <v>4</v>
      </c>
      <c r="C199" s="1">
        <v>9</v>
      </c>
      <c r="D199" s="1">
        <v>5</v>
      </c>
      <c r="E199" s="1">
        <v>2</v>
      </c>
      <c r="F199" s="1">
        <f>SUMIF(Scores!$F$2:$F$926, 'Next Gen'!$A199, INDEX(Scores!$I$2:$Q$926, 0, MATCH($B199, Scores!$I$1:$Q$1, 0)))</f>
        <v>5</v>
      </c>
      <c r="G199" s="1" t="str">
        <f>INDEX(Scores!$B$2:$B$926, MATCH('Next Gen'!$A199, Scores!$F$2:$F$926, 0))</f>
        <v>high</v>
      </c>
      <c r="H199" s="1" t="str">
        <f>INDEX(Scores!$D$2:$D$926, MATCH('Next Gen'!$A199, Scores!$F$2:$F$926, 0))</f>
        <v>Original</v>
      </c>
      <c r="I199" s="4">
        <f>INDEX(Scores!$E$2:$E$926, MATCH('Next Gen'!$A199, Scores!$F$2:$F$926, 0))</f>
        <v>45847</v>
      </c>
    </row>
    <row r="200" spans="1:9">
      <c r="A200" s="1">
        <v>155</v>
      </c>
      <c r="B200" s="1" t="s">
        <v>4</v>
      </c>
      <c r="C200" s="1">
        <v>9</v>
      </c>
      <c r="D200" s="1">
        <v>8</v>
      </c>
      <c r="E200" s="1">
        <v>4</v>
      </c>
      <c r="F200" s="1">
        <f>SUMIF(Scores!$F$2:$F$926, 'Next Gen'!$A200, INDEX(Scores!$I$2:$Q$926, 0, MATCH($B200, Scores!$I$1:$Q$1, 0)))</f>
        <v>9</v>
      </c>
      <c r="G200" s="1" t="str">
        <f>INDEX(Scores!$B$2:$B$926, MATCH('Next Gen'!$A201, Scores!$F$2:$F$926, 0))</f>
        <v>mid</v>
      </c>
      <c r="H200" s="1" t="str">
        <f>INDEX(Scores!$D$2:$D$926, MATCH('Next Gen'!$A200, Scores!$F$2:$F$926, 0))</f>
        <v>Original</v>
      </c>
      <c r="I200" s="4">
        <f>INDEX(Scores!$E$2:$E$926, MATCH('Next Gen'!$A201, Scores!$F$2:$F$926, 0))</f>
        <v>45847</v>
      </c>
    </row>
    <row r="201" spans="1:9">
      <c r="A201" s="1">
        <v>155</v>
      </c>
      <c r="B201" s="1" t="s">
        <v>78</v>
      </c>
      <c r="C201" s="1">
        <v>9</v>
      </c>
      <c r="D201" s="1">
        <v>4</v>
      </c>
      <c r="E201" s="1">
        <v>1</v>
      </c>
      <c r="F201" s="1">
        <f>SUMIF(Scores!$F$2:$F$926, 'Next Gen'!$A201, INDEX(Scores!$I$2:$Q$926, 0, MATCH($B201, Scores!$I$1:$Q$1, 0)))</f>
        <v>1</v>
      </c>
      <c r="G201" s="1" t="str">
        <f>INDEX(Scores!$B$2:$B$926, MATCH('Next Gen'!$A200, Scores!$F$2:$F$926, 0))</f>
        <v>mid</v>
      </c>
      <c r="H201" s="1" t="str">
        <f>INDEX(Scores!$D$2:$D$926, MATCH('Next Gen'!$A201, Scores!$F$2:$F$926, 0))</f>
        <v>Original</v>
      </c>
      <c r="I201" s="4">
        <f>INDEX(Scores!$E$2:$E$926, MATCH('Next Gen'!$A200, Scores!$F$2:$F$926, 0))</f>
        <v>45847</v>
      </c>
    </row>
    <row r="202" spans="1:9">
      <c r="A202" s="1">
        <v>156</v>
      </c>
      <c r="B202" s="1" t="s">
        <v>4</v>
      </c>
      <c r="C202" s="1">
        <v>9</v>
      </c>
      <c r="D202" s="1">
        <v>9</v>
      </c>
      <c r="E202" s="1">
        <v>5</v>
      </c>
      <c r="F202" s="1">
        <f>SUMIF(Scores!$F$2:$F$926, 'Next Gen'!$A202, INDEX(Scores!$I$2:$Q$926, 0, MATCH($B202, Scores!$I$1:$Q$1, 0)))</f>
        <v>13</v>
      </c>
      <c r="G202" s="1" t="str">
        <f>INDEX(Scores!$B$2:$B$926, MATCH('Next Gen'!$A203, Scores!$F$2:$F$926, 0))</f>
        <v>mid</v>
      </c>
      <c r="H202" s="1" t="str">
        <f>INDEX(Scores!$D$2:$D$926, MATCH('Next Gen'!$A202, Scores!$F$2:$F$926, 0))</f>
        <v>Original</v>
      </c>
      <c r="I202" s="4">
        <f>INDEX(Scores!$E$2:$E$926, MATCH('Next Gen'!$A203, Scores!$F$2:$F$926, 0))</f>
        <v>45848</v>
      </c>
    </row>
    <row r="203" spans="1:9">
      <c r="A203" s="1">
        <v>156</v>
      </c>
      <c r="B203" s="1" t="s">
        <v>78</v>
      </c>
      <c r="C203" s="1">
        <v>9</v>
      </c>
      <c r="D203" s="1">
        <v>3</v>
      </c>
      <c r="E203" s="1">
        <v>1</v>
      </c>
      <c r="F203" s="1">
        <f>SUMIF(Scores!$F$2:$F$926, 'Next Gen'!$A203, INDEX(Scores!$I$2:$Q$926, 0, MATCH($B203, Scores!$I$1:$Q$1, 0)))</f>
        <v>1</v>
      </c>
      <c r="G203" s="1" t="str">
        <f>INDEX(Scores!$B$2:$B$926, MATCH('Next Gen'!$A202, Scores!$F$2:$F$926, 0))</f>
        <v>mid</v>
      </c>
      <c r="H203" s="1" t="str">
        <f>INDEX(Scores!$D$2:$D$926, MATCH('Next Gen'!$A203, Scores!$F$2:$F$926, 0))</f>
        <v>Original</v>
      </c>
      <c r="I203" s="4">
        <f>INDEX(Scores!$E$2:$E$926, MATCH('Next Gen'!$A202, Scores!$F$2:$F$926, 0))</f>
        <v>45848</v>
      </c>
    </row>
    <row r="204" spans="1:9">
      <c r="A204" s="1">
        <v>157</v>
      </c>
      <c r="B204" s="1" t="s">
        <v>4</v>
      </c>
      <c r="C204" s="1">
        <v>15</v>
      </c>
      <c r="D204" s="1">
        <v>12</v>
      </c>
      <c r="E204" s="1">
        <v>4</v>
      </c>
      <c r="F204" s="1">
        <f>SUMIF(Scores!$F$2:$F$926, 'Next Gen'!$A204, INDEX(Scores!$I$2:$Q$926, 0, MATCH($B204, Scores!$I$1:$Q$1, 0)))</f>
        <v>4</v>
      </c>
      <c r="G204" s="1" t="str">
        <f>INDEX(Scores!$B$2:$B$926, MATCH('Next Gen'!$A205, Scores!$F$2:$F$926, 0))</f>
        <v>low</v>
      </c>
      <c r="H204" s="1" t="str">
        <f>INDEX(Scores!$D$2:$D$926, MATCH('Next Gen'!$A204, Scores!$F$2:$F$926, 0))</f>
        <v>Original</v>
      </c>
      <c r="I204" s="4">
        <f>INDEX(Scores!$E$2:$E$926, MATCH('Next Gen'!$A205, Scores!$F$2:$F$926, 0))</f>
        <v>45848</v>
      </c>
    </row>
    <row r="205" spans="1:9">
      <c r="A205" s="1">
        <v>157</v>
      </c>
      <c r="B205" s="1" t="s">
        <v>78</v>
      </c>
      <c r="C205" s="1">
        <v>15</v>
      </c>
      <c r="D205" s="1">
        <v>4</v>
      </c>
      <c r="E205" s="1">
        <v>2</v>
      </c>
      <c r="F205" s="1">
        <f>SUMIF(Scores!$F$2:$F$926, 'Next Gen'!$A205, INDEX(Scores!$I$2:$Q$926, 0, MATCH($B205, Scores!$I$1:$Q$1, 0)))</f>
        <v>3</v>
      </c>
      <c r="G205" s="1" t="str">
        <f>INDEX(Scores!$B$2:$B$926, MATCH('Next Gen'!$A204, Scores!$F$2:$F$926, 0))</f>
        <v>low</v>
      </c>
      <c r="H205" s="1" t="str">
        <f>INDEX(Scores!$D$2:$D$926, MATCH('Next Gen'!$A205, Scores!$F$2:$F$926, 0))</f>
        <v>Original</v>
      </c>
      <c r="I205" s="4">
        <f>INDEX(Scores!$E$2:$E$926, MATCH('Next Gen'!$A204, Scores!$F$2:$F$926, 0))</f>
        <v>45848</v>
      </c>
    </row>
    <row r="206" spans="1:9">
      <c r="A206" s="1">
        <v>158</v>
      </c>
      <c r="B206" s="1" t="s">
        <v>4</v>
      </c>
      <c r="C206" s="1">
        <v>9</v>
      </c>
      <c r="D206" s="1">
        <v>9</v>
      </c>
      <c r="E206" s="1">
        <v>4</v>
      </c>
      <c r="F206" s="1">
        <f>SUMIF(Scores!$F$2:$F$926, 'Next Gen'!$A206, INDEX(Scores!$I$2:$Q$926, 0, MATCH($B206, Scores!$I$1:$Q$1, 0)))</f>
        <v>6</v>
      </c>
      <c r="G206" s="1" t="str">
        <f>INDEX(Scores!$B$2:$B$926, MATCH('Next Gen'!$A207, Scores!$F$2:$F$926, 0))</f>
        <v>high</v>
      </c>
      <c r="H206" s="1" t="str">
        <f>INDEX(Scores!$D$2:$D$926, MATCH('Next Gen'!$A206, Scores!$F$2:$F$926, 0))</f>
        <v>Original</v>
      </c>
      <c r="I206" s="4">
        <f>INDEX(Scores!$E$2:$E$926, MATCH('Next Gen'!$A207, Scores!$F$2:$F$926, 0))</f>
        <v>45848</v>
      </c>
    </row>
    <row r="207" spans="1:9">
      <c r="A207" s="1">
        <v>158</v>
      </c>
      <c r="B207" s="1" t="s">
        <v>78</v>
      </c>
      <c r="C207" s="1">
        <v>9</v>
      </c>
      <c r="D207" s="1">
        <v>4</v>
      </c>
      <c r="E207" s="1">
        <v>0</v>
      </c>
      <c r="F207" s="1">
        <f>SUMIF(Scores!$F$2:$F$926, 'Next Gen'!$A207, INDEX(Scores!$I$2:$Q$926, 0, MATCH($B207, Scores!$I$1:$Q$1, 0)))</f>
        <v>0</v>
      </c>
      <c r="G207" s="1" t="str">
        <f>INDEX(Scores!$B$2:$B$926, MATCH('Next Gen'!$A206, Scores!$F$2:$F$926, 0))</f>
        <v>high</v>
      </c>
      <c r="H207" s="1" t="str">
        <f>INDEX(Scores!$D$2:$D$926, MATCH('Next Gen'!$A207, Scores!$F$2:$F$926, 0))</f>
        <v>Original</v>
      </c>
      <c r="I207" s="4">
        <f>INDEX(Scores!$E$2:$E$926, MATCH('Next Gen'!$A206, Scores!$F$2:$F$926, 0))</f>
        <v>45848</v>
      </c>
    </row>
    <row r="208" spans="1:9">
      <c r="A208" s="1">
        <v>159</v>
      </c>
      <c r="B208" s="1" t="s">
        <v>4</v>
      </c>
      <c r="C208" s="1">
        <v>9</v>
      </c>
      <c r="D208" s="1">
        <v>9</v>
      </c>
      <c r="E208" s="1">
        <v>5</v>
      </c>
      <c r="F208" s="1">
        <f>SUMIF(Scores!$F$2:$F$926, 'Next Gen'!$A208, INDEX(Scores!$I$2:$Q$926, 0, MATCH($B208, Scores!$I$1:$Q$1, 0)))</f>
        <v>12</v>
      </c>
      <c r="G208" s="1" t="str">
        <f>INDEX(Scores!$B$2:$B$926, MATCH('Next Gen'!$A209, Scores!$F$2:$F$926, 0))</f>
        <v>mid</v>
      </c>
      <c r="H208" s="1" t="str">
        <f>INDEX(Scores!$D$2:$D$926, MATCH('Next Gen'!$A208, Scores!$F$2:$F$926, 0))</f>
        <v>Original</v>
      </c>
      <c r="I208" s="4">
        <f>INDEX(Scores!$E$2:$E$926, MATCH('Next Gen'!$A209, Scores!$F$2:$F$926, 0))</f>
        <v>45849</v>
      </c>
    </row>
    <row r="209" spans="1:9">
      <c r="A209" s="1">
        <v>159</v>
      </c>
      <c r="B209" s="1" t="s">
        <v>78</v>
      </c>
      <c r="C209" s="1">
        <v>9</v>
      </c>
      <c r="D209" s="1">
        <v>6</v>
      </c>
      <c r="E209" s="1">
        <v>3</v>
      </c>
      <c r="F209" s="1">
        <f>SUMIF(Scores!$F$2:$F$926, 'Next Gen'!$A209, INDEX(Scores!$I$2:$Q$926, 0, MATCH($B209, Scores!$I$1:$Q$1, 0)))</f>
        <v>6</v>
      </c>
      <c r="G209" s="1" t="str">
        <f>INDEX(Scores!$B$2:$B$926, MATCH('Next Gen'!$A208, Scores!$F$2:$F$926, 0))</f>
        <v>mid</v>
      </c>
      <c r="H209" s="1" t="str">
        <f>INDEX(Scores!$D$2:$D$926, MATCH('Next Gen'!$A209, Scores!$F$2:$F$926, 0))</f>
        <v>Original</v>
      </c>
      <c r="I209" s="4">
        <f>INDEX(Scores!$E$2:$E$926, MATCH('Next Gen'!$A208, Scores!$F$2:$F$926, 0))</f>
        <v>45849</v>
      </c>
    </row>
    <row r="210" spans="1:9">
      <c r="A210" s="1">
        <v>160</v>
      </c>
      <c r="B210" s="1" t="s">
        <v>78</v>
      </c>
      <c r="C210" s="1">
        <v>9</v>
      </c>
      <c r="D210" s="1">
        <v>2</v>
      </c>
      <c r="E210" s="1">
        <v>1</v>
      </c>
      <c r="F210" s="1">
        <f>SUMIF(Scores!$F$2:$F$926, 'Next Gen'!$A210, INDEX(Scores!$I$2:$Q$926, 0, MATCH($B210, Scores!$I$1:$Q$1, 0)))</f>
        <v>1</v>
      </c>
      <c r="G210" s="1" t="str">
        <f>INDEX(Scores!$B$2:$B$926, MATCH('Next Gen'!$A210, Scores!$F$2:$F$926, 0))</f>
        <v>mid</v>
      </c>
      <c r="H210" s="1" t="str">
        <f>INDEX(Scores!$D$2:$D$926, MATCH('Next Gen'!$A210, Scores!$F$2:$F$926, 0))</f>
        <v>Original</v>
      </c>
      <c r="I210" s="4">
        <f>INDEX(Scores!$E$2:$E$926, MATCH('Next Gen'!$A210, Scores!$F$2:$F$926, 0))</f>
        <v>45849</v>
      </c>
    </row>
    <row r="211" spans="1:9">
      <c r="A211" s="1">
        <v>160</v>
      </c>
      <c r="B211" s="1" t="s">
        <v>4</v>
      </c>
      <c r="C211" s="1">
        <v>9</v>
      </c>
      <c r="D211" s="1">
        <v>8</v>
      </c>
      <c r="E211" s="1">
        <v>1</v>
      </c>
      <c r="F211" s="1">
        <f>SUMIF(Scores!$F$2:$F$926, 'Next Gen'!$A211, INDEX(Scores!$I$2:$Q$926, 0, MATCH($B211, Scores!$I$1:$Q$1, 0)))</f>
        <v>3</v>
      </c>
      <c r="G211" s="1" t="str">
        <f>INDEX(Scores!$B$2:$B$926, MATCH('Next Gen'!$A211, Scores!$F$2:$F$926, 0))</f>
        <v>mid</v>
      </c>
      <c r="H211" s="1" t="str">
        <f>INDEX(Scores!$D$2:$D$926, MATCH('Next Gen'!$A211, Scores!$F$2:$F$926, 0))</f>
        <v>Original</v>
      </c>
      <c r="I211" s="4">
        <f>INDEX(Scores!$E$2:$E$926, MATCH('Next Gen'!$A211, Scores!$F$2:$F$926, 0))</f>
        <v>45849</v>
      </c>
    </row>
    <row r="212" spans="1:9">
      <c r="A212" s="1">
        <v>161</v>
      </c>
      <c r="B212" s="1" t="s">
        <v>4</v>
      </c>
      <c r="C212" s="1">
        <v>9</v>
      </c>
      <c r="D212" s="1">
        <v>9</v>
      </c>
      <c r="E212" s="1">
        <v>6</v>
      </c>
      <c r="F212" s="1">
        <f>SUMIF(Scores!$F$2:$F$926, 'Next Gen'!$A212, INDEX(Scores!$I$2:$Q$926, 0, MATCH($B212, Scores!$I$1:$Q$1, 0)))</f>
        <v>15</v>
      </c>
      <c r="G212" s="1" t="str">
        <f>INDEX(Scores!$B$2:$B$926, MATCH('Next Gen'!$A213, Scores!$F$2:$F$926, 0))</f>
        <v>mid</v>
      </c>
      <c r="H212" s="1" t="str">
        <f>INDEX(Scores!$D$2:$D$926, MATCH('Next Gen'!$A212, Scores!$F$2:$F$926, 0))</f>
        <v>Original</v>
      </c>
      <c r="I212" s="4">
        <f>INDEX(Scores!$E$2:$E$926, MATCH('Next Gen'!$A213, Scores!$F$2:$F$926, 0))</f>
        <v>45849</v>
      </c>
    </row>
    <row r="213" spans="1:9">
      <c r="A213" s="1">
        <v>161</v>
      </c>
      <c r="B213" s="1" t="s">
        <v>78</v>
      </c>
      <c r="C213" s="1">
        <v>9</v>
      </c>
      <c r="D213" s="1">
        <v>4</v>
      </c>
      <c r="E213" s="1">
        <v>1</v>
      </c>
      <c r="F213" s="1">
        <f>SUMIF(Scores!$F$2:$F$926, 'Next Gen'!$A213, INDEX(Scores!$I$2:$Q$926, 0, MATCH($B213, Scores!$I$1:$Q$1, 0)))</f>
        <v>1</v>
      </c>
      <c r="G213" s="1" t="str">
        <f>INDEX(Scores!$B$2:$B$926, MATCH('Next Gen'!$A212, Scores!$F$2:$F$926, 0))</f>
        <v>mid</v>
      </c>
      <c r="H213" s="1" t="str">
        <f>INDEX(Scores!$D$2:$D$926, MATCH('Next Gen'!$A213, Scores!$F$2:$F$926, 0))</f>
        <v>Original</v>
      </c>
      <c r="I213" s="4">
        <f>INDEX(Scores!$E$2:$E$926, MATCH('Next Gen'!$A212, Scores!$F$2:$F$926, 0))</f>
        <v>45849</v>
      </c>
    </row>
    <row r="214" spans="1:9">
      <c r="A214" s="1">
        <v>162</v>
      </c>
      <c r="B214" s="1" t="s">
        <v>78</v>
      </c>
      <c r="C214" s="1">
        <v>9</v>
      </c>
      <c r="D214" s="1">
        <v>6</v>
      </c>
      <c r="E214" s="1">
        <v>5</v>
      </c>
      <c r="F214" s="1">
        <f>SUMIF(Scores!$F$2:$F$926, 'Next Gen'!$A214, INDEX(Scores!$I$2:$Q$926, 0, MATCH($B214, Scores!$I$1:$Q$1, 0)))</f>
        <v>6</v>
      </c>
      <c r="G214" s="1" t="str">
        <f>INDEX(Scores!$B$2:$B$926, MATCH('Next Gen'!$A214, Scores!$F$2:$F$926, 0))</f>
        <v>mid</v>
      </c>
      <c r="H214" s="1" t="str">
        <f>INDEX(Scores!$D$2:$D$926, MATCH('Next Gen'!$A214, Scores!$F$2:$F$926, 0))</f>
        <v>Original</v>
      </c>
      <c r="I214" s="4">
        <f>INDEX(Scores!$E$2:$E$926, MATCH('Next Gen'!$A214, Scores!$F$2:$F$926, 0))</f>
        <v>45852</v>
      </c>
    </row>
    <row r="215" spans="1:9">
      <c r="A215" s="1">
        <v>162</v>
      </c>
      <c r="B215" s="1" t="s">
        <v>4</v>
      </c>
      <c r="C215" s="1">
        <v>9</v>
      </c>
      <c r="D215" s="1">
        <v>9</v>
      </c>
      <c r="E215" s="1">
        <v>4</v>
      </c>
      <c r="F215" s="1">
        <f>SUMIF(Scores!$F$2:$F$926, 'Next Gen'!$A215, INDEX(Scores!$I$2:$Q$926, 0, MATCH($B215, Scores!$I$1:$Q$1, 0)))</f>
        <v>9</v>
      </c>
      <c r="G215" s="1" t="str">
        <f>INDEX(Scores!$B$2:$B$926, MATCH('Next Gen'!$A215, Scores!$F$2:$F$926, 0))</f>
        <v>mid</v>
      </c>
      <c r="H215" s="1" t="str">
        <f>INDEX(Scores!$D$2:$D$926, MATCH('Next Gen'!$A215, Scores!$F$2:$F$926, 0))</f>
        <v>Original</v>
      </c>
      <c r="I215" s="4">
        <f>INDEX(Scores!$E$2:$E$926, MATCH('Next Gen'!$A215, Scores!$F$2:$F$926, 0))</f>
        <v>45852</v>
      </c>
    </row>
    <row r="216" spans="1:9">
      <c r="A216" s="1">
        <v>163</v>
      </c>
      <c r="B216" s="1" t="s">
        <v>78</v>
      </c>
      <c r="C216" s="1">
        <v>9</v>
      </c>
      <c r="D216" s="1">
        <v>7</v>
      </c>
      <c r="E216" s="1">
        <v>4</v>
      </c>
      <c r="F216" s="1">
        <f>SUMIF(Scores!$F$2:$F$926, 'Next Gen'!$A216, INDEX(Scores!$I$2:$Q$926, 0, MATCH($B216, Scores!$I$1:$Q$1, 0)))</f>
        <v>7</v>
      </c>
      <c r="G216" s="1" t="str">
        <f>INDEX(Scores!$B$2:$B$926, MATCH('Next Gen'!$A216, Scores!$F$2:$F$926, 0))</f>
        <v>mid</v>
      </c>
      <c r="H216" s="1" t="str">
        <f>INDEX(Scores!$D$2:$D$926, MATCH('Next Gen'!$A216, Scores!$F$2:$F$926, 0))</f>
        <v>Original</v>
      </c>
      <c r="I216" s="4">
        <f>INDEX(Scores!$E$2:$E$926, MATCH('Next Gen'!$A216, Scores!$F$2:$F$926, 0))</f>
        <v>45852</v>
      </c>
    </row>
    <row r="217" spans="1:9">
      <c r="A217" s="1">
        <v>163</v>
      </c>
      <c r="B217" s="1" t="s">
        <v>4</v>
      </c>
      <c r="C217" s="1">
        <v>9</v>
      </c>
      <c r="D217" s="1">
        <v>9</v>
      </c>
      <c r="E217" s="1">
        <v>3</v>
      </c>
      <c r="F217" s="1">
        <f>SUMIF(Scores!$F$2:$F$926, 'Next Gen'!$A217, INDEX(Scores!$I$2:$Q$926, 0, MATCH($B217, Scores!$I$1:$Q$1, 0)))</f>
        <v>6</v>
      </c>
      <c r="G217" s="1" t="str">
        <f>INDEX(Scores!$B$2:$B$926, MATCH('Next Gen'!$A217, Scores!$F$2:$F$926, 0))</f>
        <v>mid</v>
      </c>
      <c r="H217" s="1" t="str">
        <f>INDEX(Scores!$D$2:$D$926, MATCH('Next Gen'!$A217, Scores!$F$2:$F$926, 0))</f>
        <v>Original</v>
      </c>
      <c r="I217" s="4">
        <f>INDEX(Scores!$E$2:$E$926, MATCH('Next Gen'!$A217, Scores!$F$2:$F$926, 0))</f>
        <v>45852</v>
      </c>
    </row>
    <row r="218" spans="1:9">
      <c r="A218" s="1">
        <v>164</v>
      </c>
      <c r="B218" s="1" t="s">
        <v>78</v>
      </c>
      <c r="C218" s="1">
        <v>9</v>
      </c>
      <c r="D218" s="1">
        <v>6</v>
      </c>
      <c r="E218" s="1">
        <v>3</v>
      </c>
      <c r="F218" s="1">
        <f>SUMIF(Scores!$F$2:$F$926, 'Next Gen'!$A218, INDEX(Scores!$I$2:$Q$926, 0, MATCH($B218, Scores!$I$1:$Q$1, 0)))</f>
        <v>4</v>
      </c>
      <c r="G218" s="1" t="str">
        <f>INDEX(Scores!$B$2:$B$926, MATCH('Next Gen'!$A218, Scores!$F$2:$F$926, 0))</f>
        <v>mid</v>
      </c>
      <c r="H218" s="1" t="str">
        <f>INDEX(Scores!$D$2:$D$926, MATCH('Next Gen'!$A218, Scores!$F$2:$F$926, 0))</f>
        <v>Original</v>
      </c>
      <c r="I218" s="4">
        <f>INDEX(Scores!$E$2:$E$926, MATCH('Next Gen'!$A218, Scores!$F$2:$F$926, 0))</f>
        <v>45852</v>
      </c>
    </row>
    <row r="219" spans="1:9">
      <c r="A219" s="1">
        <v>164</v>
      </c>
      <c r="B219" s="1" t="s">
        <v>4</v>
      </c>
      <c r="C219" s="1">
        <v>9</v>
      </c>
      <c r="D219" s="1">
        <v>8</v>
      </c>
      <c r="E219" s="1">
        <v>1</v>
      </c>
      <c r="F219" s="1">
        <f>SUMIF(Scores!$F$2:$F$926, 'Next Gen'!$A219, INDEX(Scores!$I$2:$Q$926, 0, MATCH($B219, Scores!$I$1:$Q$1, 0)))</f>
        <v>2</v>
      </c>
      <c r="G219" s="1" t="str">
        <f>INDEX(Scores!$B$2:$B$926, MATCH('Next Gen'!$A219, Scores!$F$2:$F$926, 0))</f>
        <v>mid</v>
      </c>
      <c r="H219" s="1" t="str">
        <f>INDEX(Scores!$D$2:$D$926, MATCH('Next Gen'!$A219, Scores!$F$2:$F$926, 0))</f>
        <v>Original</v>
      </c>
      <c r="I219" s="4">
        <f>INDEX(Scores!$E$2:$E$926, MATCH('Next Gen'!$A219, Scores!$F$2:$F$926, 0))</f>
        <v>45852</v>
      </c>
    </row>
    <row r="220" spans="1:9">
      <c r="A220" s="1">
        <v>165</v>
      </c>
      <c r="B220" s="1" t="s">
        <v>78</v>
      </c>
      <c r="C220" s="1">
        <v>9</v>
      </c>
      <c r="D220" s="1">
        <v>7</v>
      </c>
      <c r="E220" s="1">
        <v>5</v>
      </c>
      <c r="F220" s="1">
        <f>SUMIF(Scores!$F$2:$F$926, 'Next Gen'!$A220, INDEX(Scores!$I$2:$Q$926, 0, MATCH($B220, Scores!$I$1:$Q$1, 0)))</f>
        <v>9</v>
      </c>
      <c r="G220" s="1" t="str">
        <f>INDEX(Scores!$B$2:$B$926, MATCH('Next Gen'!$A222, Scores!$F$2:$F$926, 0))</f>
        <v>mid</v>
      </c>
      <c r="H220" s="1" t="str">
        <f>INDEX(Scores!$D$2:$D$926, MATCH('Next Gen'!$A220, Scores!$F$2:$F$926, 0))</f>
        <v>Original</v>
      </c>
      <c r="I220" s="4">
        <f>INDEX(Scores!$E$2:$E$926, MATCH('Next Gen'!$A222, Scores!$F$2:$F$926, 0))</f>
        <v>45853</v>
      </c>
    </row>
    <row r="221" spans="1:9">
      <c r="A221" s="1">
        <v>165</v>
      </c>
      <c r="B221" s="1" t="s">
        <v>4</v>
      </c>
      <c r="C221" s="1">
        <v>9</v>
      </c>
      <c r="D221" s="1">
        <v>9</v>
      </c>
      <c r="E221" s="1">
        <v>3</v>
      </c>
      <c r="F221" s="1">
        <f>SUMIF(Scores!$F$2:$F$926, 'Next Gen'!$A221, INDEX(Scores!$I$2:$Q$926, 0, MATCH($B221, Scores!$I$1:$Q$1, 0)))</f>
        <v>4</v>
      </c>
      <c r="G221" s="1" t="str">
        <f>INDEX(Scores!$B$2:$B$926, MATCH('Next Gen'!$A220, Scores!$F$2:$F$926, 0))</f>
        <v>mid</v>
      </c>
      <c r="H221" s="1" t="str">
        <f>INDEX(Scores!$D$2:$D$926, MATCH('Next Gen'!$A221, Scores!$F$2:$F$926, 0))</f>
        <v>Original</v>
      </c>
      <c r="I221" s="4">
        <f>INDEX(Scores!$E$2:$E$926, MATCH('Next Gen'!$A220, Scores!$F$2:$F$926, 0))</f>
        <v>45853</v>
      </c>
    </row>
    <row r="222" spans="1:9">
      <c r="A222" s="1">
        <v>165</v>
      </c>
      <c r="B222" s="1" t="s">
        <v>5</v>
      </c>
      <c r="C222" s="1">
        <v>9</v>
      </c>
      <c r="D222" s="1">
        <v>7</v>
      </c>
      <c r="E222" s="1">
        <v>0</v>
      </c>
      <c r="F222" s="1">
        <f>SUMIF(Scores!$F$2:$F$926, 'Next Gen'!$A222, INDEX(Scores!$I$2:$Q$926, 0, MATCH($B222, Scores!$I$1:$Q$1, 0)))</f>
        <v>0</v>
      </c>
      <c r="G222" s="1" t="str">
        <f>INDEX(Scores!$B$2:$B$926, MATCH('Next Gen'!$A221, Scores!$F$2:$F$926, 0))</f>
        <v>mid</v>
      </c>
      <c r="H222" s="1" t="str">
        <f>INDEX(Scores!$D$2:$D$926, MATCH('Next Gen'!$A222, Scores!$F$2:$F$926, 0))</f>
        <v>Original</v>
      </c>
      <c r="I222" s="4">
        <f>INDEX(Scores!$E$2:$E$926, MATCH('Next Gen'!$A221, Scores!$F$2:$F$926, 0))</f>
        <v>45853</v>
      </c>
    </row>
    <row r="223" spans="1:9">
      <c r="A223" s="1">
        <v>166</v>
      </c>
      <c r="B223" s="1" t="s">
        <v>4</v>
      </c>
      <c r="C223" s="1">
        <v>9</v>
      </c>
      <c r="D223" s="1">
        <v>9</v>
      </c>
      <c r="E223" s="1">
        <v>4</v>
      </c>
      <c r="F223" s="1">
        <f>SUMIF(Scores!$F$2:$F$926, 'Next Gen'!$A223, INDEX(Scores!$I$2:$Q$926, 0, MATCH($B223, Scores!$I$1:$Q$1, 0)))</f>
        <v>5</v>
      </c>
      <c r="G223" s="1" t="str">
        <f>INDEX(Scores!$B$2:$B$926, MATCH('Next Gen'!$A223, Scores!$F$2:$F$926, 0))</f>
        <v>high</v>
      </c>
      <c r="H223" s="1" t="str">
        <f>INDEX(Scores!$D$2:$D$926, MATCH('Next Gen'!$A223, Scores!$F$2:$F$926, 0))</f>
        <v>Original</v>
      </c>
      <c r="I223" s="4">
        <f>INDEX(Scores!$E$2:$E$926, MATCH('Next Gen'!$A223, Scores!$F$2:$F$926, 0))</f>
        <v>45853</v>
      </c>
    </row>
    <row r="224" spans="1:9">
      <c r="A224" s="1">
        <v>166</v>
      </c>
      <c r="B224" s="1" t="s">
        <v>78</v>
      </c>
      <c r="C224" s="1">
        <v>9</v>
      </c>
      <c r="D224" s="1">
        <v>7</v>
      </c>
      <c r="E224" s="1">
        <v>4</v>
      </c>
      <c r="F224" s="1">
        <f>SUMIF(Scores!$F$2:$F$926, 'Next Gen'!$A224, INDEX(Scores!$I$2:$Q$926, 0, MATCH($B224, Scores!$I$1:$Q$1, 0)))</f>
        <v>8</v>
      </c>
      <c r="G224" s="1" t="str">
        <f>INDEX(Scores!$B$2:$B$926, MATCH('Next Gen'!$A225, Scores!$F$2:$F$926, 0))</f>
        <v>high</v>
      </c>
      <c r="H224" s="1" t="str">
        <f>INDEX(Scores!$D$2:$D$926, MATCH('Next Gen'!$A224, Scores!$F$2:$F$926, 0))</f>
        <v>Original</v>
      </c>
      <c r="I224" s="4">
        <f>INDEX(Scores!$E$2:$E$926, MATCH('Next Gen'!$A225, Scores!$F$2:$F$926, 0))</f>
        <v>45853</v>
      </c>
    </row>
    <row r="225" spans="1:9">
      <c r="A225" s="1">
        <v>166</v>
      </c>
      <c r="B225" s="1" t="s">
        <v>5</v>
      </c>
      <c r="C225" s="1">
        <v>9</v>
      </c>
      <c r="D225" s="1">
        <v>7</v>
      </c>
      <c r="E225" s="1">
        <v>3</v>
      </c>
      <c r="F225" s="1">
        <f>SUMIF(Scores!$F$2:$F$926, 'Next Gen'!$A225, INDEX(Scores!$I$2:$Q$926, 0, MATCH($B225, Scores!$I$1:$Q$1, 0)))</f>
        <v>3</v>
      </c>
      <c r="G225" s="1" t="str">
        <f>INDEX(Scores!$B$2:$B$926, MATCH('Next Gen'!$A224, Scores!$F$2:$F$926, 0))</f>
        <v>high</v>
      </c>
      <c r="H225" s="1" t="str">
        <f>INDEX(Scores!$D$2:$D$926, MATCH('Next Gen'!$A225, Scores!$F$2:$F$926, 0))</f>
        <v>Original</v>
      </c>
      <c r="I225" s="4">
        <f>INDEX(Scores!$E$2:$E$926, MATCH('Next Gen'!$A224, Scores!$F$2:$F$926, 0))</f>
        <v>45853</v>
      </c>
    </row>
    <row r="226" spans="1:9">
      <c r="A226" s="1">
        <v>167</v>
      </c>
      <c r="B226" s="1" t="s">
        <v>4</v>
      </c>
      <c r="C226" s="1">
        <v>9</v>
      </c>
      <c r="D226" s="1">
        <v>8</v>
      </c>
      <c r="E226" s="1">
        <v>4</v>
      </c>
      <c r="F226" s="1">
        <f>SUMIF(Scores!$F$2:$F$926, 'Next Gen'!$A226, INDEX(Scores!$I$2:$Q$926, 0, MATCH($B226, Scores!$I$1:$Q$1, 0)))</f>
        <v>8</v>
      </c>
      <c r="G226" s="1" t="str">
        <f>INDEX(Scores!$B$2:$B$926, MATCH('Next Gen'!$A227, Scores!$F$2:$F$926, 0))</f>
        <v>low</v>
      </c>
      <c r="H226" s="1" t="str">
        <f>INDEX(Scores!$D$2:$D$926, MATCH('Next Gen'!$A226, Scores!$F$2:$F$926, 0))</f>
        <v>Original</v>
      </c>
      <c r="I226" s="4">
        <f>INDEX(Scores!$E$2:$E$926, MATCH('Next Gen'!$A227, Scores!$F$2:$F$926, 0))</f>
        <v>45853</v>
      </c>
    </row>
    <row r="227" spans="1:9">
      <c r="A227" s="1">
        <v>167</v>
      </c>
      <c r="B227" s="1" t="s">
        <v>78</v>
      </c>
      <c r="C227" s="1">
        <v>9</v>
      </c>
      <c r="D227" s="1">
        <v>6</v>
      </c>
      <c r="E227" s="1">
        <v>2</v>
      </c>
      <c r="F227" s="1">
        <f>SUMIF(Scores!$F$2:$F$926, 'Next Gen'!$A227, INDEX(Scores!$I$2:$Q$926, 0, MATCH($B227, Scores!$I$1:$Q$1, 0)))</f>
        <v>2</v>
      </c>
      <c r="G227" s="1" t="str">
        <f>INDEX(Scores!$B$2:$B$926, MATCH('Next Gen'!$A226, Scores!$F$2:$F$926, 0))</f>
        <v>low</v>
      </c>
      <c r="H227" s="1" t="str">
        <f>INDEX(Scores!$D$2:$D$926, MATCH('Next Gen'!$A227, Scores!$F$2:$F$926, 0))</f>
        <v>Original</v>
      </c>
      <c r="I227" s="4">
        <f>INDEX(Scores!$E$2:$E$926, MATCH('Next Gen'!$A226, Scores!$F$2:$F$926, 0))</f>
        <v>45853</v>
      </c>
    </row>
    <row r="228" spans="1:9">
      <c r="A228" s="1">
        <v>168</v>
      </c>
      <c r="B228" s="1" t="s">
        <v>4</v>
      </c>
      <c r="C228" s="1">
        <v>9</v>
      </c>
      <c r="D228" s="1">
        <v>8</v>
      </c>
      <c r="E228" s="1">
        <v>5</v>
      </c>
      <c r="F228" s="1">
        <f>SUMIF(Scores!$F$2:$F$926, 'Next Gen'!$A228, INDEX(Scores!$I$2:$Q$926, 0, MATCH($B228, Scores!$I$1:$Q$1, 0)))</f>
        <v>11</v>
      </c>
      <c r="G228" s="1" t="str">
        <f>INDEX(Scores!$B$2:$B$926, MATCH('Next Gen'!$A229, Scores!$F$2:$F$926, 0))</f>
        <v>mid</v>
      </c>
      <c r="H228" s="1" t="str">
        <f>INDEX(Scores!$D$2:$D$926, MATCH('Next Gen'!$A228, Scores!$F$2:$F$926, 0))</f>
        <v>Original</v>
      </c>
      <c r="I228" s="4">
        <f>INDEX(Scores!$E$2:$E$926, MATCH('Next Gen'!$A229, Scores!$F$2:$F$926, 0))</f>
        <v>45854</v>
      </c>
    </row>
    <row r="229" spans="1:9">
      <c r="A229" s="1">
        <v>168</v>
      </c>
      <c r="B229" s="1" t="s">
        <v>5</v>
      </c>
      <c r="C229" s="1">
        <v>9</v>
      </c>
      <c r="D229" s="1">
        <v>9</v>
      </c>
      <c r="E229" s="1">
        <v>2</v>
      </c>
      <c r="F229" s="1">
        <f>SUMIF(Scores!$F$2:$F$926, 'Next Gen'!$A229, INDEX(Scores!$I$2:$Q$926, 0, MATCH($B229, Scores!$I$1:$Q$1, 0)))</f>
        <v>3</v>
      </c>
      <c r="G229" s="1" t="str">
        <f>INDEX(Scores!$B$2:$B$926, MATCH('Next Gen'!$A230, Scores!$F$2:$F$926, 0))</f>
        <v>mid</v>
      </c>
      <c r="H229" s="1" t="str">
        <f>INDEX(Scores!$D$2:$D$926, MATCH('Next Gen'!$A229, Scores!$F$2:$F$926, 0))</f>
        <v>Original</v>
      </c>
      <c r="I229" s="4">
        <f>INDEX(Scores!$E$2:$E$926, MATCH('Next Gen'!$A230, Scores!$F$2:$F$926, 0))</f>
        <v>45854</v>
      </c>
    </row>
    <row r="230" spans="1:9">
      <c r="A230" s="1">
        <v>168</v>
      </c>
      <c r="B230" s="1" t="s">
        <v>78</v>
      </c>
      <c r="C230" s="1">
        <v>9</v>
      </c>
      <c r="D230" s="1">
        <v>3</v>
      </c>
      <c r="E230" s="1">
        <v>0</v>
      </c>
      <c r="F230" s="1">
        <f>SUMIF(Scores!$F$2:$F$926, 'Next Gen'!$A230, INDEX(Scores!$I$2:$Q$926, 0, MATCH($B230, Scores!$I$1:$Q$1, 0)))</f>
        <v>0</v>
      </c>
      <c r="G230" s="1" t="str">
        <f>INDEX(Scores!$B$2:$B$926, MATCH('Next Gen'!$A228, Scores!$F$2:$F$926, 0))</f>
        <v>mid</v>
      </c>
      <c r="H230" s="1" t="str">
        <f>INDEX(Scores!$D$2:$D$926, MATCH('Next Gen'!$A230, Scores!$F$2:$F$926, 0))</f>
        <v>Original</v>
      </c>
      <c r="I230" s="4">
        <f>INDEX(Scores!$E$2:$E$926, MATCH('Next Gen'!$A228, Scores!$F$2:$F$926, 0))</f>
        <v>45854</v>
      </c>
    </row>
    <row r="231" spans="1:9">
      <c r="A231" s="1">
        <v>169</v>
      </c>
      <c r="B231" s="1" t="s">
        <v>4</v>
      </c>
      <c r="C231" s="1">
        <v>9</v>
      </c>
      <c r="D231" s="1">
        <v>9</v>
      </c>
      <c r="E231" s="1">
        <v>5</v>
      </c>
      <c r="F231" s="1">
        <f>SUMIF(Scores!$F$2:$F$926, 'Next Gen'!$A231, INDEX(Scores!$I$2:$Q$926, 0, MATCH($B231, Scores!$I$1:$Q$1, 0)))</f>
        <v>8</v>
      </c>
      <c r="G231" s="1" t="str">
        <f>INDEX(Scores!$B$2:$B$926, MATCH('Next Gen'!$A232, Scores!$F$2:$F$926, 0))</f>
        <v>mid</v>
      </c>
      <c r="H231" s="1" t="str">
        <f>INDEX(Scores!$D$2:$D$926, MATCH('Next Gen'!$A231, Scores!$F$2:$F$926, 0))</f>
        <v>Original</v>
      </c>
      <c r="I231" s="4">
        <f>INDEX(Scores!$E$2:$E$926, MATCH('Next Gen'!$A232, Scores!$F$2:$F$926, 0))</f>
        <v>45854</v>
      </c>
    </row>
    <row r="232" spans="1:9">
      <c r="A232" s="1">
        <v>169</v>
      </c>
      <c r="B232" s="1" t="s">
        <v>78</v>
      </c>
      <c r="C232" s="1">
        <v>9</v>
      </c>
      <c r="D232" s="1">
        <v>2</v>
      </c>
      <c r="E232" s="1">
        <v>2</v>
      </c>
      <c r="F232" s="1">
        <f>SUMIF(Scores!$F$2:$F$926, 'Next Gen'!$A232, INDEX(Scores!$I$2:$Q$926, 0, MATCH($B232, Scores!$I$1:$Q$1, 0)))</f>
        <v>2</v>
      </c>
      <c r="G232" s="1" t="str">
        <f>INDEX(Scores!$B$2:$B$926, MATCH('Next Gen'!$A231, Scores!$F$2:$F$926, 0))</f>
        <v>mid</v>
      </c>
      <c r="H232" s="1" t="str">
        <f>INDEX(Scores!$D$2:$D$926, MATCH('Next Gen'!$A232, Scores!$F$2:$F$926, 0))</f>
        <v>Original</v>
      </c>
      <c r="I232" s="4">
        <f>INDEX(Scores!$E$2:$E$926, MATCH('Next Gen'!$A231, Scores!$F$2:$F$926, 0))</f>
        <v>45854</v>
      </c>
    </row>
    <row r="233" spans="1:9">
      <c r="A233" s="1">
        <v>169</v>
      </c>
      <c r="B233" s="1" t="s">
        <v>5</v>
      </c>
      <c r="C233" s="1">
        <v>9</v>
      </c>
      <c r="D233" s="1">
        <v>6</v>
      </c>
      <c r="E233" s="1">
        <v>1</v>
      </c>
      <c r="F233" s="1">
        <f>SUMIF(Scores!$F$2:$F$926, 'Next Gen'!$A233, INDEX(Scores!$I$2:$Q$926, 0, MATCH($B233, Scores!$I$1:$Q$1, 0)))</f>
        <v>1</v>
      </c>
      <c r="G233" s="1" t="str">
        <f>INDEX(Scores!$B$2:$B$926, MATCH('Next Gen'!$A233, Scores!$F$2:$F$926, 0))</f>
        <v>mid</v>
      </c>
      <c r="H233" s="1" t="str">
        <f>INDEX(Scores!$D$2:$D$926, MATCH('Next Gen'!$A233, Scores!$F$2:$F$926, 0))</f>
        <v>Original</v>
      </c>
      <c r="I233" s="4">
        <f>INDEX(Scores!$E$2:$E$926, MATCH('Next Gen'!$A233, Scores!$F$2:$F$926, 0))</f>
        <v>45854</v>
      </c>
    </row>
    <row r="234" spans="1:9">
      <c r="A234" s="1">
        <v>170</v>
      </c>
      <c r="B234" s="1" t="s">
        <v>4</v>
      </c>
      <c r="C234" s="1">
        <v>9</v>
      </c>
      <c r="D234" s="1">
        <v>9</v>
      </c>
      <c r="E234" s="1">
        <v>4</v>
      </c>
      <c r="F234" s="1">
        <f>SUMIF(Scores!$F$2:$F$926, 'Next Gen'!$A234, INDEX(Scores!$I$2:$Q$926, 0, MATCH($B234, Scores!$I$1:$Q$1, 0)))</f>
        <v>4</v>
      </c>
      <c r="G234" s="1" t="str">
        <f>INDEX(Scores!$B$2:$B$926, MATCH('Next Gen'!$A235, Scores!$F$2:$F$926, 0))</f>
        <v>mid</v>
      </c>
      <c r="H234" s="1" t="str">
        <f>INDEX(Scores!$D$2:$D$926, MATCH('Next Gen'!$A234, Scores!$F$2:$F$926, 0))</f>
        <v>Original</v>
      </c>
      <c r="I234" s="4">
        <f>INDEX(Scores!$E$2:$E$926, MATCH('Next Gen'!$A235, Scores!$F$2:$F$926, 0))</f>
        <v>45855</v>
      </c>
    </row>
    <row r="235" spans="1:9">
      <c r="A235" s="1">
        <v>170</v>
      </c>
      <c r="B235" s="1" t="s">
        <v>5</v>
      </c>
      <c r="C235" s="1">
        <v>9</v>
      </c>
      <c r="D235" s="1">
        <v>8</v>
      </c>
      <c r="E235" s="1">
        <v>4</v>
      </c>
      <c r="F235" s="1">
        <f>SUMIF(Scores!$F$2:$F$926, 'Next Gen'!$A235, INDEX(Scores!$I$2:$Q$926, 0, MATCH($B235, Scores!$I$1:$Q$1, 0)))</f>
        <v>9</v>
      </c>
      <c r="G235" s="1" t="str">
        <f>INDEX(Scores!$B$2:$B$926, MATCH('Next Gen'!$A236, Scores!$F$2:$F$926, 0))</f>
        <v>mid</v>
      </c>
      <c r="H235" s="1" t="str">
        <f>INDEX(Scores!$D$2:$D$926, MATCH('Next Gen'!$A235, Scores!$F$2:$F$926, 0))</f>
        <v>Original</v>
      </c>
      <c r="I235" s="4">
        <f>INDEX(Scores!$E$2:$E$926, MATCH('Next Gen'!$A236, Scores!$F$2:$F$926, 0))</f>
        <v>45855</v>
      </c>
    </row>
    <row r="236" spans="1:9">
      <c r="A236" s="1">
        <v>170</v>
      </c>
      <c r="B236" s="1" t="s">
        <v>78</v>
      </c>
      <c r="C236" s="1">
        <v>9</v>
      </c>
      <c r="D236" s="1">
        <v>6</v>
      </c>
      <c r="E236" s="1">
        <v>2</v>
      </c>
      <c r="F236" s="1">
        <f>SUMIF(Scores!$F$2:$F$926, 'Next Gen'!$A236, INDEX(Scores!$I$2:$Q$926, 0, MATCH($B236, Scores!$I$1:$Q$1, 0)))</f>
        <v>3</v>
      </c>
      <c r="G236" s="1" t="str">
        <f>INDEX(Scores!$B$2:$B$926, MATCH('Next Gen'!$A234, Scores!$F$2:$F$926, 0))</f>
        <v>mid</v>
      </c>
      <c r="H236" s="1" t="str">
        <f>INDEX(Scores!$D$2:$D$926, MATCH('Next Gen'!$A236, Scores!$F$2:$F$926, 0))</f>
        <v>Original</v>
      </c>
      <c r="I236" s="4">
        <f>INDEX(Scores!$E$2:$E$926, MATCH('Next Gen'!$A234, Scores!$F$2:$F$926, 0))</f>
        <v>45855</v>
      </c>
    </row>
    <row r="237" spans="1:9">
      <c r="A237" s="1">
        <v>171</v>
      </c>
      <c r="B237" s="1" t="s">
        <v>5</v>
      </c>
      <c r="C237" s="1">
        <v>9</v>
      </c>
      <c r="D237" s="1">
        <v>6</v>
      </c>
      <c r="E237" s="1">
        <v>4</v>
      </c>
      <c r="F237" s="1">
        <f>SUMIF(Scores!$F$2:$F$926, 'Next Gen'!$A237, INDEX(Scores!$I$2:$Q$926, 0, MATCH($B237, Scores!$I$1:$Q$1, 0)))</f>
        <v>6</v>
      </c>
      <c r="G237" s="1" t="str">
        <f>INDEX(Scores!$B$2:$B$926, MATCH('Next Gen'!$A239, Scores!$F$2:$F$926, 0))</f>
        <v>mid</v>
      </c>
      <c r="H237" s="1" t="str">
        <f>INDEX(Scores!$D$2:$D$926, MATCH('Next Gen'!$A237, Scores!$F$2:$F$926, 0))</f>
        <v>Original</v>
      </c>
      <c r="I237" s="4">
        <f>INDEX(Scores!$E$2:$E$926, MATCH('Next Gen'!$A239, Scores!$F$2:$F$926, 0))</f>
        <v>45855</v>
      </c>
    </row>
    <row r="238" spans="1:9">
      <c r="A238" s="1">
        <v>171</v>
      </c>
      <c r="B238" s="1" t="s">
        <v>4</v>
      </c>
      <c r="C238" s="1">
        <v>9</v>
      </c>
      <c r="D238" s="1">
        <v>7</v>
      </c>
      <c r="E238" s="1">
        <v>2</v>
      </c>
      <c r="F238" s="1">
        <f>SUMIF(Scores!$F$2:$F$926, 'Next Gen'!$A238, INDEX(Scores!$I$2:$Q$926, 0, MATCH($B238, Scores!$I$1:$Q$1, 0)))</f>
        <v>5</v>
      </c>
      <c r="G238" s="1" t="str">
        <f>INDEX(Scores!$B$2:$B$926, MATCH('Next Gen'!$A238, Scores!$F$2:$F$926, 0))</f>
        <v>mid</v>
      </c>
      <c r="H238" s="1" t="str">
        <f>INDEX(Scores!$D$2:$D$926, MATCH('Next Gen'!$A238, Scores!$F$2:$F$926, 0))</f>
        <v>Original</v>
      </c>
      <c r="I238" s="4">
        <f>INDEX(Scores!$E$2:$E$926, MATCH('Next Gen'!$A238, Scores!$F$2:$F$926, 0))</f>
        <v>45855</v>
      </c>
    </row>
    <row r="239" spans="1:9">
      <c r="A239" s="1">
        <v>171</v>
      </c>
      <c r="B239" s="1" t="s">
        <v>78</v>
      </c>
      <c r="C239" s="1">
        <v>9</v>
      </c>
      <c r="D239" s="1">
        <v>6</v>
      </c>
      <c r="E239" s="1">
        <v>1</v>
      </c>
      <c r="F239" s="1">
        <f>SUMIF(Scores!$F$2:$F$926, 'Next Gen'!$A239, INDEX(Scores!$I$2:$Q$926, 0, MATCH($B239, Scores!$I$1:$Q$1, 0)))</f>
        <v>1</v>
      </c>
      <c r="G239" s="1" t="str">
        <f>INDEX(Scores!$B$2:$B$926, MATCH('Next Gen'!$A237, Scores!$F$2:$F$926, 0))</f>
        <v>mid</v>
      </c>
      <c r="H239" s="1" t="str">
        <f>INDEX(Scores!$D$2:$D$926, MATCH('Next Gen'!$A239, Scores!$F$2:$F$926, 0))</f>
        <v>Original</v>
      </c>
      <c r="I239" s="4">
        <f>INDEX(Scores!$E$2:$E$926, MATCH('Next Gen'!$A237, Scores!$F$2:$F$926, 0))</f>
        <v>45855</v>
      </c>
    </row>
    <row r="240" spans="1:9">
      <c r="A240" s="1">
        <v>172</v>
      </c>
      <c r="B240" s="1" t="s">
        <v>4</v>
      </c>
      <c r="C240" s="1">
        <v>9</v>
      </c>
      <c r="D240" s="1">
        <v>9</v>
      </c>
      <c r="E240" s="1">
        <v>6</v>
      </c>
      <c r="F240" s="1">
        <f>SUMIF(Scores!$F$2:$F$926, 'Next Gen'!$A240, INDEX(Scores!$I$2:$Q$926, 0, MATCH($B240, Scores!$I$1:$Q$1, 0)))</f>
        <v>12</v>
      </c>
      <c r="G240" s="1" t="str">
        <f>INDEX(Scores!$B$2:$B$926, MATCH('Next Gen'!$A241, Scores!$F$2:$F$926, 0))</f>
        <v>mid</v>
      </c>
      <c r="H240" s="1" t="str">
        <f>INDEX(Scores!$D$2:$D$926, MATCH('Next Gen'!$A240, Scores!$F$2:$F$926, 0))</f>
        <v>Original</v>
      </c>
      <c r="I240" s="4">
        <f>INDEX(Scores!$E$2:$E$926, MATCH('Next Gen'!$A241, Scores!$F$2:$F$926, 0))</f>
        <v>45855</v>
      </c>
    </row>
    <row r="241" spans="1:9">
      <c r="A241" s="1">
        <v>172</v>
      </c>
      <c r="B241" s="1" t="s">
        <v>78</v>
      </c>
      <c r="C241" s="1">
        <v>9</v>
      </c>
      <c r="D241" s="1">
        <v>2</v>
      </c>
      <c r="E241" s="1">
        <v>0</v>
      </c>
      <c r="F241" s="1">
        <f>SUMIF(Scores!$F$2:$F$926, 'Next Gen'!$A241, INDEX(Scores!$I$2:$Q$926, 0, MATCH($B241, Scores!$I$1:$Q$1, 0)))</f>
        <v>0</v>
      </c>
      <c r="G241" s="1" t="str">
        <f>INDEX(Scores!$B$2:$B$926, MATCH('Next Gen'!$A240, Scores!$F$2:$F$926, 0))</f>
        <v>mid</v>
      </c>
      <c r="H241" s="1" t="str">
        <f>INDEX(Scores!$D$2:$D$926, MATCH('Next Gen'!$A241, Scores!$F$2:$F$926, 0))</f>
        <v>Original</v>
      </c>
      <c r="I241" s="4">
        <f>INDEX(Scores!$E$2:$E$926, MATCH('Next Gen'!$A240, Scores!$F$2:$F$926, 0))</f>
        <v>45855</v>
      </c>
    </row>
    <row r="242" spans="1:9">
      <c r="A242" s="1">
        <v>173</v>
      </c>
      <c r="B242" s="1" t="s">
        <v>78</v>
      </c>
      <c r="C242" s="1">
        <v>12</v>
      </c>
      <c r="D242" s="1">
        <v>9</v>
      </c>
      <c r="E242" s="1">
        <v>1</v>
      </c>
      <c r="F242" s="1">
        <f>SUMIF(Scores!$F$2:$F$926, 'Next Gen'!$A242, INDEX(Scores!$I$2:$Q$926, 0, MATCH($B242, Scores!$I$1:$Q$1, 0)))</f>
        <v>0</v>
      </c>
      <c r="G242" s="1" t="str">
        <f>INDEX(Scores!$B$2:$B$926, MATCH('Next Gen'!$A242, Scores!$F$2:$F$926, 0))</f>
        <v>mid</v>
      </c>
      <c r="H242" s="1" t="str">
        <f>INDEX(Scores!$D$2:$D$926, MATCH('Next Gen'!$A242, Scores!$F$2:$F$926, 0))</f>
        <v>Original</v>
      </c>
      <c r="I242" s="4">
        <f>INDEX(Scores!$E$2:$E$926, MATCH('Next Gen'!$A242, Scores!$F$2:$F$926, 0))</f>
        <v>45859</v>
      </c>
    </row>
    <row r="243" spans="1:9">
      <c r="A243" s="1">
        <v>173</v>
      </c>
      <c r="B243" s="1" t="s">
        <v>5</v>
      </c>
      <c r="C243" s="1">
        <v>12</v>
      </c>
      <c r="D243" s="1">
        <v>4</v>
      </c>
      <c r="E243" s="1">
        <v>0</v>
      </c>
      <c r="F243" s="1">
        <f>SUMIF(Scores!$F$2:$F$926, 'Next Gen'!$A243, INDEX(Scores!$I$2:$Q$926, 0, MATCH($B243, Scores!$I$1:$Q$1, 0)))</f>
        <v>1</v>
      </c>
      <c r="G243" s="1" t="str">
        <f>INDEX(Scores!$B$2:$B$926, MATCH('Next Gen'!$A243, Scores!$F$2:$F$926, 0))</f>
        <v>mid</v>
      </c>
      <c r="H243" s="1" t="str">
        <f>INDEX(Scores!$D$2:$D$926, MATCH('Next Gen'!$A243, Scores!$F$2:$F$926, 0))</f>
        <v>Original</v>
      </c>
      <c r="I243" s="4">
        <f>INDEX(Scores!$E$2:$E$926, MATCH('Next Gen'!$A243, Scores!$F$2:$F$926, 0))</f>
        <v>45859</v>
      </c>
    </row>
    <row r="244" spans="1:9">
      <c r="A244" s="1">
        <v>174</v>
      </c>
      <c r="B244" s="1" t="s">
        <v>78</v>
      </c>
      <c r="C244" s="1">
        <v>9</v>
      </c>
      <c r="D244" s="1">
        <v>5</v>
      </c>
      <c r="E244" s="1">
        <v>3</v>
      </c>
      <c r="F244" s="1">
        <f>SUMIF(Scores!$F$2:$F$926, 'Next Gen'!$A244, INDEX(Scores!$I$2:$Q$926, 0, MATCH($B244, Scores!$I$1:$Q$1, 0)))</f>
        <v>3</v>
      </c>
      <c r="G244" s="1" t="str">
        <f>INDEX(Scores!$B$2:$B$926, MATCH('Next Gen'!$A244, Scores!$F$2:$F$926, 0))</f>
        <v>mid</v>
      </c>
      <c r="H244" s="1" t="str">
        <f>INDEX(Scores!$D$2:$D$926, MATCH('Next Gen'!$A244, Scores!$F$2:$F$926, 0))</f>
        <v>Original</v>
      </c>
      <c r="I244" s="4">
        <f>INDEX(Scores!$E$2:$E$926, MATCH('Next Gen'!$A244, Scores!$F$2:$F$926, 0))</f>
        <v>45859</v>
      </c>
    </row>
    <row r="245" spans="1:9">
      <c r="A245" s="1">
        <v>174</v>
      </c>
      <c r="B245" s="1" t="s">
        <v>5</v>
      </c>
      <c r="C245" s="1">
        <v>9</v>
      </c>
      <c r="D245" s="1">
        <v>8</v>
      </c>
      <c r="E245" s="1">
        <v>2</v>
      </c>
      <c r="F245" s="1">
        <f>SUMIF(Scores!$F$2:$F$926, 'Next Gen'!$A245, INDEX(Scores!$I$2:$Q$926, 0, MATCH($B245, Scores!$I$1:$Q$1, 0)))</f>
        <v>5</v>
      </c>
      <c r="G245" s="1" t="str">
        <f>INDEX(Scores!$B$2:$B$926, MATCH('Next Gen'!$A245, Scores!$F$2:$F$926, 0))</f>
        <v>mid</v>
      </c>
      <c r="H245" s="1" t="str">
        <f>INDEX(Scores!$D$2:$D$926, MATCH('Next Gen'!$A245, Scores!$F$2:$F$926, 0))</f>
        <v>Original</v>
      </c>
      <c r="I245" s="4">
        <f>INDEX(Scores!$E$2:$E$926, MATCH('Next Gen'!$A245, Scores!$F$2:$F$926, 0))</f>
        <v>45859</v>
      </c>
    </row>
    <row r="246" spans="1:9">
      <c r="A246" s="1">
        <v>175</v>
      </c>
      <c r="B246" s="1" t="s">
        <v>5</v>
      </c>
      <c r="C246" s="1">
        <v>9</v>
      </c>
      <c r="D246" s="1">
        <v>7</v>
      </c>
      <c r="E246" s="1">
        <v>2</v>
      </c>
      <c r="F246" s="1">
        <f>SUMIF(Scores!$F$2:$F$926, 'Next Gen'!$A246, INDEX(Scores!$I$2:$Q$926, 0, MATCH($B246, Scores!$I$1:$Q$1, 0)))</f>
        <v>4</v>
      </c>
      <c r="G246" s="1" t="str">
        <f>INDEX(Scores!$B$2:$B$926, MATCH('Next Gen'!$A247, Scores!$F$2:$F$926, 0))</f>
        <v>high</v>
      </c>
      <c r="H246" s="1" t="str">
        <f>INDEX(Scores!$D$2:$D$926, MATCH('Next Gen'!$A246, Scores!$F$2:$F$926, 0))</f>
        <v>Original</v>
      </c>
      <c r="I246" s="4">
        <f>INDEX(Scores!$E$2:$E$926, MATCH('Next Gen'!$A247, Scores!$F$2:$F$926, 0))</f>
        <v>45859</v>
      </c>
    </row>
    <row r="247" spans="1:9">
      <c r="A247" s="1">
        <v>175</v>
      </c>
      <c r="B247" s="1" t="s">
        <v>78</v>
      </c>
      <c r="C247" s="1">
        <v>9</v>
      </c>
      <c r="D247" s="1">
        <v>3</v>
      </c>
      <c r="E247" s="1">
        <v>1</v>
      </c>
      <c r="F247" s="1">
        <f>SUMIF(Scores!$F$2:$F$926, 'Next Gen'!$A247, INDEX(Scores!$I$2:$Q$926, 0, MATCH($B247, Scores!$I$1:$Q$1, 0)))</f>
        <v>1</v>
      </c>
      <c r="G247" s="1" t="str">
        <f>INDEX(Scores!$B$2:$B$926, MATCH('Next Gen'!$A246, Scores!$F$2:$F$926, 0))</f>
        <v>high</v>
      </c>
      <c r="H247" s="1" t="str">
        <f>INDEX(Scores!$D$2:$D$926, MATCH('Next Gen'!$A247, Scores!$F$2:$F$926, 0))</f>
        <v>Original</v>
      </c>
      <c r="I247" s="4">
        <f>INDEX(Scores!$E$2:$E$926, MATCH('Next Gen'!$A246, Scores!$F$2:$F$926, 0))</f>
        <v>45859</v>
      </c>
    </row>
    <row r="248" spans="1:9">
      <c r="A248" s="1">
        <v>176</v>
      </c>
      <c r="B248" s="1" t="s">
        <v>4</v>
      </c>
      <c r="C248" s="1">
        <v>9</v>
      </c>
      <c r="D248" s="1">
        <v>9</v>
      </c>
      <c r="E248" s="1">
        <v>4</v>
      </c>
      <c r="F248" s="1">
        <f>SUMIF(Scores!$F$2:$F$926, 'Next Gen'!$A248, INDEX(Scores!$I$2:$Q$926, 0, MATCH($B248, Scores!$I$1:$Q$1, 0)))</f>
        <v>8</v>
      </c>
      <c r="G248" s="1" t="str">
        <f>INDEX(Scores!$B$2:$B$926, MATCH('Next Gen'!$A248, Scores!$F$2:$F$926, 0))</f>
        <v>mid</v>
      </c>
      <c r="H248" s="1" t="str">
        <f>INDEX(Scores!$D$2:$D$926, MATCH('Next Gen'!$A248, Scores!$F$2:$F$926, 0))</f>
        <v>Original</v>
      </c>
      <c r="I248" s="4">
        <f>INDEX(Scores!$E$2:$E$926, MATCH('Next Gen'!$A248, Scores!$F$2:$F$926, 0))</f>
        <v>45860</v>
      </c>
    </row>
    <row r="249" spans="1:9">
      <c r="A249" s="1">
        <v>176</v>
      </c>
      <c r="B249" s="1" t="s">
        <v>5</v>
      </c>
      <c r="C249" s="1">
        <v>9</v>
      </c>
      <c r="D249" s="1">
        <v>8</v>
      </c>
      <c r="E249" s="1">
        <v>3</v>
      </c>
      <c r="F249" s="1">
        <f>SUMIF(Scores!$F$2:$F$926, 'Next Gen'!$A249, INDEX(Scores!$I$2:$Q$926, 0, MATCH($B249, Scores!$I$1:$Q$1, 0)))</f>
        <v>6</v>
      </c>
      <c r="G249" s="1" t="str">
        <f>INDEX(Scores!$B$2:$B$926, MATCH('Next Gen'!$A249, Scores!$F$2:$F$926, 0))</f>
        <v>mid</v>
      </c>
      <c r="H249" s="1" t="str">
        <f>INDEX(Scores!$D$2:$D$926, MATCH('Next Gen'!$A249, Scores!$F$2:$F$926, 0))</f>
        <v>Original</v>
      </c>
      <c r="I249" s="4">
        <f>INDEX(Scores!$E$2:$E$926, MATCH('Next Gen'!$A249, Scores!$F$2:$F$926, 0))</f>
        <v>45860</v>
      </c>
    </row>
    <row r="250" spans="1:9">
      <c r="A250" s="1">
        <v>177</v>
      </c>
      <c r="B250" s="1" t="s">
        <v>5</v>
      </c>
      <c r="C250" s="1">
        <v>9</v>
      </c>
      <c r="D250" s="1">
        <v>8</v>
      </c>
      <c r="E250" s="1">
        <v>4</v>
      </c>
      <c r="F250" s="1">
        <f>SUMIF(Scores!$F$2:$F$926, 'Next Gen'!$A250, INDEX(Scores!$I$2:$Q$926, 0, MATCH($B250, Scores!$I$1:$Q$1, 0)))</f>
        <v>7</v>
      </c>
      <c r="G250" s="1" t="str">
        <f>INDEX(Scores!$B$2:$B$926, MATCH('Next Gen'!$A251, Scores!$F$2:$F$926, 0))</f>
        <v>high</v>
      </c>
      <c r="H250" s="1" t="str">
        <f>INDEX(Scores!$D$2:$D$926, MATCH('Next Gen'!$A250, Scores!$F$2:$F$926, 0))</f>
        <v>Original</v>
      </c>
      <c r="I250" s="4">
        <f>INDEX(Scores!$E$2:$E$926, MATCH('Next Gen'!$A251, Scores!$F$2:$F$926, 0))</f>
        <v>45860</v>
      </c>
    </row>
    <row r="251" spans="1:9">
      <c r="A251" s="1">
        <v>177</v>
      </c>
      <c r="B251" s="1" t="s">
        <v>4</v>
      </c>
      <c r="C251" s="1">
        <v>9</v>
      </c>
      <c r="D251" s="1">
        <v>9</v>
      </c>
      <c r="E251" s="1">
        <v>2</v>
      </c>
      <c r="F251" s="1">
        <f>SUMIF(Scores!$F$2:$F$926, 'Next Gen'!$A251, INDEX(Scores!$I$2:$Q$926, 0, MATCH($B251, Scores!$I$1:$Q$1, 0)))</f>
        <v>3</v>
      </c>
      <c r="G251" s="1" t="str">
        <f>INDEX(Scores!$B$2:$B$926, MATCH('Next Gen'!$A250, Scores!$F$2:$F$926, 0))</f>
        <v>high</v>
      </c>
      <c r="H251" s="1" t="str">
        <f>INDEX(Scores!$D$2:$D$926, MATCH('Next Gen'!$A251, Scores!$F$2:$F$926, 0))</f>
        <v>Original</v>
      </c>
      <c r="I251" s="4">
        <f>INDEX(Scores!$E$2:$E$926, MATCH('Next Gen'!$A250, Scores!$F$2:$F$926, 0))</f>
        <v>45860</v>
      </c>
    </row>
    <row r="252" spans="1:9">
      <c r="A252" s="1">
        <v>178</v>
      </c>
      <c r="B252" s="1" t="s">
        <v>4</v>
      </c>
      <c r="C252" s="1">
        <v>9</v>
      </c>
      <c r="D252" s="1">
        <v>9</v>
      </c>
      <c r="E252" s="1">
        <v>5</v>
      </c>
      <c r="F252" s="1">
        <f>SUMIF(Scores!$F$2:$F$926, 'Next Gen'!$A252, INDEX(Scores!$I$2:$Q$926, 0, MATCH($B252, Scores!$I$1:$Q$1, 0)))</f>
        <v>9</v>
      </c>
      <c r="G252" s="1" t="str">
        <f>INDEX(Scores!$B$2:$B$926, MATCH('Next Gen'!$A252, Scores!$F$2:$F$926, 0))</f>
        <v>mid</v>
      </c>
      <c r="H252" s="1" t="str">
        <f>INDEX(Scores!$D$2:$D$926, MATCH('Next Gen'!$A252, Scores!$F$2:$F$926, 0))</f>
        <v>Original</v>
      </c>
      <c r="I252" s="4">
        <f>INDEX(Scores!$E$2:$E$926, MATCH('Next Gen'!$A252, Scores!$F$2:$F$926, 0))</f>
        <v>45861</v>
      </c>
    </row>
    <row r="253" spans="1:9">
      <c r="A253" s="1">
        <v>178</v>
      </c>
      <c r="B253" s="1" t="s">
        <v>5</v>
      </c>
      <c r="C253" s="1">
        <v>9</v>
      </c>
      <c r="D253" s="1">
        <v>9</v>
      </c>
      <c r="E253" s="1">
        <v>3</v>
      </c>
      <c r="F253" s="1">
        <f>SUMIF(Scores!$F$2:$F$926, 'Next Gen'!$A253, INDEX(Scores!$I$2:$Q$926, 0, MATCH($B253, Scores!$I$1:$Q$1, 0)))</f>
        <v>5</v>
      </c>
      <c r="G253" s="1" t="str">
        <f>INDEX(Scores!$B$2:$B$926, MATCH('Next Gen'!$A253, Scores!$F$2:$F$926, 0))</f>
        <v>mid</v>
      </c>
      <c r="H253" s="1" t="str">
        <f>INDEX(Scores!$D$2:$D$926, MATCH('Next Gen'!$A253, Scores!$F$2:$F$926, 0))</f>
        <v>Original</v>
      </c>
      <c r="I253" s="4">
        <f>INDEX(Scores!$E$2:$E$926, MATCH('Next Gen'!$A253, Scores!$F$2:$F$926, 0))</f>
        <v>45861</v>
      </c>
    </row>
    <row r="254" spans="1:9">
      <c r="A254" s="1">
        <v>178</v>
      </c>
      <c r="B254" s="1" t="s">
        <v>6</v>
      </c>
      <c r="C254" s="1">
        <v>9</v>
      </c>
      <c r="D254" s="1">
        <v>4</v>
      </c>
      <c r="E254" s="1">
        <v>2</v>
      </c>
      <c r="F254" s="1">
        <f>SUMIF(Scores!$F$2:$F$926, 'Next Gen'!$A254, INDEX(Scores!$I$2:$Q$926, 0, MATCH($B254, Scores!$I$1:$Q$1, 0)))</f>
        <v>2</v>
      </c>
      <c r="G254" s="1" t="str">
        <f>INDEX(Scores!$B$2:$B$926, MATCH('Next Gen'!$A254, Scores!$F$2:$F$926, 0))</f>
        <v>mid</v>
      </c>
      <c r="H254" s="1" t="str">
        <f>INDEX(Scores!$D$2:$D$926, MATCH('Next Gen'!$A254, Scores!$F$2:$F$926, 0))</f>
        <v>Original</v>
      </c>
      <c r="I254" s="4">
        <f>INDEX(Scores!$E$2:$E$926, MATCH('Next Gen'!$A254, Scores!$F$2:$F$926, 0))</f>
        <v>45861</v>
      </c>
    </row>
    <row r="255" spans="1:9">
      <c r="A255" s="1">
        <v>179</v>
      </c>
      <c r="B255" s="1" t="s">
        <v>4</v>
      </c>
      <c r="C255" s="1">
        <v>9</v>
      </c>
      <c r="D255" s="1">
        <v>9</v>
      </c>
      <c r="E255" s="1">
        <v>5</v>
      </c>
      <c r="F255" s="1">
        <f>SUMIF(Scores!$F$2:$F$926, 'Next Gen'!$A255, INDEX(Scores!$I$2:$Q$926, 0, MATCH($B255, Scores!$I$1:$Q$1, 0)))</f>
        <v>6</v>
      </c>
      <c r="G255" s="1" t="str">
        <f>INDEX(Scores!$B$2:$B$926, MATCH('Next Gen'!$A255, Scores!$F$2:$F$926, 0))</f>
        <v>mid</v>
      </c>
      <c r="H255" s="1" t="str">
        <f>INDEX(Scores!$D$2:$D$926, MATCH('Next Gen'!$A255, Scores!$F$2:$F$926, 0))</f>
        <v>Original</v>
      </c>
      <c r="I255" s="4">
        <f>INDEX(Scores!$E$2:$E$926, MATCH('Next Gen'!$A255, Scores!$F$2:$F$926, 0))</f>
        <v>45861</v>
      </c>
    </row>
    <row r="256" spans="1:9">
      <c r="A256" s="1">
        <v>179</v>
      </c>
      <c r="B256" s="1" t="s">
        <v>5</v>
      </c>
      <c r="C256" s="1">
        <v>9</v>
      </c>
      <c r="D256" s="1">
        <v>6</v>
      </c>
      <c r="E256" s="1">
        <v>2</v>
      </c>
      <c r="F256" s="1">
        <f>SUMIF(Scores!$F$2:$F$926, 'Next Gen'!$A256, INDEX(Scores!$I$2:$Q$926, 0, MATCH($B256, Scores!$I$1:$Q$1, 0)))</f>
        <v>3</v>
      </c>
      <c r="G256" s="1" t="str">
        <f>INDEX(Scores!$B$2:$B$926, MATCH('Next Gen'!$A256, Scores!$F$2:$F$926, 0))</f>
        <v>mid</v>
      </c>
      <c r="H256" s="1" t="str">
        <f>INDEX(Scores!$D$2:$D$926, MATCH('Next Gen'!$A256, Scores!$F$2:$F$926, 0))</f>
        <v>Original</v>
      </c>
      <c r="I256" s="4">
        <f>INDEX(Scores!$E$2:$E$926, MATCH('Next Gen'!$A256, Scores!$F$2:$F$926, 0))</f>
        <v>45861</v>
      </c>
    </row>
    <row r="257" spans="1:9">
      <c r="A257" s="1">
        <v>180</v>
      </c>
      <c r="B257" s="1" t="s">
        <v>6</v>
      </c>
      <c r="C257" s="1">
        <v>9</v>
      </c>
      <c r="D257" s="1">
        <v>7</v>
      </c>
      <c r="E257" s="1">
        <v>4</v>
      </c>
      <c r="F257" s="1">
        <f>SUMIF(Scores!$F$2:$F$926, 'Next Gen'!$A257, INDEX(Scores!$I$2:$Q$926, 0, MATCH($B257, Scores!$I$1:$Q$1, 0)))</f>
        <v>8</v>
      </c>
      <c r="G257" s="1" t="str">
        <f>INDEX(Scores!$B$2:$B$926, MATCH('Next Gen'!$A257, Scores!$F$2:$F$926, 0))</f>
        <v>mid</v>
      </c>
      <c r="H257" s="1" t="str">
        <f>INDEX(Scores!$D$2:$D$926, MATCH('Next Gen'!$A257, Scores!$F$2:$F$926, 0))</f>
        <v>Original</v>
      </c>
      <c r="I257" s="4">
        <f>INDEX(Scores!$E$2:$E$926, MATCH('Next Gen'!$A257, Scores!$F$2:$F$926, 0))</f>
        <v>45862</v>
      </c>
    </row>
    <row r="258" spans="1:9">
      <c r="A258" s="1">
        <v>180</v>
      </c>
      <c r="B258" s="1" t="s">
        <v>5</v>
      </c>
      <c r="C258" s="1">
        <v>9</v>
      </c>
      <c r="D258" s="1">
        <v>7</v>
      </c>
      <c r="E258" s="1">
        <v>3</v>
      </c>
      <c r="F258" s="1">
        <f>SUMIF(Scores!$F$2:$F$926, 'Next Gen'!$A258, INDEX(Scores!$I$2:$Q$926, 0, MATCH($B258, Scores!$I$1:$Q$1, 0)))</f>
        <v>5</v>
      </c>
      <c r="G258" s="1" t="str">
        <f>INDEX(Scores!$B$2:$B$926, MATCH('Next Gen'!$A258, Scores!$F$2:$F$926, 0))</f>
        <v>mid</v>
      </c>
      <c r="H258" s="1" t="str">
        <f>INDEX(Scores!$D$2:$D$926, MATCH('Next Gen'!$A258, Scores!$F$2:$F$926, 0))</f>
        <v>Original</v>
      </c>
      <c r="I258" s="4">
        <f>INDEX(Scores!$E$2:$E$926, MATCH('Next Gen'!$A258, Scores!$F$2:$F$926, 0))</f>
        <v>45862</v>
      </c>
    </row>
    <row r="259" spans="1:9">
      <c r="A259" s="1">
        <v>181</v>
      </c>
      <c r="B259" s="1" t="s">
        <v>5</v>
      </c>
      <c r="C259" s="1">
        <v>9</v>
      </c>
      <c r="D259" s="1">
        <v>8</v>
      </c>
      <c r="E259" s="1">
        <v>3</v>
      </c>
      <c r="F259" s="1">
        <f>SUMIF(Scores!$F$2:$F$926, 'Next Gen'!$A259, INDEX(Scores!$I$2:$Q$926, 0, MATCH($B259, Scores!$I$1:$Q$1, 0)))</f>
        <v>4</v>
      </c>
      <c r="G259" s="1" t="str">
        <f>INDEX(Scores!$B$2:$B$926, MATCH('Next Gen'!$A259, Scores!$F$2:$F$926, 0))</f>
        <v>mid</v>
      </c>
      <c r="H259" s="1" t="str">
        <f>INDEX(Scores!$D$2:$D$926, MATCH('Next Gen'!$A259, Scores!$F$2:$F$926, 0))</f>
        <v>Original</v>
      </c>
      <c r="I259" s="4">
        <f>INDEX(Scores!$E$2:$E$926, MATCH('Next Gen'!$A259, Scores!$F$2:$F$926, 0))</f>
        <v>45863</v>
      </c>
    </row>
    <row r="260" spans="1:9">
      <c r="A260" s="1">
        <v>181</v>
      </c>
      <c r="B260" s="1" t="s">
        <v>6</v>
      </c>
      <c r="C260" s="1">
        <v>9</v>
      </c>
      <c r="D260" s="1">
        <v>3</v>
      </c>
      <c r="E260" s="1">
        <v>0</v>
      </c>
      <c r="F260" s="1">
        <f>SUMIF(Scores!$F$2:$F$926, 'Next Gen'!$A260, INDEX(Scores!$I$2:$Q$926, 0, MATCH($B260, Scores!$I$1:$Q$1, 0)))</f>
        <v>0</v>
      </c>
      <c r="G260" s="1" t="str">
        <f>INDEX(Scores!$B$2:$B$926, MATCH('Next Gen'!$A260, Scores!$F$2:$F$926, 0))</f>
        <v>mid</v>
      </c>
      <c r="H260" s="1" t="str">
        <f>INDEX(Scores!$D$2:$D$926, MATCH('Next Gen'!$A260, Scores!$F$2:$F$926, 0))</f>
        <v>Original</v>
      </c>
      <c r="I260" s="4">
        <f>INDEX(Scores!$E$2:$E$926, MATCH('Next Gen'!$A260, Scores!$F$2:$F$926, 0))</f>
        <v>45863</v>
      </c>
    </row>
    <row r="261" spans="1:9">
      <c r="A261" s="1">
        <v>182</v>
      </c>
      <c r="B261" s="1" t="s">
        <v>78</v>
      </c>
      <c r="C261" s="1">
        <v>12</v>
      </c>
      <c r="D261" s="1">
        <v>7</v>
      </c>
      <c r="E261" s="1">
        <v>3</v>
      </c>
      <c r="F261" s="1">
        <f>SUMIF(Scores!$F$2:$F$926, 'Next Gen'!$A261, INDEX(Scores!$I$2:$Q$926, 0, MATCH($B261, Scores!$I$1:$Q$1, 0)))</f>
        <v>3</v>
      </c>
      <c r="G261" s="1" t="str">
        <f>INDEX(Scores!$B$2:$B$926, MATCH('Next Gen'!$A261, Scores!$F$2:$F$926, 0))</f>
        <v>mid</v>
      </c>
      <c r="H261" s="1" t="str">
        <f>INDEX(Scores!$D$2:$D$926, MATCH('Next Gen'!$A261, Scores!$F$2:$F$926, 0))</f>
        <v>Original</v>
      </c>
      <c r="I261" s="4">
        <f>INDEX(Scores!$E$2:$E$926, MATCH('Next Gen'!$A261, Scores!$F$2:$F$926, 0))</f>
        <v>45863</v>
      </c>
    </row>
    <row r="262" spans="1:9">
      <c r="A262" s="1">
        <v>182</v>
      </c>
      <c r="B262" s="1" t="s">
        <v>5</v>
      </c>
      <c r="C262" s="1">
        <v>12</v>
      </c>
      <c r="D262" s="1">
        <v>11</v>
      </c>
      <c r="E262" s="1">
        <v>3</v>
      </c>
      <c r="F262" s="1">
        <f>SUMIF(Scores!$F$2:$F$926, 'Next Gen'!$A262, INDEX(Scores!$I$2:$Q$926, 0, MATCH($B262, Scores!$I$1:$Q$1, 0)))</f>
        <v>4</v>
      </c>
      <c r="G262" s="1" t="str">
        <f>INDEX(Scores!$B$2:$B$926, MATCH('Next Gen'!$A262, Scores!$F$2:$F$926, 0))</f>
        <v>mid</v>
      </c>
      <c r="H262" s="1" t="str">
        <f>INDEX(Scores!$D$2:$D$926, MATCH('Next Gen'!$A262, Scores!$F$2:$F$926, 0))</f>
        <v>Original</v>
      </c>
      <c r="I262" s="4">
        <f>INDEX(Scores!$E$2:$E$926, MATCH('Next Gen'!$A262, Scores!$F$2:$F$926, 0))</f>
        <v>45863</v>
      </c>
    </row>
    <row r="263" spans="1:9">
      <c r="A263" s="1">
        <v>183</v>
      </c>
      <c r="B263" s="1" t="s">
        <v>5</v>
      </c>
      <c r="C263" s="1">
        <v>9</v>
      </c>
      <c r="D263" s="1">
        <v>9</v>
      </c>
      <c r="E263" s="1">
        <v>2</v>
      </c>
      <c r="F263" s="1">
        <f>SUMIF(Scores!$F$2:$F$926, 'Next Gen'!$A263, INDEX(Scores!$I$2:$Q$926, 0, MATCH($B263, Scores!$I$1:$Q$1, 0)))</f>
        <v>5</v>
      </c>
      <c r="G263" s="1" t="str">
        <f>INDEX(Scores!$B$2:$B$926, MATCH('Next Gen'!$A263, Scores!$F$2:$F$926, 0))</f>
        <v>mid</v>
      </c>
      <c r="H263" s="1" t="str">
        <f>INDEX(Scores!$D$2:$D$926, MATCH('Next Gen'!$A263, Scores!$F$2:$F$926, 0))</f>
        <v>Original</v>
      </c>
      <c r="I263" s="4">
        <f>INDEX(Scores!$E$2:$E$926, MATCH('Next Gen'!$A263, Scores!$F$2:$F$926, 0))</f>
        <v>45863</v>
      </c>
    </row>
    <row r="264" spans="1:9">
      <c r="A264" s="1">
        <v>183</v>
      </c>
      <c r="B264" s="1" t="s">
        <v>78</v>
      </c>
      <c r="C264" s="1">
        <v>9</v>
      </c>
      <c r="D264" s="1">
        <v>4</v>
      </c>
      <c r="E264" s="1">
        <v>1</v>
      </c>
      <c r="F264" s="1">
        <f>SUMIF(Scores!$F$2:$F$926, 'Next Gen'!$A264, INDEX(Scores!$I$2:$Q$926, 0, MATCH($B264, Scores!$I$1:$Q$1, 0)))</f>
        <v>3</v>
      </c>
      <c r="G264" s="1" t="str">
        <f>INDEX(Scores!$B$2:$B$926, MATCH('Next Gen'!$A264, Scores!$F$2:$F$926, 0))</f>
        <v>mid</v>
      </c>
      <c r="H264" s="1" t="str">
        <f>INDEX(Scores!$D$2:$D$926, MATCH('Next Gen'!$A264, Scores!$F$2:$F$926, 0))</f>
        <v>Original</v>
      </c>
      <c r="I264" s="4">
        <f>INDEX(Scores!$E$2:$E$926, MATCH('Next Gen'!$A264, Scores!$F$2:$F$926, 0))</f>
        <v>45863</v>
      </c>
    </row>
    <row r="265" spans="1:9">
      <c r="A265" s="1">
        <v>184</v>
      </c>
      <c r="B265" s="1" t="s">
        <v>5</v>
      </c>
      <c r="C265" s="1">
        <v>9</v>
      </c>
      <c r="D265" s="1">
        <v>7</v>
      </c>
      <c r="E265" s="1">
        <v>4</v>
      </c>
      <c r="F265" s="1">
        <f>SUMIF(Scores!$F$2:$F$926, 'Next Gen'!$A265, INDEX(Scores!$I$2:$Q$926, 0, MATCH($B265, Scores!$I$1:$Q$1, 0)))</f>
        <v>8</v>
      </c>
      <c r="G265" s="1" t="str">
        <f>INDEX(Scores!$B$2:$B$926, MATCH('Next Gen'!$A265, Scores!$F$2:$F$926, 0))</f>
        <v>mid</v>
      </c>
      <c r="H265" s="1" t="str">
        <f>INDEX(Scores!$D$2:$D$926, MATCH('Next Gen'!$A265, Scores!$F$2:$F$926, 0))</f>
        <v>Original</v>
      </c>
      <c r="I265" s="4">
        <f>INDEX(Scores!$E$2:$E$926, MATCH('Next Gen'!$A265, Scores!$F$2:$F$926, 0))</f>
        <v>45866</v>
      </c>
    </row>
    <row r="266" spans="1:9">
      <c r="A266" s="1">
        <v>184</v>
      </c>
      <c r="B266" s="1" t="s">
        <v>6</v>
      </c>
      <c r="C266" s="1">
        <v>9</v>
      </c>
      <c r="D266" s="1">
        <v>4</v>
      </c>
      <c r="E266" s="1">
        <v>2</v>
      </c>
      <c r="F266" s="1">
        <f>SUMIF(Scores!$F$2:$F$926, 'Next Gen'!$A266, INDEX(Scores!$I$2:$Q$926, 0, MATCH($B266, Scores!$I$1:$Q$1, 0)))</f>
        <v>2</v>
      </c>
      <c r="G266" s="1" t="str">
        <f>INDEX(Scores!$B$2:$B$926, MATCH('Next Gen'!$A266, Scores!$F$2:$F$926, 0))</f>
        <v>mid</v>
      </c>
      <c r="H266" s="1" t="str">
        <f>INDEX(Scores!$D$2:$D$926, MATCH('Next Gen'!$A266, Scores!$F$2:$F$926, 0))</f>
        <v>Original</v>
      </c>
      <c r="I266" s="4">
        <f>INDEX(Scores!$E$2:$E$926, MATCH('Next Gen'!$A266, Scores!$F$2:$F$926, 0))</f>
        <v>45866</v>
      </c>
    </row>
    <row r="267" spans="1:9">
      <c r="A267" s="1">
        <v>185</v>
      </c>
      <c r="B267" s="1" t="s">
        <v>4</v>
      </c>
      <c r="C267" s="1">
        <v>9</v>
      </c>
      <c r="D267" s="1">
        <v>9</v>
      </c>
      <c r="E267" s="1">
        <v>6</v>
      </c>
      <c r="F267" s="1">
        <f>SUMIF(Scores!$F$2:$F$926, 'Next Gen'!$A267, INDEX(Scores!$I$2:$Q$926, 0, MATCH($B267, Scores!$I$1:$Q$1, 0)))</f>
        <v>11</v>
      </c>
      <c r="G267" s="1" t="str">
        <f>INDEX(Scores!$B$2:$B$926, MATCH('Next Gen'!$A267, Scores!$F$2:$F$926, 0))</f>
        <v>mid</v>
      </c>
      <c r="H267" s="1" t="str">
        <f>INDEX(Scores!$D$2:$D$926, MATCH('Next Gen'!$A267, Scores!$F$2:$F$926, 0))</f>
        <v>Original</v>
      </c>
      <c r="I267" s="4">
        <f>INDEX(Scores!$E$2:$E$926, MATCH('Next Gen'!$A267, Scores!$F$2:$F$926, 0))</f>
        <v>45868</v>
      </c>
    </row>
    <row r="268" spans="1:9">
      <c r="A268" s="1">
        <v>185</v>
      </c>
      <c r="B268" s="1" t="s">
        <v>5</v>
      </c>
      <c r="C268" s="1">
        <v>9</v>
      </c>
      <c r="D268" s="1">
        <v>8</v>
      </c>
      <c r="E268" s="1">
        <v>3</v>
      </c>
      <c r="F268" s="1">
        <f>SUMIF(Scores!$F$2:$F$926, 'Next Gen'!$A268, INDEX(Scores!$I$2:$Q$926, 0, MATCH($B268, Scores!$I$1:$Q$1, 0)))</f>
        <v>6</v>
      </c>
      <c r="G268" s="1" t="str">
        <f>INDEX(Scores!$B$2:$B$926, MATCH('Next Gen'!$A268, Scores!$F$2:$F$926, 0))</f>
        <v>mid</v>
      </c>
      <c r="H268" s="1" t="str">
        <f>INDEX(Scores!$D$2:$D$926, MATCH('Next Gen'!$A268, Scores!$F$2:$F$926, 0))</f>
        <v>Original</v>
      </c>
      <c r="I268" s="4">
        <f>INDEX(Scores!$E$2:$E$926, MATCH('Next Gen'!$A268, Scores!$F$2:$F$926, 0))</f>
        <v>45868</v>
      </c>
    </row>
    <row r="269" spans="1:9">
      <c r="A269" s="1">
        <v>186</v>
      </c>
      <c r="B269" s="1" t="s">
        <v>4</v>
      </c>
      <c r="C269" s="1">
        <v>9</v>
      </c>
      <c r="D269" s="1">
        <v>8</v>
      </c>
      <c r="E269" s="1">
        <v>6</v>
      </c>
      <c r="F269" s="1">
        <f>SUMIF(Scores!$F$2:$F$926, 'Next Gen'!$A269, INDEX(Scores!$I$2:$Q$926, 0, MATCH($B269, Scores!$I$1:$Q$1, 0)))</f>
        <v>10</v>
      </c>
      <c r="G269" s="1" t="str">
        <f>INDEX(Scores!$B$2:$B$926, MATCH('Next Gen'!$A269, Scores!$F$2:$F$926, 0))</f>
        <v>mid</v>
      </c>
      <c r="H269" s="1" t="str">
        <f>INDEX(Scores!$D$2:$D$926, MATCH('Next Gen'!$A269, Scores!$F$2:$F$926, 0))</f>
        <v>Original</v>
      </c>
      <c r="I269" s="4">
        <f>INDEX(Scores!$E$2:$E$926, MATCH('Next Gen'!$A269, Scores!$F$2:$F$926, 0))</f>
        <v>45868</v>
      </c>
    </row>
    <row r="270" spans="1:9">
      <c r="A270" s="1">
        <v>186</v>
      </c>
      <c r="B270" s="1" t="s">
        <v>5</v>
      </c>
      <c r="C270" s="1">
        <v>9</v>
      </c>
      <c r="D270" s="1">
        <v>8</v>
      </c>
      <c r="E270" s="1">
        <v>3</v>
      </c>
      <c r="F270" s="1">
        <f>SUMIF(Scores!$F$2:$F$926, 'Next Gen'!$A270, INDEX(Scores!$I$2:$Q$926, 0, MATCH($B270, Scores!$I$1:$Q$1, 0)))</f>
        <v>7</v>
      </c>
      <c r="G270" s="1" t="str">
        <f>INDEX(Scores!$B$2:$B$926, MATCH('Next Gen'!$A270, Scores!$F$2:$F$926, 0))</f>
        <v>mid</v>
      </c>
      <c r="H270" s="1" t="str">
        <f>INDEX(Scores!$D$2:$D$926, MATCH('Next Gen'!$A270, Scores!$F$2:$F$926, 0))</f>
        <v>Original</v>
      </c>
      <c r="I270" s="4">
        <f>INDEX(Scores!$E$2:$E$926, MATCH('Next Gen'!$A270, Scores!$F$2:$F$926, 0))</f>
        <v>45868</v>
      </c>
    </row>
    <row r="271" spans="1:9">
      <c r="A271" s="1">
        <v>187</v>
      </c>
      <c r="B271" s="1" t="s">
        <v>4</v>
      </c>
      <c r="C271" s="1">
        <v>9</v>
      </c>
      <c r="D271" s="1">
        <v>9</v>
      </c>
      <c r="E271" s="1">
        <v>7</v>
      </c>
      <c r="F271" s="1">
        <f>SUMIF(Scores!$F$2:$F$926, 'Next Gen'!$A271, INDEX(Scores!$I$2:$Q$926, 0, MATCH($B271, Scores!$I$1:$Q$1, 0)))</f>
        <v>13</v>
      </c>
      <c r="G271" s="1" t="str">
        <f>INDEX(Scores!$B$2:$B$926, MATCH('Next Gen'!$A271, Scores!$F$2:$F$926, 0))</f>
        <v>mid</v>
      </c>
      <c r="H271" s="1" t="str">
        <f>INDEX(Scores!$D$2:$D$926, MATCH('Next Gen'!$A271, Scores!$F$2:$F$926, 0))</f>
        <v>Original</v>
      </c>
      <c r="I271" s="4">
        <f>INDEX(Scores!$E$2:$E$926, MATCH('Next Gen'!$A271, Scores!$F$2:$F$926, 0))</f>
        <v>45868</v>
      </c>
    </row>
    <row r="272" spans="1:9">
      <c r="A272" s="1">
        <v>187</v>
      </c>
      <c r="B272" s="1" t="s">
        <v>5</v>
      </c>
      <c r="C272" s="1">
        <v>9</v>
      </c>
      <c r="D272" s="1">
        <v>7</v>
      </c>
      <c r="E272" s="1">
        <v>4</v>
      </c>
      <c r="F272" s="1">
        <f>SUMIF(Scores!$F$2:$F$926, 'Next Gen'!$A272, INDEX(Scores!$I$2:$Q$926, 0, MATCH($B272, Scores!$I$1:$Q$1, 0)))</f>
        <v>4</v>
      </c>
      <c r="G272" s="1" t="str">
        <f>INDEX(Scores!$B$2:$B$926, MATCH('Next Gen'!$A272, Scores!$F$2:$F$926, 0))</f>
        <v>mid</v>
      </c>
      <c r="H272" s="1" t="str">
        <f>INDEX(Scores!$D$2:$D$926, MATCH('Next Gen'!$A272, Scores!$F$2:$F$926, 0))</f>
        <v>Original</v>
      </c>
      <c r="I272" s="4">
        <f>INDEX(Scores!$E$2:$E$926, MATCH('Next Gen'!$A272, Scores!$F$2:$F$926, 0))</f>
        <v>45868</v>
      </c>
    </row>
    <row r="273" spans="1:9">
      <c r="A273" s="1">
        <v>188</v>
      </c>
      <c r="B273" s="1" t="s">
        <v>4</v>
      </c>
      <c r="C273" s="1">
        <v>9</v>
      </c>
      <c r="D273" s="1">
        <v>9</v>
      </c>
      <c r="E273" s="1">
        <v>4</v>
      </c>
      <c r="F273" s="1">
        <f>SUMIF(Scores!$F$2:$F$926, 'Next Gen'!$A273, INDEX(Scores!$I$2:$Q$926, 0, MATCH($B273, Scores!$I$1:$Q$1, 0)))</f>
        <v>8</v>
      </c>
      <c r="G273" s="1" t="str">
        <f>INDEX(Scores!$B$2:$B$926, MATCH('Next Gen'!$A273, Scores!$F$2:$F$926, 0))</f>
        <v>mid</v>
      </c>
      <c r="H273" s="1" t="str">
        <f>INDEX(Scores!$D$2:$D$926, MATCH('Next Gen'!$A273, Scores!$F$2:$F$926, 0))</f>
        <v>Original</v>
      </c>
      <c r="I273" s="4">
        <f>INDEX(Scores!$E$2:$E$926, MATCH('Next Gen'!$A273, Scores!$F$2:$F$926, 0))</f>
        <v>45868</v>
      </c>
    </row>
    <row r="274" spans="1:9">
      <c r="A274" s="1">
        <v>188</v>
      </c>
      <c r="B274" s="1" t="s">
        <v>5</v>
      </c>
      <c r="C274" s="1">
        <v>9</v>
      </c>
      <c r="D274" s="1">
        <v>7</v>
      </c>
      <c r="E274" s="1">
        <v>3</v>
      </c>
      <c r="F274" s="1">
        <f>SUMIF(Scores!$F$2:$F$926, 'Next Gen'!$A274, INDEX(Scores!$I$2:$Q$926, 0, MATCH($B274, Scores!$I$1:$Q$1, 0)))</f>
        <v>6</v>
      </c>
      <c r="G274" s="1" t="str">
        <f>INDEX(Scores!$B$2:$B$926, MATCH('Next Gen'!$A274, Scores!$F$2:$F$926, 0))</f>
        <v>mid</v>
      </c>
      <c r="H274" s="1" t="str">
        <f>INDEX(Scores!$D$2:$D$926, MATCH('Next Gen'!$A274, Scores!$F$2:$F$926, 0))</f>
        <v>Original</v>
      </c>
      <c r="I274" s="4">
        <f>INDEX(Scores!$E$2:$E$926, MATCH('Next Gen'!$A274, Scores!$F$2:$F$926, 0))</f>
        <v>45868</v>
      </c>
    </row>
    <row r="275" spans="1:9">
      <c r="A275" s="1">
        <v>189</v>
      </c>
      <c r="B275" s="1" t="s">
        <v>4</v>
      </c>
      <c r="C275" s="1">
        <v>9</v>
      </c>
      <c r="D275" s="1">
        <v>9</v>
      </c>
      <c r="E275" s="1">
        <v>7</v>
      </c>
      <c r="F275" s="1">
        <f>SUMIF(Scores!$F$2:$F$926, 'Next Gen'!$A275, INDEX(Scores!$I$2:$Q$926, 0, MATCH($B275, Scores!$I$1:$Q$1, 0)))</f>
        <v>16</v>
      </c>
      <c r="G275" s="1" t="str">
        <f>INDEX(Scores!$B$2:$B$926, MATCH('Next Gen'!$A275, Scores!$F$2:$F$926, 0))</f>
        <v>mid</v>
      </c>
      <c r="H275" s="1" t="str">
        <f>INDEX(Scores!$D$2:$D$926, MATCH('Next Gen'!$A275, Scores!$F$2:$F$926, 0))</f>
        <v>Original</v>
      </c>
      <c r="I275" s="4">
        <f>INDEX(Scores!$E$2:$E$926, MATCH('Next Gen'!$A275, Scores!$F$2:$F$926, 0))</f>
        <v>45869</v>
      </c>
    </row>
    <row r="276" spans="1:9">
      <c r="A276" s="1">
        <v>189</v>
      </c>
      <c r="B276" s="1" t="s">
        <v>5</v>
      </c>
      <c r="C276" s="1">
        <v>9</v>
      </c>
      <c r="D276" s="1">
        <v>6</v>
      </c>
      <c r="E276" s="1">
        <v>2</v>
      </c>
      <c r="F276" s="1">
        <f>SUMIF(Scores!$F$2:$F$926, 'Next Gen'!$A276, INDEX(Scores!$I$2:$Q$926, 0, MATCH($B276, Scores!$I$1:$Q$1, 0)))</f>
        <v>6</v>
      </c>
      <c r="G276" s="1" t="str">
        <f>INDEX(Scores!$B$2:$B$926, MATCH('Next Gen'!$A276, Scores!$F$2:$F$926, 0))</f>
        <v>mid</v>
      </c>
      <c r="H276" s="1" t="str">
        <f>INDEX(Scores!$D$2:$D$926, MATCH('Next Gen'!$A276, Scores!$F$2:$F$926, 0))</f>
        <v>Original</v>
      </c>
      <c r="I276" s="4">
        <f>INDEX(Scores!$E$2:$E$926, MATCH('Next Gen'!$A276, Scores!$F$2:$F$926, 0))</f>
        <v>45869</v>
      </c>
    </row>
    <row r="277" spans="1:9">
      <c r="A277" s="1">
        <v>190</v>
      </c>
      <c r="B277" s="1" t="s">
        <v>4</v>
      </c>
      <c r="C277" s="1">
        <v>12</v>
      </c>
      <c r="D277" s="1">
        <v>12</v>
      </c>
      <c r="E277" s="1">
        <v>4</v>
      </c>
      <c r="F277" s="1">
        <f>SUMIF(Scores!$F$2:$F$926, 'Next Gen'!$A277, INDEX(Scores!$I$2:$Q$926, 0, MATCH($B277, Scores!$I$1:$Q$1, 0)))</f>
        <v>9</v>
      </c>
      <c r="G277" s="1" t="str">
        <f>INDEX(Scores!$B$2:$B$926, MATCH('Next Gen'!$A277, Scores!$F$2:$F$926, 0))</f>
        <v>mid</v>
      </c>
      <c r="H277" s="1" t="str">
        <f>INDEX(Scores!$D$2:$D$926, MATCH('Next Gen'!$A277, Scores!$F$2:$F$926, 0))</f>
        <v>Original</v>
      </c>
      <c r="I277" s="4">
        <f>INDEX(Scores!$E$2:$E$926, MATCH('Next Gen'!$A277, Scores!$F$2:$F$926, 0))</f>
        <v>45869</v>
      </c>
    </row>
    <row r="278" spans="1:9">
      <c r="A278" s="1">
        <v>190</v>
      </c>
      <c r="B278" s="1" t="s">
        <v>5</v>
      </c>
      <c r="C278" s="1">
        <v>12</v>
      </c>
      <c r="D278" s="1">
        <v>10</v>
      </c>
      <c r="E278" s="1">
        <v>3</v>
      </c>
      <c r="F278" s="1">
        <f>SUMIF(Scores!$F$2:$F$926, 'Next Gen'!$A278, INDEX(Scores!$I$2:$Q$926, 0, MATCH($B278, Scores!$I$1:$Q$1, 0)))</f>
        <v>5</v>
      </c>
      <c r="G278" s="1" t="str">
        <f>INDEX(Scores!$B$2:$B$926, MATCH('Next Gen'!$A278, Scores!$F$2:$F$926, 0))</f>
        <v>mid</v>
      </c>
      <c r="H278" s="1" t="str">
        <f>INDEX(Scores!$D$2:$D$926, MATCH('Next Gen'!$A278, Scores!$F$2:$F$926, 0))</f>
        <v>Original</v>
      </c>
      <c r="I278" s="4">
        <f>INDEX(Scores!$E$2:$E$926, MATCH('Next Gen'!$A278, Scores!$F$2:$F$926, 0))</f>
        <v>45869</v>
      </c>
    </row>
    <row r="279" spans="1:9">
      <c r="A279" s="1">
        <v>191</v>
      </c>
      <c r="B279" s="1" t="s">
        <v>5</v>
      </c>
      <c r="C279" s="1">
        <v>9</v>
      </c>
      <c r="D279" s="1">
        <v>9</v>
      </c>
      <c r="E279" s="1">
        <v>5</v>
      </c>
      <c r="F279" s="1">
        <f>SUMIF(Scores!$F$2:$F$926, 'Next Gen'!$A279, INDEX(Scores!$I$2:$Q$926, 0, MATCH($B279, Scores!$I$1:$Q$1, 0)))</f>
        <v>7</v>
      </c>
      <c r="G279" s="1" t="str">
        <f>INDEX(Scores!$B$2:$B$926, MATCH('Next Gen'!$A280, Scores!$F$2:$F$926, 0))</f>
        <v>mid</v>
      </c>
      <c r="H279" s="1" t="str">
        <f>INDEX(Scores!$D$2:$D$926, MATCH('Next Gen'!$A279, Scores!$F$2:$F$926, 0))</f>
        <v>Original</v>
      </c>
      <c r="I279" s="4">
        <f>INDEX(Scores!$E$2:$E$926, MATCH('Next Gen'!$A280, Scores!$F$2:$F$926, 0))</f>
        <v>45869</v>
      </c>
    </row>
    <row r="280" spans="1:9">
      <c r="A280" s="1">
        <v>191</v>
      </c>
      <c r="B280" s="1" t="s">
        <v>4</v>
      </c>
      <c r="C280" s="1">
        <v>9</v>
      </c>
      <c r="D280" s="1">
        <v>9</v>
      </c>
      <c r="E280" s="1">
        <v>3</v>
      </c>
      <c r="F280" s="1">
        <f>SUMIF(Scores!$F$2:$F$926, 'Next Gen'!$A280, INDEX(Scores!$I$2:$Q$926, 0, MATCH($B280, Scores!$I$1:$Q$1, 0)))</f>
        <v>5</v>
      </c>
      <c r="G280" s="1" t="str">
        <f>INDEX(Scores!$B$2:$B$926, MATCH('Next Gen'!$A279, Scores!$F$2:$F$926, 0))</f>
        <v>mid</v>
      </c>
      <c r="H280" s="1" t="str">
        <f>INDEX(Scores!$D$2:$D$926, MATCH('Next Gen'!$A280, Scores!$F$2:$F$926, 0))</f>
        <v>Original</v>
      </c>
      <c r="I280" s="4">
        <f>INDEX(Scores!$E$2:$E$926, MATCH('Next Gen'!$A279, Scores!$F$2:$F$926, 0))</f>
        <v>45869</v>
      </c>
    </row>
    <row r="281" spans="1:9">
      <c r="A281" s="1">
        <v>192</v>
      </c>
      <c r="B281" s="1" t="s">
        <v>5</v>
      </c>
      <c r="C281" s="1">
        <v>9</v>
      </c>
      <c r="D281" s="1">
        <v>7</v>
      </c>
      <c r="E281" s="1">
        <v>6</v>
      </c>
      <c r="F281" s="1">
        <f>SUMIF(Scores!$F$2:$F$926, 'Next Gen'!$A281, INDEX(Scores!$I$2:$Q$926, 0, MATCH($B281, Scores!$I$1:$Q$1, 0)))</f>
        <v>9</v>
      </c>
      <c r="G281" s="1" t="str">
        <f>INDEX(Scores!$B$2:$B$926, MATCH('Next Gen'!$A282, Scores!$F$2:$F$926, 0))</f>
        <v>high</v>
      </c>
      <c r="H281" s="1" t="str">
        <f>INDEX(Scores!$D$2:$D$926, MATCH('Next Gen'!$A281, Scores!$F$2:$F$926, 0))</f>
        <v>Original</v>
      </c>
      <c r="I281" s="4">
        <f>INDEX(Scores!$E$2:$E$926, MATCH('Next Gen'!$A282, Scores!$F$2:$F$926, 0))</f>
        <v>45870</v>
      </c>
    </row>
    <row r="282" spans="1:9">
      <c r="A282" s="1">
        <v>192</v>
      </c>
      <c r="B282" s="1" t="s">
        <v>4</v>
      </c>
      <c r="C282" s="1">
        <v>9</v>
      </c>
      <c r="D282" s="1">
        <v>8</v>
      </c>
      <c r="E282" s="1">
        <v>4</v>
      </c>
      <c r="F282" s="1">
        <f>SUMIF(Scores!$F$2:$F$926, 'Next Gen'!$A282, INDEX(Scores!$I$2:$Q$926, 0, MATCH($B282, Scores!$I$1:$Q$1, 0)))</f>
        <v>8</v>
      </c>
      <c r="G282" s="1" t="str">
        <f>INDEX(Scores!$B$2:$B$926, MATCH('Next Gen'!$A281, Scores!$F$2:$F$926, 0))</f>
        <v>high</v>
      </c>
      <c r="H282" s="1" t="str">
        <f>INDEX(Scores!$D$2:$D$926, MATCH('Next Gen'!$A282, Scores!$F$2:$F$926, 0))</f>
        <v>Original</v>
      </c>
      <c r="I282" s="4">
        <f>INDEX(Scores!$E$2:$E$926, MATCH('Next Gen'!$A281, Scores!$F$2:$F$926, 0))</f>
        <v>45870</v>
      </c>
    </row>
    <row r="283" spans="1:9">
      <c r="A283" s="1">
        <v>193</v>
      </c>
      <c r="B283" s="1" t="s">
        <v>4</v>
      </c>
      <c r="C283" s="1">
        <v>9</v>
      </c>
      <c r="D283" s="1">
        <v>9</v>
      </c>
      <c r="E283" s="1">
        <v>4</v>
      </c>
      <c r="F283" s="1">
        <f>SUMIF(Scores!$F$2:$F$926, 'Next Gen'!$A283, INDEX(Scores!$I$2:$Q$926, 0, MATCH($B283, Scores!$I$1:$Q$1, 0)))</f>
        <v>8</v>
      </c>
      <c r="G283" s="1" t="str">
        <f>INDEX(Scores!$B$2:$B$926, MATCH('Next Gen'!$A283, Scores!$F$2:$F$926, 0))</f>
        <v>mid</v>
      </c>
      <c r="H283" s="1" t="str">
        <f>INDEX(Scores!$D$2:$D$926, MATCH('Next Gen'!$A283, Scores!$F$2:$F$926, 0))</f>
        <v>Original</v>
      </c>
      <c r="I283" s="4">
        <f>INDEX(Scores!$E$2:$E$926, MATCH('Next Gen'!$A283, Scores!$F$2:$F$926, 0))</f>
        <v>45870</v>
      </c>
    </row>
    <row r="284" spans="1:9">
      <c r="A284" s="1">
        <v>193</v>
      </c>
      <c r="B284" s="1" t="s">
        <v>5</v>
      </c>
      <c r="C284" s="1">
        <v>9</v>
      </c>
      <c r="D284" s="1">
        <v>5</v>
      </c>
      <c r="E284" s="1">
        <v>4</v>
      </c>
      <c r="F284" s="1">
        <f>SUMIF(Scores!$F$2:$F$926, 'Next Gen'!$A284, INDEX(Scores!$I$2:$Q$926, 0, MATCH($B284, Scores!$I$1:$Q$1, 0)))</f>
        <v>10</v>
      </c>
      <c r="G284" s="1" t="str">
        <f>INDEX(Scores!$B$2:$B$926, MATCH('Next Gen'!$A284, Scores!$F$2:$F$926, 0))</f>
        <v>mid</v>
      </c>
      <c r="H284" s="1" t="str">
        <f>INDEX(Scores!$D$2:$D$926, MATCH('Next Gen'!$A284, Scores!$F$2:$F$926, 0))</f>
        <v>Original</v>
      </c>
      <c r="I284" s="4">
        <f>INDEX(Scores!$E$2:$E$926, MATCH('Next Gen'!$A284, Scores!$F$2:$F$926, 0))</f>
        <v>45870</v>
      </c>
    </row>
    <row r="285" spans="1:9">
      <c r="A285" s="1">
        <v>194</v>
      </c>
      <c r="B285" s="1" t="s">
        <v>4</v>
      </c>
      <c r="C285" s="1">
        <v>9</v>
      </c>
      <c r="D285" s="1">
        <v>9</v>
      </c>
      <c r="E285" s="1">
        <v>4</v>
      </c>
      <c r="F285" s="1">
        <f>SUMIF(Scores!$F$2:$F$926, 'Next Gen'!$A285, INDEX(Scores!$I$2:$Q$926, 0, MATCH($B285, Scores!$I$1:$Q$1, 0)))</f>
        <v>9</v>
      </c>
      <c r="G285" s="1" t="str">
        <f>INDEX(Scores!$B$2:$B$926, MATCH('Next Gen'!$A285, Scores!$F$2:$F$926, 0))</f>
        <v>mid</v>
      </c>
      <c r="H285" s="1" t="str">
        <f>INDEX(Scores!$D$2:$D$926, MATCH('Next Gen'!$A285, Scores!$F$2:$F$926, 0))</f>
        <v>Original</v>
      </c>
      <c r="I285" s="4">
        <f>INDEX(Scores!$E$2:$E$926, MATCH('Next Gen'!$A285, Scores!$F$2:$F$926, 0))</f>
        <v>45870</v>
      </c>
    </row>
    <row r="286" spans="1:9">
      <c r="A286" s="1">
        <v>194</v>
      </c>
      <c r="B286" s="1" t="s">
        <v>5</v>
      </c>
      <c r="C286" s="1">
        <v>9</v>
      </c>
      <c r="D286" s="1">
        <v>9</v>
      </c>
      <c r="E286" s="1">
        <v>4</v>
      </c>
      <c r="F286" s="1">
        <f>SUMIF(Scores!$F$2:$F$926, 'Next Gen'!$A286, INDEX(Scores!$I$2:$Q$926, 0, MATCH($B286, Scores!$I$1:$Q$1, 0)))</f>
        <v>7</v>
      </c>
      <c r="G286" s="1" t="str">
        <f>INDEX(Scores!$B$2:$B$926, MATCH('Next Gen'!$A286, Scores!$F$2:$F$926, 0))</f>
        <v>mid</v>
      </c>
      <c r="H286" s="1" t="str">
        <f>INDEX(Scores!$D$2:$D$926, MATCH('Next Gen'!$A286, Scores!$F$2:$F$926, 0))</f>
        <v>Original</v>
      </c>
      <c r="I286" s="4">
        <f>INDEX(Scores!$E$2:$E$926, MATCH('Next Gen'!$A286, Scores!$F$2:$F$926, 0))</f>
        <v>45870</v>
      </c>
    </row>
    <row r="287" spans="1:9">
      <c r="A287" s="1">
        <v>195</v>
      </c>
      <c r="B287" s="1" t="s">
        <v>4</v>
      </c>
      <c r="C287" s="1">
        <v>9</v>
      </c>
      <c r="D287" s="1">
        <v>9</v>
      </c>
      <c r="E287" s="1">
        <v>3</v>
      </c>
      <c r="F287" s="1">
        <f>SUMIF(Scores!$F$2:$F$926, 'Next Gen'!$A287, INDEX(Scores!$I$2:$Q$926, 0, MATCH($B287, Scores!$I$1:$Q$1, 0)))</f>
        <v>6</v>
      </c>
      <c r="G287" s="1" t="str">
        <f>INDEX(Scores!$B$2:$B$926, MATCH('Next Gen'!$A287, Scores!$F$2:$F$926, 0))</f>
        <v>mid</v>
      </c>
      <c r="H287" s="1" t="str">
        <f>INDEX(Scores!$D$2:$D$926, MATCH('Next Gen'!$A287, Scores!$F$2:$F$926, 0))</f>
        <v>Original</v>
      </c>
      <c r="I287" s="4">
        <f>INDEX(Scores!$E$2:$E$926, MATCH('Next Gen'!$A287, Scores!$F$2:$F$926, 0))</f>
        <v>45873</v>
      </c>
    </row>
    <row r="288" spans="1:9">
      <c r="A288" s="1">
        <v>195</v>
      </c>
      <c r="B288" s="1" t="s">
        <v>5</v>
      </c>
      <c r="C288" s="1">
        <v>9</v>
      </c>
      <c r="D288" s="1">
        <v>8</v>
      </c>
      <c r="E288" s="1">
        <v>3</v>
      </c>
      <c r="F288" s="1">
        <f>SUMIF(Scores!$F$2:$F$926, 'Next Gen'!$A288, INDEX(Scores!$I$2:$Q$926, 0, MATCH($B288, Scores!$I$1:$Q$1, 0)))</f>
        <v>5</v>
      </c>
      <c r="G288" s="1" t="str">
        <f>INDEX(Scores!$B$2:$B$926, MATCH('Next Gen'!$A288, Scores!$F$2:$F$926, 0))</f>
        <v>mid</v>
      </c>
      <c r="H288" s="1" t="str">
        <f>INDEX(Scores!$D$2:$D$926, MATCH('Next Gen'!$A288, Scores!$F$2:$F$926, 0))</f>
        <v>Original</v>
      </c>
      <c r="I288" s="4">
        <f>INDEX(Scores!$E$2:$E$926, MATCH('Next Gen'!$A288, Scores!$F$2:$F$926, 0))</f>
        <v>45873</v>
      </c>
    </row>
    <row r="289" spans="1:9">
      <c r="A289" s="1">
        <v>196</v>
      </c>
      <c r="B289" s="1" t="s">
        <v>4</v>
      </c>
      <c r="C289" s="1">
        <v>9</v>
      </c>
      <c r="D289" s="1">
        <v>9</v>
      </c>
      <c r="E289" s="1">
        <v>6</v>
      </c>
      <c r="F289" s="1">
        <f>SUMIF(Scores!$F$2:$F$926, 'Next Gen'!$A289, INDEX(Scores!$I$2:$Q$926, 0, MATCH($B289, Scores!$I$1:$Q$1, 0)))</f>
        <v>13</v>
      </c>
      <c r="G289" s="1" t="str">
        <f>INDEX(Scores!$B$2:$B$926, MATCH('Next Gen'!$A289, Scores!$F$2:$F$926, 0))</f>
        <v>mid</v>
      </c>
      <c r="H289" s="1" t="str">
        <f>INDEX(Scores!$D$2:$D$926, MATCH('Next Gen'!$A289, Scores!$F$2:$F$926, 0))</f>
        <v>Original</v>
      </c>
      <c r="I289" s="4">
        <f>INDEX(Scores!$E$2:$E$926, MATCH('Next Gen'!$A289, Scores!$F$2:$F$926, 0))</f>
        <v>45873</v>
      </c>
    </row>
    <row r="290" spans="1:9">
      <c r="A290" s="1">
        <v>196</v>
      </c>
      <c r="B290" s="1" t="s">
        <v>5</v>
      </c>
      <c r="C290" s="1">
        <v>9</v>
      </c>
      <c r="D290" s="1">
        <v>6</v>
      </c>
      <c r="E290" s="1">
        <v>3</v>
      </c>
      <c r="F290" s="1">
        <f>SUMIF(Scores!$F$2:$F$926, 'Next Gen'!$A290, INDEX(Scores!$I$2:$Q$926, 0, MATCH($B290, Scores!$I$1:$Q$1, 0)))</f>
        <v>3</v>
      </c>
      <c r="G290" s="1" t="str">
        <f>INDEX(Scores!$B$2:$B$926, MATCH('Next Gen'!$A290, Scores!$F$2:$F$926, 0))</f>
        <v>mid</v>
      </c>
      <c r="H290" s="1" t="str">
        <f>INDEX(Scores!$D$2:$D$926, MATCH('Next Gen'!$A290, Scores!$F$2:$F$926, 0))</f>
        <v>Original</v>
      </c>
      <c r="I290" s="4">
        <f>INDEX(Scores!$E$2:$E$926, MATCH('Next Gen'!$A290, Scores!$F$2:$F$926, 0))</f>
        <v>45873</v>
      </c>
    </row>
    <row r="291" spans="1:9">
      <c r="A291" s="1">
        <v>197</v>
      </c>
      <c r="B291" s="1" t="s">
        <v>4</v>
      </c>
      <c r="C291" s="1">
        <v>9</v>
      </c>
      <c r="D291" s="1">
        <v>9</v>
      </c>
      <c r="E291" s="1">
        <v>8</v>
      </c>
      <c r="F291" s="1">
        <f>SUMIF(Scores!$F$2:$F$926, 'Next Gen'!$A291, INDEX(Scores!$I$2:$Q$926, 0, MATCH($B291, Scores!$I$1:$Q$1, 0)))</f>
        <v>18</v>
      </c>
      <c r="G291" s="1" t="str">
        <f>INDEX(Scores!$B$2:$B$926, MATCH('Next Gen'!$A291, Scores!$F$2:$F$926, 0))</f>
        <v>mid</v>
      </c>
      <c r="H291" s="1" t="str">
        <f>INDEX(Scores!$D$2:$D$926, MATCH('Next Gen'!$A291, Scores!$F$2:$F$926, 0))</f>
        <v>Original</v>
      </c>
      <c r="I291" s="4">
        <f>INDEX(Scores!$E$2:$E$926, MATCH('Next Gen'!$A291, Scores!$F$2:$F$926, 0))</f>
        <v>45875</v>
      </c>
    </row>
    <row r="292" spans="1:9">
      <c r="A292" s="1">
        <v>197</v>
      </c>
      <c r="B292" s="1" t="s">
        <v>5</v>
      </c>
      <c r="C292" s="1">
        <v>9</v>
      </c>
      <c r="D292" s="1">
        <v>9</v>
      </c>
      <c r="E292" s="1">
        <v>6</v>
      </c>
      <c r="F292" s="1">
        <f>SUMIF(Scores!$F$2:$F$926, 'Next Gen'!$A292, INDEX(Scores!$I$2:$Q$926, 0, MATCH($B292, Scores!$I$1:$Q$1, 0)))</f>
        <v>11</v>
      </c>
      <c r="G292" s="1" t="str">
        <f>INDEX(Scores!$B$2:$B$926, MATCH('Next Gen'!$A292, Scores!$F$2:$F$926, 0))</f>
        <v>mid</v>
      </c>
      <c r="H292" s="1" t="str">
        <f>INDEX(Scores!$D$2:$D$926, MATCH('Next Gen'!$A292, Scores!$F$2:$F$926, 0))</f>
        <v>Original</v>
      </c>
      <c r="I292" s="4">
        <f>INDEX(Scores!$E$2:$E$926, MATCH('Next Gen'!$A292, Scores!$F$2:$F$926, 0))</f>
        <v>45875</v>
      </c>
    </row>
    <row r="293" spans="1:9">
      <c r="A293" s="1">
        <v>198</v>
      </c>
      <c r="B293" s="1" t="s">
        <v>5</v>
      </c>
      <c r="C293" s="1">
        <v>9</v>
      </c>
      <c r="D293" s="1">
        <v>9</v>
      </c>
      <c r="E293" s="1">
        <v>7</v>
      </c>
      <c r="F293" s="1">
        <f>SUMIF(Scores!$F$2:$F$926, 'Next Gen'!$A293, INDEX(Scores!$I$2:$Q$926, 0, MATCH($B293, Scores!$I$1:$Q$1, 0)))</f>
        <v>16</v>
      </c>
      <c r="G293" s="1" t="str">
        <f>INDEX(Scores!$B$2:$B$926, MATCH('Next Gen'!$A294, Scores!$F$2:$F$926, 0))</f>
        <v>mid</v>
      </c>
      <c r="H293" s="1" t="str">
        <f>INDEX(Scores!$D$2:$D$926, MATCH('Next Gen'!$A293, Scores!$F$2:$F$926, 0))</f>
        <v>Original</v>
      </c>
      <c r="I293" s="4">
        <f>INDEX(Scores!$E$2:$E$926, MATCH('Next Gen'!$A294, Scores!$F$2:$F$926, 0))</f>
        <v>45875</v>
      </c>
    </row>
    <row r="294" spans="1:9">
      <c r="A294" s="1">
        <v>198</v>
      </c>
      <c r="B294" s="1" t="s">
        <v>4</v>
      </c>
      <c r="C294" s="1">
        <v>9</v>
      </c>
      <c r="D294" s="1">
        <v>9</v>
      </c>
      <c r="E294" s="1">
        <v>6</v>
      </c>
      <c r="F294" s="1">
        <f>SUMIF(Scores!$F$2:$F$926, 'Next Gen'!$A294, INDEX(Scores!$I$2:$Q$926, 0, MATCH($B294, Scores!$I$1:$Q$1, 0)))</f>
        <v>9</v>
      </c>
      <c r="G294" s="1" t="str">
        <f>INDEX(Scores!$B$2:$B$926, MATCH('Next Gen'!$A293, Scores!$F$2:$F$926, 0))</f>
        <v>mid</v>
      </c>
      <c r="H294" s="1" t="str">
        <f>INDEX(Scores!$D$2:$D$926, MATCH('Next Gen'!$A294, Scores!$F$2:$F$926, 0))</f>
        <v>Original</v>
      </c>
      <c r="I294" s="4">
        <f>INDEX(Scores!$E$2:$E$926, MATCH('Next Gen'!$A293, Scores!$F$2:$F$926, 0))</f>
        <v>45875</v>
      </c>
    </row>
    <row r="295" spans="1:9">
      <c r="A295" s="1">
        <v>199</v>
      </c>
      <c r="B295" s="1" t="s">
        <v>5</v>
      </c>
      <c r="C295" s="1">
        <v>9</v>
      </c>
      <c r="D295" s="1">
        <v>5</v>
      </c>
      <c r="E295" s="1">
        <v>5</v>
      </c>
      <c r="F295" s="1">
        <f>SUMIF(Scores!$F$2:$F$926, 'Next Gen'!$A295, INDEX(Scores!$I$2:$Q$926, 0, MATCH($B295, Scores!$I$1:$Q$1, 0)))</f>
        <v>7</v>
      </c>
      <c r="G295" s="1" t="str">
        <f>INDEX(Scores!$B$2:$B$926, MATCH('Next Gen'!$A296, Scores!$F$2:$F$926, 0))</f>
        <v>mid</v>
      </c>
      <c r="H295" s="1" t="str">
        <f>INDEX(Scores!$D$2:$D$926, MATCH('Next Gen'!$A295, Scores!$F$2:$F$926, 0))</f>
        <v>Original</v>
      </c>
      <c r="I295" s="4">
        <f>INDEX(Scores!$E$2:$E$926, MATCH('Next Gen'!$A296, Scores!$F$2:$F$926, 0))</f>
        <v>45875</v>
      </c>
    </row>
    <row r="296" spans="1:9">
      <c r="A296" s="1">
        <v>199</v>
      </c>
      <c r="B296" s="1" t="s">
        <v>4</v>
      </c>
      <c r="C296" s="1">
        <v>9</v>
      </c>
      <c r="D296" s="1">
        <v>9</v>
      </c>
      <c r="E296" s="1">
        <v>3</v>
      </c>
      <c r="F296" s="1">
        <f>SUMIF(Scores!$F$2:$F$926, 'Next Gen'!$A296, INDEX(Scores!$I$2:$Q$926, 0, MATCH($B296, Scores!$I$1:$Q$1, 0)))</f>
        <v>9</v>
      </c>
      <c r="G296" s="1" t="str">
        <f>INDEX(Scores!$B$2:$B$926, MATCH('Next Gen'!$A295, Scores!$F$2:$F$926, 0))</f>
        <v>mid</v>
      </c>
      <c r="H296" s="1" t="str">
        <f>INDEX(Scores!$D$2:$D$926, MATCH('Next Gen'!$A296, Scores!$F$2:$F$926, 0))</f>
        <v>Original</v>
      </c>
      <c r="I296" s="4">
        <f>INDEX(Scores!$E$2:$E$926, MATCH('Next Gen'!$A295, Scores!$F$2:$F$926, 0))</f>
        <v>45875</v>
      </c>
    </row>
    <row r="297" spans="1:9">
      <c r="A297" s="1">
        <v>200</v>
      </c>
      <c r="B297" s="1" t="s">
        <v>5</v>
      </c>
      <c r="C297" s="1">
        <v>9</v>
      </c>
      <c r="D297" s="1">
        <v>8</v>
      </c>
      <c r="E297" s="1">
        <v>4</v>
      </c>
      <c r="F297" s="1">
        <f>SUMIF(Scores!$F$2:$F$926, 'Next Gen'!$A297, INDEX(Scores!$I$2:$Q$926, 0, MATCH($B297, Scores!$I$1:$Q$1, 0)))</f>
        <v>7</v>
      </c>
      <c r="G297" s="1" t="str">
        <f>INDEX(Scores!$B$2:$B$926, MATCH('Next Gen'!$A298, Scores!$F$2:$F$926, 0))</f>
        <v>mid</v>
      </c>
      <c r="H297" s="1" t="str">
        <f>INDEX(Scores!$D$2:$D$926, MATCH('Next Gen'!$A297, Scores!$F$2:$F$926, 0))</f>
        <v>Original</v>
      </c>
      <c r="I297" s="4">
        <f>INDEX(Scores!$E$2:$E$926, MATCH('Next Gen'!$A298, Scores!$F$2:$F$926, 0))</f>
        <v>45876</v>
      </c>
    </row>
    <row r="298" spans="1:9">
      <c r="A298" s="1">
        <v>200</v>
      </c>
      <c r="B298" s="1" t="s">
        <v>4</v>
      </c>
      <c r="C298" s="1">
        <v>9</v>
      </c>
      <c r="D298" s="1">
        <v>9</v>
      </c>
      <c r="E298" s="1">
        <v>6</v>
      </c>
      <c r="F298" s="1">
        <f>SUMIF(Scores!$F$2:$F$926, 'Next Gen'!$A298, INDEX(Scores!$I$2:$Q$926, 0, MATCH($B298, Scores!$I$1:$Q$1, 0)))</f>
        <v>14</v>
      </c>
      <c r="G298" s="1" t="str">
        <f>INDEX(Scores!$B$2:$B$926, MATCH('Next Gen'!$A297, Scores!$F$2:$F$926, 0))</f>
        <v>mid</v>
      </c>
      <c r="H298" s="1" t="str">
        <f>INDEX(Scores!$D$2:$D$926, MATCH('Next Gen'!$A298, Scores!$F$2:$F$926, 0))</f>
        <v>Original</v>
      </c>
      <c r="I298" s="4">
        <f>INDEX(Scores!$E$2:$E$926, MATCH('Next Gen'!$A297, Scores!$F$2:$F$926, 0))</f>
        <v>45876</v>
      </c>
    </row>
    <row r="299" spans="1:9">
      <c r="A299" s="1">
        <v>201</v>
      </c>
      <c r="B299" s="1" t="s">
        <v>5</v>
      </c>
      <c r="C299" s="1">
        <v>9</v>
      </c>
      <c r="D299" s="1">
        <v>7</v>
      </c>
      <c r="E299" s="1">
        <v>3</v>
      </c>
      <c r="F299" s="1">
        <f>SUMIF(Scores!$F$2:$F$926, 'Next Gen'!$A299, INDEX(Scores!$I$2:$Q$926, 0, MATCH($B299, Scores!$I$1:$Q$1, 0)))</f>
        <v>6</v>
      </c>
      <c r="G299" s="1">
        <f>INDEX(Scores!$B$2:$B$926, MATCH('Next Gen'!$A299, Scores!$F$2:$F$926, 0))</f>
        <v>256</v>
      </c>
      <c r="H299" s="1" t="str">
        <f>INDEX(Scores!$D$2:$D$926, MATCH('Next Gen'!$A299, Scores!$F$2:$F$926, 0))</f>
        <v>Original</v>
      </c>
      <c r="I299" s="4">
        <f>INDEX(Scores!$E$2:$E$926, MATCH('Next Gen'!$A299, Scores!$F$2:$F$926, 0))</f>
        <v>45880</v>
      </c>
    </row>
    <row r="300" spans="1:9">
      <c r="A300" s="1">
        <v>201</v>
      </c>
      <c r="B300" s="1" t="s">
        <v>4</v>
      </c>
      <c r="C300" s="1">
        <v>9</v>
      </c>
      <c r="D300" s="1">
        <v>9</v>
      </c>
      <c r="E300" s="1">
        <v>3</v>
      </c>
      <c r="F300" s="1">
        <f>SUMIF(Scores!$F$2:$F$926, 'Next Gen'!$A300, INDEX(Scores!$I$2:$Q$926, 0, MATCH($B300, Scores!$I$1:$Q$1, 0)))</f>
        <v>9</v>
      </c>
      <c r="G300" s="1">
        <f>INDEX(Scores!$B$2:$B$926, MATCH('Next Gen'!$A300, Scores!$F$2:$F$926, 0))</f>
        <v>256</v>
      </c>
      <c r="H300" s="1" t="str">
        <f>INDEX(Scores!$D$2:$D$926, MATCH('Next Gen'!$A300, Scores!$F$2:$F$926, 0))</f>
        <v>Original</v>
      </c>
      <c r="I300" s="4">
        <f>INDEX(Scores!$E$2:$E$926, MATCH('Next Gen'!$A300, Scores!$F$2:$F$926, 0))</f>
        <v>45880</v>
      </c>
    </row>
    <row r="301" spans="1:9">
      <c r="A301" s="1">
        <v>202</v>
      </c>
      <c r="B301" s="1" t="s">
        <v>4</v>
      </c>
      <c r="C301" s="1">
        <v>9</v>
      </c>
      <c r="D301" s="1">
        <v>9</v>
      </c>
      <c r="E301" s="1">
        <v>6</v>
      </c>
      <c r="F301" s="1">
        <f>SUMIF(Scores!$F$2:$F$926, 'Next Gen'!$A301, INDEX(Scores!$I$2:$Q$926, 0, MATCH($B301, Scores!$I$1:$Q$1, 0)))</f>
        <v>19</v>
      </c>
      <c r="G301" s="1">
        <f>INDEX(Scores!$B$2:$B$926, MATCH('Next Gen'!$A301, Scores!$F$2:$F$926, 0))</f>
        <v>256</v>
      </c>
      <c r="H301" s="1" t="str">
        <f>INDEX(Scores!$D$2:$D$926, MATCH('Next Gen'!$A301, Scores!$F$2:$F$926, 0))</f>
        <v>Original</v>
      </c>
      <c r="I301" s="4">
        <f>INDEX(Scores!$E$2:$E$926, MATCH('Next Gen'!$A301, Scores!$F$2:$F$926, 0))</f>
        <v>45881</v>
      </c>
    </row>
    <row r="302" spans="1:9">
      <c r="A302" s="1">
        <v>202</v>
      </c>
      <c r="B302" s="1" t="s">
        <v>5</v>
      </c>
      <c r="C302" s="1">
        <v>9</v>
      </c>
      <c r="D302" s="1">
        <v>9</v>
      </c>
      <c r="E302" s="1">
        <v>8</v>
      </c>
      <c r="F302" s="1">
        <f>SUMIF(Scores!$F$2:$F$926, 'Next Gen'!$A302, INDEX(Scores!$I$2:$Q$926, 0, MATCH($B302, Scores!$I$1:$Q$1, 0)))</f>
        <v>12</v>
      </c>
      <c r="G302" s="1">
        <f>INDEX(Scores!$B$2:$B$926, MATCH('Next Gen'!$A302, Scores!$F$2:$F$926, 0))</f>
        <v>256</v>
      </c>
      <c r="H302" s="1" t="str">
        <f>INDEX(Scores!$D$2:$D$926, MATCH('Next Gen'!$A302, Scores!$F$2:$F$926, 0))</f>
        <v>Original</v>
      </c>
      <c r="I302" s="4">
        <f>INDEX(Scores!$E$2:$E$926, MATCH('Next Gen'!$A302, Scores!$F$2:$F$926, 0))</f>
        <v>45881</v>
      </c>
    </row>
    <row r="303" spans="1:9">
      <c r="A303" s="1">
        <v>202</v>
      </c>
      <c r="B303" s="1" t="s">
        <v>7</v>
      </c>
      <c r="C303" s="1">
        <v>9</v>
      </c>
      <c r="D303" s="1">
        <v>6</v>
      </c>
      <c r="E303" s="1">
        <v>4</v>
      </c>
      <c r="F303" s="1">
        <f>SUMIF(Scores!$F$2:$F$926, 'Next Gen'!$A303, INDEX(Scores!$I$2:$Q$926, 0, MATCH($B303, Scores!$I$1:$Q$1, 0)))</f>
        <v>4</v>
      </c>
      <c r="G303" s="1">
        <f>INDEX(Scores!$B$2:$B$926, MATCH('Next Gen'!$A303, Scores!$F$2:$F$926, 0))</f>
        <v>256</v>
      </c>
      <c r="H303" s="1" t="str">
        <f>INDEX(Scores!$D$2:$D$926, MATCH('Next Gen'!$A303, Scores!$F$2:$F$926, 0))</f>
        <v>Original</v>
      </c>
      <c r="I303" s="4">
        <f>INDEX(Scores!$E$2:$E$926, MATCH('Next Gen'!$A303, Scores!$F$2:$F$926, 0))</f>
        <v>45881</v>
      </c>
    </row>
    <row r="304" spans="1:9">
      <c r="A304" s="1">
        <v>203</v>
      </c>
      <c r="B304" s="1" t="s">
        <v>4</v>
      </c>
      <c r="C304" s="1">
        <v>9</v>
      </c>
      <c r="D304" s="1">
        <v>9</v>
      </c>
      <c r="E304" s="1">
        <v>8</v>
      </c>
      <c r="F304" s="1">
        <f>SUMIF(Scores!$F$2:$F$926, 'Next Gen'!$A304, INDEX(Scores!$I$2:$Q$926, 0, MATCH($B304, Scores!$I$1:$Q$1, 0)))</f>
        <v>18</v>
      </c>
      <c r="G304" s="1">
        <f>INDEX(Scores!$B$2:$B$926, MATCH('Next Gen'!$A304, Scores!$F$2:$F$926, 0))</f>
        <v>256</v>
      </c>
      <c r="H304" s="1" t="str">
        <f>INDEX(Scores!$D$2:$D$926, MATCH('Next Gen'!$A304, Scores!$F$2:$F$926, 0))</f>
        <v>Original</v>
      </c>
      <c r="I304" s="4">
        <f>INDEX(Scores!$E$2:$E$926, MATCH('Next Gen'!$A304, Scores!$F$2:$F$926, 0))</f>
        <v>45881</v>
      </c>
    </row>
    <row r="305" spans="1:9">
      <c r="A305" s="1">
        <v>203</v>
      </c>
      <c r="B305" s="1" t="s">
        <v>5</v>
      </c>
      <c r="C305" s="1">
        <v>9</v>
      </c>
      <c r="D305" s="1">
        <v>9</v>
      </c>
      <c r="E305" s="1">
        <v>7</v>
      </c>
      <c r="F305" s="1">
        <f>SUMIF(Scores!$F$2:$F$926, 'Next Gen'!$A305, INDEX(Scores!$I$2:$Q$926, 0, MATCH($B305, Scores!$I$1:$Q$1, 0)))</f>
        <v>13</v>
      </c>
      <c r="G305" s="1">
        <f>INDEX(Scores!$B$2:$B$926, MATCH('Next Gen'!$A305, Scores!$F$2:$F$926, 0))</f>
        <v>256</v>
      </c>
      <c r="H305" s="1" t="str">
        <f>INDEX(Scores!$D$2:$D$926, MATCH('Next Gen'!$A305, Scores!$F$2:$F$926, 0))</f>
        <v>Original</v>
      </c>
      <c r="I305" s="4">
        <f>INDEX(Scores!$E$2:$E$926, MATCH('Next Gen'!$A305, Scores!$F$2:$F$926, 0))</f>
        <v>45881</v>
      </c>
    </row>
    <row r="306" spans="1:9">
      <c r="A306" s="1">
        <v>203</v>
      </c>
      <c r="B306" s="1" t="s">
        <v>23</v>
      </c>
      <c r="C306" s="1">
        <v>9</v>
      </c>
      <c r="D306" s="1">
        <v>6</v>
      </c>
      <c r="E306" s="1">
        <v>2</v>
      </c>
      <c r="F306" s="1">
        <f>SUMIF(Scores!$F$2:$F$926, 'Next Gen'!$A306, INDEX(Scores!$I$2:$Q$926, 0, MATCH($B306, Scores!$I$1:$Q$1, 0)))</f>
        <v>1</v>
      </c>
      <c r="G306" s="1">
        <f>INDEX(Scores!$B$2:$B$926, MATCH('Next Gen'!$A306, Scores!$F$2:$F$926, 0))</f>
        <v>256</v>
      </c>
      <c r="H306" s="1" t="str">
        <f>INDEX(Scores!$D$2:$D$926, MATCH('Next Gen'!$A306, Scores!$F$2:$F$926, 0))</f>
        <v>Original</v>
      </c>
      <c r="I306" s="4">
        <f>INDEX(Scores!$E$2:$E$926, MATCH('Next Gen'!$A306, Scores!$F$2:$F$926, 0))</f>
        <v>45881</v>
      </c>
    </row>
    <row r="307" spans="1:9">
      <c r="A307" s="1">
        <v>204</v>
      </c>
      <c r="B307" s="1" t="s">
        <v>4</v>
      </c>
      <c r="C307" s="1">
        <v>12</v>
      </c>
      <c r="D307" s="1">
        <v>12</v>
      </c>
      <c r="E307" s="1">
        <v>8</v>
      </c>
      <c r="F307" s="1">
        <f>SUMIF(Scores!$F$2:$F$926, 'Next Gen'!$A307, INDEX(Scores!$I$2:$Q$926, 0, MATCH($B307, Scores!$I$1:$Q$1, 0)))</f>
        <v>18</v>
      </c>
      <c r="G307" s="1">
        <f>INDEX(Scores!$B$2:$B$926, MATCH('Next Gen'!$A307, Scores!$F$2:$F$926, 0))</f>
        <v>256</v>
      </c>
      <c r="H307" s="1" t="str">
        <f>INDEX(Scores!$D$2:$D$926, MATCH('Next Gen'!$A307, Scores!$F$2:$F$926, 0))</f>
        <v>Original</v>
      </c>
      <c r="I307" s="4">
        <f>INDEX(Scores!$E$2:$E$926, MATCH('Next Gen'!$A307, Scores!$F$2:$F$926, 0))</f>
        <v>45882</v>
      </c>
    </row>
    <row r="308" spans="1:9">
      <c r="A308" s="1">
        <v>204</v>
      </c>
      <c r="B308" s="1" t="s">
        <v>5</v>
      </c>
      <c r="C308" s="1">
        <v>12</v>
      </c>
      <c r="D308" s="1">
        <v>10</v>
      </c>
      <c r="E308" s="1">
        <v>9</v>
      </c>
      <c r="F308" s="1">
        <f>SUMIF(Scores!$F$2:$F$926, 'Next Gen'!$A308, INDEX(Scores!$I$2:$Q$926, 0, MATCH($B308, Scores!$I$1:$Q$1, 0)))</f>
        <v>14</v>
      </c>
      <c r="G308" s="1">
        <f>INDEX(Scores!$B$2:$B$926, MATCH('Next Gen'!$A308, Scores!$F$2:$F$926, 0))</f>
        <v>256</v>
      </c>
      <c r="H308" s="1" t="str">
        <f>INDEX(Scores!$D$2:$D$926, MATCH('Next Gen'!$A308, Scores!$F$2:$F$926, 0))</f>
        <v>Original</v>
      </c>
      <c r="I308" s="4">
        <f>INDEX(Scores!$E$2:$E$926, MATCH('Next Gen'!$A308, Scores!$F$2:$F$926, 0))</f>
        <v>45882</v>
      </c>
    </row>
    <row r="309" spans="1:9">
      <c r="A309" s="1">
        <v>205</v>
      </c>
      <c r="B309" s="1" t="s">
        <v>4</v>
      </c>
      <c r="C309" s="1">
        <v>9</v>
      </c>
      <c r="D309" s="1">
        <v>7</v>
      </c>
      <c r="E309" s="1">
        <v>4</v>
      </c>
      <c r="F309" s="1">
        <f>SUMIF(Scores!$F$2:$F$926, 'Next Gen'!$A309, INDEX(Scores!$I$2:$Q$926, 0, MATCH($B309, Scores!$I$1:$Q$1, 0)))</f>
        <v>8</v>
      </c>
      <c r="G309" s="1">
        <f>INDEX(Scores!$B$2:$B$926, MATCH('Next Gen'!$A309, Scores!$F$2:$F$926, 0))</f>
        <v>256</v>
      </c>
      <c r="H309" s="1" t="str">
        <f>INDEX(Scores!$D$2:$D$926, MATCH('Next Gen'!$A309, Scores!$F$2:$F$926, 0))</f>
        <v>Original</v>
      </c>
      <c r="I309" s="4">
        <f>INDEX(Scores!$E$2:$E$926, MATCH('Next Gen'!$A309, Scores!$F$2:$F$926, 0))</f>
        <v>45883</v>
      </c>
    </row>
    <row r="310" spans="1:9">
      <c r="A310" s="1">
        <v>205</v>
      </c>
      <c r="B310" s="1" t="s">
        <v>5</v>
      </c>
      <c r="C310" s="1">
        <v>9</v>
      </c>
      <c r="D310" s="1">
        <v>6</v>
      </c>
      <c r="E310" s="1">
        <v>5</v>
      </c>
      <c r="F310" s="1">
        <f>SUMIF(Scores!$F$2:$F$926, 'Next Gen'!$A310, INDEX(Scores!$I$2:$Q$926, 0, MATCH($B310, Scores!$I$1:$Q$1, 0)))</f>
        <v>9</v>
      </c>
      <c r="G310" s="1">
        <f>INDEX(Scores!$B$2:$B$926, MATCH('Next Gen'!$A310, Scores!$F$2:$F$926, 0))</f>
        <v>256</v>
      </c>
      <c r="H310" s="1" t="str">
        <f>INDEX(Scores!$D$2:$D$926, MATCH('Next Gen'!$A310, Scores!$F$2:$F$926, 0))</f>
        <v>Original</v>
      </c>
      <c r="I310" s="4">
        <f>INDEX(Scores!$E$2:$E$926, MATCH('Next Gen'!$A310, Scores!$F$2:$F$926, 0))</f>
        <v>45883</v>
      </c>
    </row>
    <row r="311" spans="1:9">
      <c r="A311" s="1">
        <v>206</v>
      </c>
      <c r="B311" s="1" t="s">
        <v>4</v>
      </c>
      <c r="C311" s="1">
        <v>9</v>
      </c>
      <c r="D311" s="1">
        <v>8</v>
      </c>
      <c r="E311" s="1">
        <v>5</v>
      </c>
      <c r="F311" s="1">
        <f>SUMIF(Scores!$F$2:$F$926, 'Next Gen'!$A311, INDEX(Scores!$I$2:$Q$926, 0, MATCH($B311, Scores!$I$1:$Q$1, 0)))</f>
        <v>8</v>
      </c>
      <c r="G311" s="1">
        <f>INDEX(Scores!$B$2:$B$926, MATCH('Next Gen'!$A311, Scores!$F$2:$F$926, 0))</f>
        <v>256</v>
      </c>
      <c r="H311" s="1" t="str">
        <f>INDEX(Scores!$D$2:$D$926, MATCH('Next Gen'!$A311, Scores!$F$2:$F$926, 0))</f>
        <v>Original</v>
      </c>
      <c r="I311" s="4">
        <f>INDEX(Scores!$E$2:$E$926, MATCH('Next Gen'!$A311, Scores!$F$2:$F$926, 0))</f>
        <v>45887</v>
      </c>
    </row>
    <row r="312" spans="1:9">
      <c r="A312" s="1">
        <v>206</v>
      </c>
      <c r="B312" s="1" t="s">
        <v>5</v>
      </c>
      <c r="C312" s="1">
        <v>9</v>
      </c>
      <c r="D312" s="1">
        <v>6</v>
      </c>
      <c r="E312" s="1">
        <v>2</v>
      </c>
      <c r="F312" s="1">
        <f>SUMIF(Scores!$F$2:$F$926, 'Next Gen'!$A312, INDEX(Scores!$I$2:$Q$926, 0, MATCH($B312, Scores!$I$1:$Q$1, 0)))</f>
        <v>3</v>
      </c>
      <c r="G312" s="1">
        <f>INDEX(Scores!$B$2:$B$926, MATCH('Next Gen'!$A312, Scores!$F$2:$F$926, 0))</f>
        <v>256</v>
      </c>
      <c r="H312" s="1" t="str">
        <f>INDEX(Scores!$D$2:$D$926, MATCH('Next Gen'!$A312, Scores!$F$2:$F$926, 0))</f>
        <v>Original</v>
      </c>
      <c r="I312" s="4">
        <f>INDEX(Scores!$E$2:$E$926, MATCH('Next Gen'!$A312, Scores!$F$2:$F$926, 0))</f>
        <v>45887</v>
      </c>
    </row>
    <row r="313" spans="1:9">
      <c r="A313" s="1">
        <v>207</v>
      </c>
      <c r="B313" s="1" t="s">
        <v>4</v>
      </c>
      <c r="C313" s="1">
        <v>9</v>
      </c>
      <c r="D313" s="1">
        <v>8</v>
      </c>
      <c r="E313" s="1">
        <v>5</v>
      </c>
      <c r="F313" s="1">
        <f>SUMIF(Scores!$F$2:$F$926, 'Next Gen'!$A313, INDEX(Scores!$I$2:$Q$926, 0, MATCH($B313, Scores!$I$1:$Q$1, 0)))</f>
        <v>12</v>
      </c>
      <c r="G313" s="1">
        <f>INDEX(Scores!$B$2:$B$926, MATCH('Next Gen'!$A313, Scores!$F$2:$F$926, 0))</f>
        <v>256</v>
      </c>
      <c r="H313" s="1" t="str">
        <f>INDEX(Scores!$D$2:$D$926, MATCH('Next Gen'!$A313, Scores!$F$2:$F$926, 0))</f>
        <v>Original</v>
      </c>
      <c r="I313" s="4">
        <f>INDEX(Scores!$E$2:$E$926, MATCH('Next Gen'!$A313, Scores!$F$2:$F$926, 0))</f>
        <v>45888</v>
      </c>
    </row>
    <row r="314" spans="1:9">
      <c r="A314" s="1">
        <v>207</v>
      </c>
      <c r="B314" s="1" t="s">
        <v>5</v>
      </c>
      <c r="C314" s="1">
        <v>9</v>
      </c>
      <c r="D314" s="1">
        <v>8</v>
      </c>
      <c r="E314" s="1">
        <v>5</v>
      </c>
      <c r="F314" s="1">
        <f>SUMIF(Scores!$F$2:$F$926, 'Next Gen'!$A314, INDEX(Scores!$I$2:$Q$926, 0, MATCH($B314, Scores!$I$1:$Q$1, 0)))</f>
        <v>9</v>
      </c>
      <c r="G314" s="1">
        <f>INDEX(Scores!$B$2:$B$926, MATCH('Next Gen'!$A314, Scores!$F$2:$F$926, 0))</f>
        <v>256</v>
      </c>
      <c r="H314" s="1" t="str">
        <f>INDEX(Scores!$D$2:$D$926, MATCH('Next Gen'!$A314, Scores!$F$2:$F$926, 0))</f>
        <v>Original</v>
      </c>
      <c r="I314" s="4">
        <f>INDEX(Scores!$E$2:$E$926, MATCH('Next Gen'!$A314, Scores!$F$2:$F$926, 0))</f>
        <v>45888</v>
      </c>
    </row>
    <row r="315" spans="1:9">
      <c r="A315" s="1">
        <v>208</v>
      </c>
      <c r="B315" s="1" t="s">
        <v>4</v>
      </c>
      <c r="C315" s="1">
        <v>12</v>
      </c>
      <c r="D315" s="1">
        <v>12</v>
      </c>
      <c r="E315" s="1">
        <v>5</v>
      </c>
      <c r="F315" s="1">
        <f>SUMIF(Scores!$F$2:$F$926, 'Next Gen'!$A315, INDEX(Scores!$I$2:$Q$926, 0, MATCH($B315, Scores!$I$1:$Q$1, 0)))</f>
        <v>10</v>
      </c>
      <c r="G315" s="1">
        <f>INDEX(Scores!$B$2:$B$926, MATCH('Next Gen'!$A315, Scores!$F$2:$F$926, 0))</f>
        <v>256</v>
      </c>
      <c r="H315" s="1" t="str">
        <f>INDEX(Scores!$D$2:$D$926, MATCH('Next Gen'!$A315, Scores!$F$2:$F$926, 0))</f>
        <v>Original</v>
      </c>
      <c r="I315" s="4">
        <f>INDEX(Scores!$E$2:$E$926, MATCH('Next Gen'!$A315, Scores!$F$2:$F$926, 0))</f>
        <v>45889</v>
      </c>
    </row>
    <row r="316" spans="1:9">
      <c r="A316" s="1">
        <v>208</v>
      </c>
      <c r="B316" s="1" t="s">
        <v>5</v>
      </c>
      <c r="C316" s="1">
        <v>12</v>
      </c>
      <c r="D316" s="1">
        <v>8</v>
      </c>
      <c r="E316" s="1">
        <v>8</v>
      </c>
      <c r="F316" s="1">
        <f>SUMIF(Scores!$F$2:$F$926, 'Next Gen'!$A316, INDEX(Scores!$I$2:$Q$926, 0, MATCH($B316, Scores!$I$1:$Q$1, 0)))</f>
        <v>12</v>
      </c>
      <c r="G316" s="1">
        <f>INDEX(Scores!$B$2:$B$926, MATCH('Next Gen'!$A316, Scores!$F$2:$F$926, 0))</f>
        <v>256</v>
      </c>
      <c r="H316" s="1" t="str">
        <f>INDEX(Scores!$D$2:$D$926, MATCH('Next Gen'!$A316, Scores!$F$2:$F$926, 0))</f>
        <v>Original</v>
      </c>
      <c r="I316" s="4">
        <f>INDEX(Scores!$E$2:$E$926, MATCH('Next Gen'!$A316, Scores!$F$2:$F$926, 0))</f>
        <v>45889</v>
      </c>
    </row>
    <row r="317" spans="1:9">
      <c r="A317" s="1">
        <v>209</v>
      </c>
      <c r="B317" s="1" t="s">
        <v>4</v>
      </c>
      <c r="C317" s="1">
        <v>9</v>
      </c>
      <c r="D317" s="1">
        <v>8</v>
      </c>
      <c r="E317" s="1">
        <v>6</v>
      </c>
      <c r="F317" s="1">
        <f>SUMIF(Scores!$F$2:$F$926, 'Next Gen'!$A317, INDEX(Scores!$I$2:$Q$926, 0, MATCH($B317, Scores!$I$1:$Q$1, 0)))</f>
        <v>10</v>
      </c>
      <c r="G317" s="1">
        <f>INDEX(Scores!$B$2:$B$926, MATCH('Next Gen'!$A317, Scores!$F$2:$F$926, 0))</f>
        <v>256</v>
      </c>
      <c r="H317" s="1" t="str">
        <f>INDEX(Scores!$D$2:$D$926, MATCH('Next Gen'!$A317, Scores!$F$2:$F$926, 0))</f>
        <v>Original</v>
      </c>
      <c r="I317" s="4">
        <f>INDEX(Scores!$E$2:$E$926, MATCH('Next Gen'!$A317, Scores!$F$2:$F$926, 0))</f>
        <v>45890</v>
      </c>
    </row>
    <row r="318" spans="1:9">
      <c r="A318" s="1">
        <v>209</v>
      </c>
      <c r="B318" s="1" t="s">
        <v>5</v>
      </c>
      <c r="C318" s="1">
        <v>9</v>
      </c>
      <c r="D318" s="1">
        <v>8</v>
      </c>
      <c r="E318" s="1">
        <v>4</v>
      </c>
      <c r="F318" s="1">
        <f>SUMIF(Scores!$F$2:$F$926, 'Next Gen'!$A318, INDEX(Scores!$I$2:$Q$926, 0, MATCH($B318, Scores!$I$1:$Q$1, 0)))</f>
        <v>9</v>
      </c>
      <c r="G318" s="1">
        <f>INDEX(Scores!$B$2:$B$926, MATCH('Next Gen'!$A318, Scores!$F$2:$F$926, 0))</f>
        <v>256</v>
      </c>
      <c r="H318" s="1" t="str">
        <f>INDEX(Scores!$D$2:$D$926, MATCH('Next Gen'!$A318, Scores!$F$2:$F$926, 0))</f>
        <v>Original</v>
      </c>
      <c r="I318" s="4">
        <f>INDEX(Scores!$E$2:$E$926, MATCH('Next Gen'!$A318, Scores!$F$2:$F$926, 0))</f>
        <v>45890</v>
      </c>
    </row>
    <row r="319" spans="1:9">
      <c r="A319" s="1">
        <v>210</v>
      </c>
      <c r="B319" s="1" t="s">
        <v>4</v>
      </c>
      <c r="C319" s="1">
        <v>9</v>
      </c>
      <c r="D319" s="1">
        <v>9</v>
      </c>
      <c r="E319" s="1">
        <v>5</v>
      </c>
      <c r="F319" s="1">
        <f>SUMIF(Scores!$F$2:$F$926, 'Next Gen'!$A319, INDEX(Scores!$I$2:$Q$926, 0, MATCH($B319, Scores!$I$1:$Q$1, 0)))</f>
        <v>15</v>
      </c>
      <c r="G319" s="1">
        <f>INDEX(Scores!$B$2:$B$926, MATCH('Next Gen'!$A319, Scores!$F$2:$F$926, 0))</f>
        <v>256</v>
      </c>
      <c r="H319" s="1" t="str">
        <f>INDEX(Scores!$D$2:$D$926, MATCH('Next Gen'!$A319, Scores!$F$2:$F$926, 0))</f>
        <v>Original</v>
      </c>
      <c r="I319" s="4">
        <f>INDEX(Scores!$E$2:$E$926, MATCH('Next Gen'!$A319, Scores!$F$2:$F$926, 0))</f>
        <v>45894</v>
      </c>
    </row>
    <row r="320" spans="1:9">
      <c r="A320" s="1">
        <v>210</v>
      </c>
      <c r="B320" s="1" t="s">
        <v>5</v>
      </c>
      <c r="C320" s="1">
        <v>9</v>
      </c>
      <c r="D320" s="1">
        <v>8</v>
      </c>
      <c r="E320" s="1">
        <v>7</v>
      </c>
      <c r="F320" s="1">
        <f>SUMIF(Scores!$F$2:$F$926, 'Next Gen'!$A320, INDEX(Scores!$I$2:$Q$926, 0, MATCH($B320, Scores!$I$1:$Q$1, 0)))</f>
        <v>11</v>
      </c>
      <c r="G320" s="1">
        <f>INDEX(Scores!$B$2:$B$926, MATCH('Next Gen'!$A320, Scores!$F$2:$F$926, 0))</f>
        <v>256</v>
      </c>
      <c r="H320" s="1" t="str">
        <f>INDEX(Scores!$D$2:$D$926, MATCH('Next Gen'!$A320, Scores!$F$2:$F$926, 0))</f>
        <v>Original</v>
      </c>
      <c r="I320" s="4">
        <f>INDEX(Scores!$E$2:$E$926, MATCH('Next Gen'!$A320, Scores!$F$2:$F$926, 0))</f>
        <v>45894</v>
      </c>
    </row>
    <row r="321" spans="1:9">
      <c r="A321" s="1">
        <v>211</v>
      </c>
      <c r="B321" s="1" t="s">
        <v>4</v>
      </c>
      <c r="C321" s="1">
        <v>9</v>
      </c>
      <c r="D321" s="1">
        <v>9</v>
      </c>
      <c r="E321" s="1">
        <v>7</v>
      </c>
      <c r="F321" s="1">
        <f>SUMIF(Scores!$F$2:$F$926, 'Next Gen'!$A321, INDEX(Scores!$I$2:$Q$926, 0, MATCH($B321, Scores!$I$1:$Q$1, 0)))</f>
        <v>17</v>
      </c>
      <c r="G321" s="1">
        <f>INDEX(Scores!$B$2:$B$926, MATCH('Next Gen'!$A321, Scores!$F$2:$F$926, 0))</f>
        <v>256</v>
      </c>
      <c r="H321" s="1" t="str">
        <f>INDEX(Scores!$D$2:$D$926, MATCH('Next Gen'!$A321, Scores!$F$2:$F$926, 0))</f>
        <v>Original</v>
      </c>
      <c r="I321" s="4">
        <f>INDEX(Scores!$E$2:$E$926, MATCH('Next Gen'!$A321, Scores!$F$2:$F$926, 0))</f>
        <v>45896</v>
      </c>
    </row>
    <row r="322" spans="1:9">
      <c r="A322" s="1">
        <v>211</v>
      </c>
      <c r="B322" s="1" t="s">
        <v>5</v>
      </c>
      <c r="C322" s="1">
        <v>9</v>
      </c>
      <c r="D322" s="1">
        <v>8</v>
      </c>
      <c r="E322" s="1">
        <v>7</v>
      </c>
      <c r="F322" s="1">
        <f>SUMIF(Scores!$F$2:$F$926, 'Next Gen'!$A322, INDEX(Scores!$I$2:$Q$926, 0, MATCH($B322, Scores!$I$1:$Q$1, 0)))</f>
        <v>11</v>
      </c>
      <c r="G322" s="1">
        <f>INDEX(Scores!$B$2:$B$926, MATCH('Next Gen'!$A322, Scores!$F$2:$F$926, 0))</f>
        <v>256</v>
      </c>
      <c r="H322" s="1" t="str">
        <f>INDEX(Scores!$D$2:$D$926, MATCH('Next Gen'!$A322, Scores!$F$2:$F$926, 0))</f>
        <v>Original</v>
      </c>
      <c r="I322" s="4">
        <f>INDEX(Scores!$E$2:$E$926, MATCH('Next Gen'!$A322, Scores!$F$2:$F$926, 0))</f>
        <v>45896</v>
      </c>
    </row>
    <row r="323" spans="1:9">
      <c r="A323" s="1">
        <v>211</v>
      </c>
      <c r="B323" s="1" t="s">
        <v>23</v>
      </c>
      <c r="C323" s="1">
        <v>9</v>
      </c>
      <c r="D323" s="1">
        <v>4</v>
      </c>
      <c r="E323" s="1">
        <v>4</v>
      </c>
      <c r="F323" s="1">
        <f>SUMIF(Scores!$F$2:$F$926, 'Next Gen'!$A323, INDEX(Scores!$I$2:$Q$926, 0, MATCH($B323, Scores!$I$1:$Q$1, 0)))</f>
        <v>10</v>
      </c>
      <c r="G323" s="1">
        <f>INDEX(Scores!$B$2:$B$926, MATCH('Next Gen'!$A323, Scores!$F$2:$F$926, 0))</f>
        <v>256</v>
      </c>
      <c r="H323" s="1" t="str">
        <f>INDEX(Scores!$D$2:$D$926, MATCH('Next Gen'!$A323, Scores!$F$2:$F$926, 0))</f>
        <v>Original</v>
      </c>
      <c r="I323" s="4">
        <f>INDEX(Scores!$E$2:$E$926, MATCH('Next Gen'!$A323, Scores!$F$2:$F$926, 0))</f>
        <v>45896</v>
      </c>
    </row>
    <row r="324" spans="1:9">
      <c r="A324" s="1">
        <v>212</v>
      </c>
      <c r="B324" s="1" t="s">
        <v>4</v>
      </c>
      <c r="C324" s="1">
        <v>9</v>
      </c>
      <c r="D324" s="1">
        <v>9</v>
      </c>
      <c r="E324" s="1">
        <v>7</v>
      </c>
      <c r="F324" s="1">
        <f>SUMIF(Scores!$F$2:$F$926, 'Next Gen'!$A324, INDEX(Scores!$I$2:$Q$926, 0, MATCH($B324, Scores!$I$1:$Q$1, 0)))</f>
        <v>15</v>
      </c>
      <c r="G324" s="1">
        <f>INDEX(Scores!$B$2:$B$926, MATCH('Next Gen'!$A324, Scores!$F$2:$F$926, 0))</f>
        <v>256</v>
      </c>
      <c r="H324" s="1" t="str">
        <f>INDEX(Scores!$D$2:$D$926, MATCH('Next Gen'!$A324, Scores!$F$2:$F$926, 0))</f>
        <v>Original</v>
      </c>
      <c r="I324" s="4">
        <f>INDEX(Scores!$E$2:$E$926, MATCH('Next Gen'!$A324, Scores!$F$2:$F$926, 0))</f>
        <v>45897</v>
      </c>
    </row>
    <row r="325" spans="1:9">
      <c r="A325" s="1">
        <v>212</v>
      </c>
      <c r="B325" s="1" t="s">
        <v>5</v>
      </c>
      <c r="C325" s="1">
        <v>9</v>
      </c>
      <c r="D325" s="1">
        <v>8</v>
      </c>
      <c r="E325" s="1">
        <v>7</v>
      </c>
      <c r="F325" s="1">
        <f>SUMIF(Scores!$F$2:$F$926, 'Next Gen'!$A325, INDEX(Scores!$I$2:$Q$926, 0, MATCH($B325, Scores!$I$1:$Q$1, 0)))</f>
        <v>9</v>
      </c>
      <c r="G325" s="1">
        <f>INDEX(Scores!$B$2:$B$926, MATCH('Next Gen'!$A325, Scores!$F$2:$F$926, 0))</f>
        <v>256</v>
      </c>
      <c r="H325" s="1" t="str">
        <f>INDEX(Scores!$D$2:$D$926, MATCH('Next Gen'!$A325, Scores!$F$2:$F$926, 0))</f>
        <v>Original</v>
      </c>
      <c r="I325" s="4">
        <f>INDEX(Scores!$E$2:$E$926, MATCH('Next Gen'!$A325, Scores!$F$2:$F$926, 0))</f>
        <v>45897</v>
      </c>
    </row>
    <row r="326" spans="1:9">
      <c r="A326" s="1">
        <v>213</v>
      </c>
      <c r="B326" s="1" t="s">
        <v>4</v>
      </c>
      <c r="C326" s="1">
        <v>9</v>
      </c>
      <c r="D326" s="1">
        <v>9</v>
      </c>
      <c r="E326" s="1">
        <v>6</v>
      </c>
      <c r="F326" s="1">
        <f>SUMIF(Scores!$F$2:$F$926, 'Next Gen'!$A326, INDEX(Scores!$I$2:$Q$926, 0, MATCH($B326, Scores!$I$1:$Q$1, 0)))</f>
        <v>14</v>
      </c>
      <c r="G326" s="1">
        <f>INDEX(Scores!$B$2:$B$926, MATCH('Next Gen'!$A326, Scores!$F$2:$F$926, 0))</f>
        <v>256</v>
      </c>
      <c r="H326" s="1" t="str">
        <f>INDEX(Scores!$D$2:$D$926, MATCH('Next Gen'!$A326, Scores!$F$2:$F$926, 0))</f>
        <v>Original</v>
      </c>
      <c r="I326" s="4">
        <f>INDEX(Scores!$E$2:$E$926, MATCH('Next Gen'!$A326, Scores!$F$2:$F$926, 0))</f>
        <v>45898</v>
      </c>
    </row>
    <row r="327" spans="1:9">
      <c r="A327" s="1">
        <v>213</v>
      </c>
      <c r="B327" s="1" t="s">
        <v>5</v>
      </c>
      <c r="C327" s="1">
        <v>9</v>
      </c>
      <c r="D327" s="1">
        <v>7</v>
      </c>
      <c r="E327" s="1">
        <v>5</v>
      </c>
      <c r="F327" s="1">
        <f>SUMIF(Scores!$F$2:$F$926, 'Next Gen'!$A327, INDEX(Scores!$I$2:$Q$926, 0, MATCH($B327, Scores!$I$1:$Q$1, 0)))</f>
        <v>9</v>
      </c>
      <c r="G327" s="1">
        <f>INDEX(Scores!$B$2:$B$926, MATCH('Next Gen'!$A327, Scores!$F$2:$F$926, 0))</f>
        <v>256</v>
      </c>
      <c r="H327" s="1" t="str">
        <f>INDEX(Scores!$D$2:$D$926, MATCH('Next Gen'!$A327, Scores!$F$2:$F$926, 0))</f>
        <v>Original</v>
      </c>
      <c r="I327" s="4">
        <f>INDEX(Scores!$E$2:$E$926, MATCH('Next Gen'!$A327, Scores!$F$2:$F$926, 0))</f>
        <v>45898</v>
      </c>
    </row>
    <row r="328" spans="1:9">
      <c r="A328" s="1">
        <v>213</v>
      </c>
      <c r="B328" s="1" t="s">
        <v>6</v>
      </c>
      <c r="C328" s="1">
        <v>9</v>
      </c>
      <c r="D328" s="1">
        <v>5</v>
      </c>
      <c r="E328" s="1">
        <v>4</v>
      </c>
      <c r="F328" s="1">
        <f>SUMIF(Scores!$F$2:$F$926, 'Next Gen'!$A328, INDEX(Scores!$I$2:$Q$926, 0, MATCH($B328, Scores!$I$1:$Q$1, 0)))</f>
        <v>8</v>
      </c>
      <c r="G328" s="1">
        <f>INDEX(Scores!$B$2:$B$926, MATCH('Next Gen'!$A328, Scores!$F$2:$F$926, 0))</f>
        <v>256</v>
      </c>
      <c r="H328" s="1" t="str">
        <f>INDEX(Scores!$D$2:$D$926, MATCH('Next Gen'!$A328, Scores!$F$2:$F$926, 0))</f>
        <v>Original</v>
      </c>
      <c r="I328" s="4">
        <f>INDEX(Scores!$E$2:$E$926, MATCH('Next Gen'!$A328, Scores!$F$2:$F$926, 0))</f>
        <v>45898</v>
      </c>
    </row>
    <row r="329" spans="1:9">
      <c r="A329" s="1">
        <v>214</v>
      </c>
      <c r="B329" s="1" t="s">
        <v>4</v>
      </c>
      <c r="C329" s="1">
        <v>9</v>
      </c>
      <c r="D329" s="1">
        <v>9</v>
      </c>
      <c r="E329" s="1">
        <v>4</v>
      </c>
      <c r="F329" s="1">
        <f>SUMIF(Scores!$F$2:$F$926, 'Next Gen'!$A329, INDEX(Scores!$I$2:$Q$926, 0, MATCH($B329, Scores!$I$1:$Q$1, 0)))</f>
        <v>8</v>
      </c>
      <c r="G329" s="1">
        <f>INDEX(Scores!$B$2:$B$926, MATCH('Next Gen'!$A329, Scores!$F$2:$F$926, 0))</f>
        <v>256</v>
      </c>
      <c r="H329" s="1" t="str">
        <f>INDEX(Scores!$D$2:$D$926, MATCH('Next Gen'!$A329, Scores!$F$2:$F$926, 0))</f>
        <v>Original</v>
      </c>
      <c r="I329" s="4">
        <f>INDEX(Scores!$E$2:$E$926, MATCH('Next Gen'!$A329, Scores!$F$2:$F$926, 0))</f>
        <v>45902</v>
      </c>
    </row>
    <row r="330" spans="1:9">
      <c r="A330" s="1">
        <v>214</v>
      </c>
      <c r="B330" s="1" t="s">
        <v>5</v>
      </c>
      <c r="C330" s="1">
        <v>9</v>
      </c>
      <c r="D330" s="1">
        <v>8</v>
      </c>
      <c r="E330" s="1">
        <v>6</v>
      </c>
      <c r="F330" s="1">
        <f>SUMIF(Scores!$F$2:$F$926, 'Next Gen'!$A330, INDEX(Scores!$I$2:$Q$926, 0, MATCH($B330, Scores!$I$1:$Q$1, 0)))</f>
        <v>9</v>
      </c>
      <c r="G330" s="1">
        <f>INDEX(Scores!$B$2:$B$926, MATCH('Next Gen'!$A330, Scores!$F$2:$F$926, 0))</f>
        <v>256</v>
      </c>
      <c r="H330" s="1" t="str">
        <f>INDEX(Scores!$D$2:$D$926, MATCH('Next Gen'!$A330, Scores!$F$2:$F$926, 0))</f>
        <v>Original</v>
      </c>
      <c r="I330" s="4">
        <f>INDEX(Scores!$E$2:$E$926, MATCH('Next Gen'!$A330, Scores!$F$2:$F$926, 0))</f>
        <v>45902</v>
      </c>
    </row>
    <row r="331" spans="1:9">
      <c r="A331" s="1">
        <v>215</v>
      </c>
      <c r="B331" s="1" t="s">
        <v>4</v>
      </c>
      <c r="C331" s="1">
        <v>9</v>
      </c>
      <c r="D331" s="1">
        <v>9</v>
      </c>
      <c r="E331" s="1">
        <v>6</v>
      </c>
      <c r="F331" s="1">
        <f>SUMIF(Scores!$F$2:$F$926, 'Next Gen'!$A331, INDEX(Scores!$I$2:$Q$926, 0, MATCH($B331, Scores!$I$1:$Q$1, 0)))</f>
        <v>14</v>
      </c>
      <c r="G331" s="1">
        <f>INDEX(Scores!$B$2:$B$926, MATCH('Next Gen'!$A331, Scores!$F$2:$F$926, 0))</f>
        <v>256</v>
      </c>
      <c r="H331" s="1" t="str">
        <f>INDEX(Scores!$D$2:$D$926, MATCH('Next Gen'!$A331, Scores!$F$2:$F$926, 0))</f>
        <v>Original</v>
      </c>
      <c r="I331" s="4">
        <f>INDEX(Scores!$E$2:$E$926, MATCH('Next Gen'!$A331, Scores!$F$2:$F$926, 0))</f>
        <v>45903</v>
      </c>
    </row>
    <row r="332" spans="1:9">
      <c r="A332" s="1">
        <v>215</v>
      </c>
      <c r="B332" s="1" t="s">
        <v>5</v>
      </c>
      <c r="C332" s="1">
        <v>9</v>
      </c>
      <c r="D332" s="1">
        <v>6</v>
      </c>
      <c r="E332" s="1">
        <v>5</v>
      </c>
      <c r="F332" s="1">
        <f>SUMIF(Scores!$F$2:$F$926, 'Next Gen'!$A332, INDEX(Scores!$I$2:$Q$926, 0, MATCH($B332, Scores!$I$1:$Q$1, 0)))</f>
        <v>8</v>
      </c>
      <c r="G332" s="1">
        <f>INDEX(Scores!$B$2:$B$926, MATCH('Next Gen'!$A332, Scores!$F$2:$F$926, 0))</f>
        <v>256</v>
      </c>
      <c r="H332" s="1" t="str">
        <f>INDEX(Scores!$D$2:$D$926, MATCH('Next Gen'!$A332, Scores!$F$2:$F$926, 0))</f>
        <v>Original</v>
      </c>
      <c r="I332" s="4">
        <f>INDEX(Scores!$E$2:$E$926, MATCH('Next Gen'!$A332, Scores!$F$2:$F$926, 0))</f>
        <v>45903</v>
      </c>
    </row>
    <row r="333" spans="1:9">
      <c r="A333" s="1">
        <v>216</v>
      </c>
      <c r="B333" s="1" t="s">
        <v>4</v>
      </c>
      <c r="C333" s="1">
        <v>9</v>
      </c>
      <c r="D333" s="1">
        <v>9</v>
      </c>
      <c r="E333" s="1">
        <v>7</v>
      </c>
      <c r="F333" s="1">
        <f>SUMIF(Scores!$F$2:$F$926, 'Next Gen'!$A333, INDEX(Scores!$I$2:$Q$926, 0, MATCH($B333, Scores!$I$1:$Q$1, 0)))</f>
        <v>17</v>
      </c>
      <c r="G333" s="1">
        <f>INDEX(Scores!$B$2:$B$926, MATCH('Next Gen'!$A333, Scores!$F$2:$F$926, 0))</f>
        <v>256</v>
      </c>
      <c r="H333" s="1" t="str">
        <f>INDEX(Scores!$D$2:$D$926, MATCH('Next Gen'!$A333, Scores!$F$2:$F$926, 0))</f>
        <v>Original</v>
      </c>
      <c r="I333" s="4">
        <f>INDEX(Scores!$E$2:$E$926, MATCH('Next Gen'!$A333, Scores!$F$2:$F$926, 0))</f>
        <v>45904</v>
      </c>
    </row>
    <row r="334" spans="1:9">
      <c r="A334" s="1">
        <v>216</v>
      </c>
      <c r="B334" s="1" t="s">
        <v>5</v>
      </c>
      <c r="C334" s="1">
        <v>9</v>
      </c>
      <c r="D334" s="1">
        <v>9</v>
      </c>
      <c r="E334" s="1">
        <v>5</v>
      </c>
      <c r="F334" s="1">
        <f>SUMIF(Scores!$F$2:$F$926, 'Next Gen'!$A334, INDEX(Scores!$I$2:$Q$926, 0, MATCH($B334, Scores!$I$1:$Q$1, 0)))</f>
        <v>10</v>
      </c>
      <c r="G334" s="1">
        <f>INDEX(Scores!$B$2:$B$926, MATCH('Next Gen'!$A334, Scores!$F$2:$F$926, 0))</f>
        <v>256</v>
      </c>
      <c r="H334" s="1" t="str">
        <f>INDEX(Scores!$D$2:$D$926, MATCH('Next Gen'!$A334, Scores!$F$2:$F$926, 0))</f>
        <v>Original</v>
      </c>
      <c r="I334" s="4">
        <f>INDEX(Scores!$E$2:$E$926, MATCH('Next Gen'!$A334, Scores!$F$2:$F$926, 0))</f>
        <v>45904</v>
      </c>
    </row>
    <row r="335" spans="1:9">
      <c r="A335" s="1">
        <v>217</v>
      </c>
      <c r="B335" s="1" t="s">
        <v>4</v>
      </c>
      <c r="C335" s="1">
        <v>9</v>
      </c>
      <c r="D335" s="1">
        <v>9</v>
      </c>
      <c r="E335" s="1">
        <v>6</v>
      </c>
      <c r="F335" s="1">
        <f>SUMIF(Scores!$F$2:$F$926, 'Next Gen'!$A335, INDEX(Scores!$I$2:$Q$926, 0, MATCH($B335, Scores!$I$1:$Q$1, 0)))</f>
        <v>12</v>
      </c>
      <c r="G335" s="1">
        <f>INDEX(Scores!$B$2:$B$926, MATCH('Next Gen'!$A335, Scores!$F$2:$F$926, 0))</f>
        <v>256</v>
      </c>
      <c r="H335" s="1" t="str">
        <f>INDEX(Scores!$D$2:$D$926, MATCH('Next Gen'!$A335, Scores!$F$2:$F$926, 0))</f>
        <v>Original</v>
      </c>
      <c r="I335" s="4">
        <f>INDEX(Scores!$E$2:$E$926, MATCH('Next Gen'!$A335, Scores!$F$2:$F$926, 0))</f>
        <v>45910</v>
      </c>
    </row>
    <row r="336" spans="1:9">
      <c r="A336" s="1">
        <v>217</v>
      </c>
      <c r="B336" s="1" t="s">
        <v>5</v>
      </c>
      <c r="C336" s="1">
        <v>9</v>
      </c>
      <c r="D336" s="1">
        <v>7</v>
      </c>
      <c r="E336" s="1">
        <v>5</v>
      </c>
      <c r="F336" s="1">
        <f>SUMIF(Scores!$F$2:$F$926, 'Next Gen'!$A336, INDEX(Scores!$I$2:$Q$926, 0, MATCH($B336, Scores!$I$1:$Q$1, 0)))</f>
        <v>6</v>
      </c>
      <c r="G336" s="1">
        <f>INDEX(Scores!$B$2:$B$926, MATCH('Next Gen'!$A336, Scores!$F$2:$F$926, 0))</f>
        <v>256</v>
      </c>
      <c r="H336" s="1" t="str">
        <f>INDEX(Scores!$D$2:$D$926, MATCH('Next Gen'!$A336, Scores!$F$2:$F$926, 0))</f>
        <v>Original</v>
      </c>
      <c r="I336" s="4">
        <f>INDEX(Scores!$E$2:$E$926, MATCH('Next Gen'!$A336, Scores!$F$2:$F$926, 0))</f>
        <v>45910</v>
      </c>
    </row>
    <row r="337" spans="1:9">
      <c r="A337" s="1">
        <v>218</v>
      </c>
      <c r="B337" s="1" t="s">
        <v>4</v>
      </c>
      <c r="C337" s="1">
        <v>9</v>
      </c>
      <c r="D337" s="1">
        <v>9</v>
      </c>
      <c r="E337" s="1">
        <v>4</v>
      </c>
      <c r="F337" s="1">
        <f>SUMIF(Scores!$F$2:$F$926, 'Next Gen'!$A337, INDEX(Scores!$I$2:$Q$926, 0, MATCH($B337, Scores!$I$1:$Q$1, 0)))</f>
        <v>8</v>
      </c>
      <c r="G337" s="1">
        <f>INDEX(Scores!$B$2:$B$926, MATCH('Next Gen'!$A337, Scores!$F$2:$F$926, 0))</f>
        <v>256</v>
      </c>
      <c r="H337" s="1" t="str">
        <f>INDEX(Scores!$D$2:$D$926, MATCH('Next Gen'!$A337, Scores!$F$2:$F$926, 0))</f>
        <v>Original</v>
      </c>
      <c r="I337" s="4">
        <f>INDEX(Scores!$E$2:$E$926, MATCH('Next Gen'!$A337, Scores!$F$2:$F$926, 0))</f>
        <v>45911</v>
      </c>
    </row>
    <row r="338" spans="1:9">
      <c r="A338" s="1">
        <v>218</v>
      </c>
      <c r="B338" s="1" t="s">
        <v>5</v>
      </c>
      <c r="C338" s="1">
        <v>9</v>
      </c>
      <c r="D338" s="1">
        <v>7</v>
      </c>
      <c r="E338" s="1">
        <v>6</v>
      </c>
      <c r="F338" s="1">
        <f>SUMIF(Scores!$F$2:$F$926, 'Next Gen'!$A338, INDEX(Scores!$I$2:$Q$926, 0, MATCH($B338, Scores!$I$1:$Q$1, 0)))</f>
        <v>10</v>
      </c>
      <c r="G338" s="1">
        <f>INDEX(Scores!$B$2:$B$926, MATCH('Next Gen'!$A338, Scores!$F$2:$F$926, 0))</f>
        <v>256</v>
      </c>
      <c r="H338" s="1" t="str">
        <f>INDEX(Scores!$D$2:$D$926, MATCH('Next Gen'!$A338, Scores!$F$2:$F$926, 0))</f>
        <v>Original</v>
      </c>
      <c r="I338" s="4">
        <f>INDEX(Scores!$E$2:$E$926, MATCH('Next Gen'!$A338, Scores!$F$2:$F$926, 0))</f>
        <v>45911</v>
      </c>
    </row>
    <row r="339" spans="1:9">
      <c r="A339" s="1">
        <v>219</v>
      </c>
      <c r="B339" s="1" t="s">
        <v>4</v>
      </c>
      <c r="C339" s="1">
        <v>9</v>
      </c>
      <c r="D339" s="1">
        <v>9</v>
      </c>
      <c r="E339" s="1">
        <v>7</v>
      </c>
      <c r="F339" s="1">
        <f>SUMIF(Scores!$F$2:$F$926, 'Next Gen'!$A339, INDEX(Scores!$I$2:$Q$926, 0, MATCH($B339, Scores!$I$1:$Q$1, 0)))</f>
        <v>16</v>
      </c>
      <c r="G339" s="1">
        <f>INDEX(Scores!$B$2:$B$926, MATCH('Next Gen'!$A339, Scores!$F$2:$F$926, 0))</f>
        <v>256</v>
      </c>
      <c r="H339" s="1" t="str">
        <f>INDEX(Scores!$D$2:$D$926, MATCH('Next Gen'!$A339, Scores!$F$2:$F$926, 0))</f>
        <v>Original</v>
      </c>
      <c r="I339" s="4">
        <f>INDEX(Scores!$E$2:$E$926, MATCH('Next Gen'!$A339, Scores!$F$2:$F$926, 0))</f>
        <v>45915</v>
      </c>
    </row>
    <row r="340" spans="1:9">
      <c r="A340" s="1">
        <v>219</v>
      </c>
      <c r="B340" s="1" t="s">
        <v>5</v>
      </c>
      <c r="C340" s="1">
        <v>9</v>
      </c>
      <c r="D340" s="1">
        <v>8</v>
      </c>
      <c r="E340" s="1">
        <v>7</v>
      </c>
      <c r="F340" s="1">
        <f>SUMIF(Scores!$F$2:$F$926, 'Next Gen'!$A340, INDEX(Scores!$I$2:$Q$926, 0, MATCH($B340, Scores!$I$1:$Q$1, 0)))</f>
        <v>10</v>
      </c>
      <c r="G340" s="1">
        <f>INDEX(Scores!$B$2:$B$926, MATCH('Next Gen'!$A340, Scores!$F$2:$F$926, 0))</f>
        <v>256</v>
      </c>
      <c r="H340" s="1" t="str">
        <f>INDEX(Scores!$D$2:$D$926, MATCH('Next Gen'!$A340, Scores!$F$2:$F$926, 0))</f>
        <v>Original</v>
      </c>
      <c r="I340" s="4">
        <f>INDEX(Scores!$E$2:$E$926, MATCH('Next Gen'!$A340, Scores!$F$2:$F$926, 0))</f>
        <v>45915</v>
      </c>
    </row>
    <row r="341" spans="1:9">
      <c r="A341" s="1">
        <v>220</v>
      </c>
      <c r="B341" s="1" t="s">
        <v>4</v>
      </c>
      <c r="C341" s="1">
        <v>9</v>
      </c>
      <c r="D341" s="1">
        <v>9</v>
      </c>
      <c r="E341" s="1">
        <v>4</v>
      </c>
      <c r="F341" s="1">
        <f>SUMIF(Scores!$F$2:$F$926, 'Next Gen'!$A341, INDEX(Scores!$I$2:$Q$926, 0, MATCH($B341, Scores!$I$1:$Q$1, 0)))</f>
        <v>8</v>
      </c>
      <c r="G341" s="1">
        <f>INDEX(Scores!$B$2:$B$926, MATCH('Next Gen'!$A341, Scores!$F$2:$F$926, 0))</f>
        <v>256</v>
      </c>
      <c r="H341" s="1" t="str">
        <f>INDEX(Scores!$D$2:$D$926, MATCH('Next Gen'!$A341, Scores!$F$2:$F$926, 0))</f>
        <v>Original</v>
      </c>
      <c r="I341" s="4">
        <f>INDEX(Scores!$E$2:$E$926, MATCH('Next Gen'!$A341, Scores!$F$2:$F$926, 0))</f>
        <v>45916</v>
      </c>
    </row>
    <row r="342" spans="1:9">
      <c r="A342" s="1">
        <v>220</v>
      </c>
      <c r="B342" s="1" t="s">
        <v>5</v>
      </c>
      <c r="C342" s="1">
        <v>9</v>
      </c>
      <c r="D342" s="1">
        <v>7</v>
      </c>
      <c r="E342" s="1">
        <v>5</v>
      </c>
      <c r="F342" s="1">
        <f>SUMIF(Scores!$F$2:$F$926, 'Next Gen'!$A342, INDEX(Scores!$I$2:$Q$926, 0, MATCH($B342, Scores!$I$1:$Q$1, 0)))</f>
        <v>10</v>
      </c>
      <c r="G342" s="1">
        <f>INDEX(Scores!$B$2:$B$926, MATCH('Next Gen'!$A342, Scores!$F$2:$F$926, 0))</f>
        <v>256</v>
      </c>
      <c r="H342" s="1" t="str">
        <f>INDEX(Scores!$D$2:$D$926, MATCH('Next Gen'!$A342, Scores!$F$2:$F$926, 0))</f>
        <v>Original</v>
      </c>
      <c r="I342" s="4">
        <f>INDEX(Scores!$E$2:$E$926, MATCH('Next Gen'!$A342, Scores!$F$2:$F$926, 0))</f>
        <v>45916</v>
      </c>
    </row>
    <row r="343" spans="1:9">
      <c r="A343" s="1">
        <v>221</v>
      </c>
      <c r="B343" s="1" t="s">
        <v>4</v>
      </c>
      <c r="C343" s="1">
        <v>9</v>
      </c>
      <c r="D343" s="1">
        <v>8</v>
      </c>
      <c r="E343" s="1">
        <v>6</v>
      </c>
      <c r="F343" s="1">
        <f>SUMIF(Scores!$F$2:$F$926, 'Next Gen'!$A343, INDEX(Scores!$I$2:$Q$926, 0, MATCH($B343, Scores!$I$1:$Q$1, 0)))</f>
        <v>8</v>
      </c>
      <c r="G343" s="1">
        <f>INDEX(Scores!$B$2:$B$926, MATCH('Next Gen'!$A343, Scores!$F$2:$F$926, 0))</f>
        <v>256</v>
      </c>
      <c r="H343" s="1" t="str">
        <f>INDEX(Scores!$D$2:$D$926, MATCH('Next Gen'!$A343, Scores!$F$2:$F$926, 0))</f>
        <v>Original</v>
      </c>
      <c r="I343" s="4">
        <f>INDEX(Scores!$E$2:$E$926, MATCH('Next Gen'!$A343, Scores!$F$2:$F$926, 0))</f>
        <v>45917</v>
      </c>
    </row>
    <row r="344" spans="1:9">
      <c r="A344" s="1">
        <v>221</v>
      </c>
      <c r="B344" s="1" t="s">
        <v>5</v>
      </c>
      <c r="C344" s="1">
        <v>9</v>
      </c>
      <c r="D344" s="1">
        <v>7</v>
      </c>
      <c r="E344" s="1">
        <v>4</v>
      </c>
      <c r="F344" s="1">
        <f>SUMIF(Scores!$F$2:$F$926, 'Next Gen'!$A344, INDEX(Scores!$I$2:$Q$926, 0, MATCH($B344, Scores!$I$1:$Q$1, 0)))</f>
        <v>6</v>
      </c>
      <c r="G344" s="1">
        <f>INDEX(Scores!$B$2:$B$926, MATCH('Next Gen'!$A344, Scores!$F$2:$F$926, 0))</f>
        <v>256</v>
      </c>
      <c r="H344" s="1" t="str">
        <f>INDEX(Scores!$D$2:$D$926, MATCH('Next Gen'!$A344, Scores!$F$2:$F$926, 0))</f>
        <v>Original</v>
      </c>
      <c r="I344" s="4">
        <f>INDEX(Scores!$E$2:$E$926, MATCH('Next Gen'!$A344, Scores!$F$2:$F$926, 0))</f>
        <v>45917</v>
      </c>
    </row>
    <row r="345" spans="1:9">
      <c r="A345" s="1">
        <v>222</v>
      </c>
      <c r="B345" s="1" t="s">
        <v>4</v>
      </c>
      <c r="C345" s="1">
        <v>9</v>
      </c>
      <c r="D345" s="1">
        <v>9</v>
      </c>
      <c r="E345" s="1">
        <v>9</v>
      </c>
      <c r="F345" s="1">
        <f>SUMIF(Scores!$F$2:$F$926, 'Next Gen'!$A345, INDEX(Scores!$I$2:$Q$926, 0, MATCH($B345, Scores!$I$1:$Q$1, 0)))</f>
        <v>14</v>
      </c>
      <c r="G345" s="1">
        <f>INDEX(Scores!$B$2:$B$926, MATCH('Next Gen'!$A345, Scores!$F$2:$F$926, 0))</f>
        <v>256</v>
      </c>
      <c r="H345" s="1" t="str">
        <f>INDEX(Scores!$D$2:$D$926, MATCH('Next Gen'!$A345, Scores!$F$2:$F$926, 0))</f>
        <v>Original</v>
      </c>
      <c r="I345" s="4">
        <f>INDEX(Scores!$E$2:$E$926, MATCH('Next Gen'!$A345, Scores!$F$2:$F$926, 0))</f>
        <v>45918</v>
      </c>
    </row>
    <row r="346" spans="1:9">
      <c r="A346" s="1">
        <v>222</v>
      </c>
      <c r="B346" s="1" t="s">
        <v>5</v>
      </c>
      <c r="C346" s="1">
        <v>9</v>
      </c>
      <c r="D346" s="1">
        <v>7</v>
      </c>
      <c r="E346" s="1">
        <v>7</v>
      </c>
      <c r="F346" s="1">
        <f>SUMIF(Scores!$F$2:$F$926, 'Next Gen'!$A346, INDEX(Scores!$I$2:$Q$926, 0, MATCH($B346, Scores!$I$1:$Q$1, 0)))</f>
        <v>12</v>
      </c>
      <c r="G346" s="1">
        <f>INDEX(Scores!$B$2:$B$926, MATCH('Next Gen'!$A346, Scores!$F$2:$F$926, 0))</f>
        <v>256</v>
      </c>
      <c r="H346" s="1" t="str">
        <f>INDEX(Scores!$D$2:$D$926, MATCH('Next Gen'!$A346, Scores!$F$2:$F$926, 0))</f>
        <v>Original</v>
      </c>
      <c r="I346" s="4">
        <f>INDEX(Scores!$E$2:$E$926, MATCH('Next Gen'!$A346, Scores!$F$2:$F$926, 0))</f>
        <v>45918</v>
      </c>
    </row>
    <row r="347" spans="1:9">
      <c r="A347" s="1">
        <v>223</v>
      </c>
      <c r="B347" s="1" t="s">
        <v>4</v>
      </c>
      <c r="C347" s="1">
        <v>9</v>
      </c>
      <c r="D347" s="1">
        <v>9</v>
      </c>
      <c r="E347" s="1">
        <v>5</v>
      </c>
      <c r="F347" s="1">
        <f>SUMIF(Scores!$F$2:$F$926, 'Next Gen'!$A347, INDEX(Scores!$I$2:$Q$926, 0, MATCH($B347, Scores!$I$1:$Q$1, 0)))</f>
        <v>12</v>
      </c>
      <c r="G347" s="1">
        <f>INDEX(Scores!$B$2:$B$926, MATCH('Next Gen'!$A347, Scores!$F$2:$F$926, 0))</f>
        <v>256</v>
      </c>
      <c r="H347" s="1" t="str">
        <f>INDEX(Scores!$D$2:$D$926, MATCH('Next Gen'!$A347, Scores!$F$2:$F$926, 0))</f>
        <v>Original</v>
      </c>
      <c r="I347" s="4">
        <f>INDEX(Scores!$E$2:$E$926, MATCH('Next Gen'!$A347, Scores!$F$2:$F$926, 0))</f>
        <v>45919</v>
      </c>
    </row>
    <row r="348" spans="1:9">
      <c r="A348" s="1">
        <v>223</v>
      </c>
      <c r="B348" s="1" t="s">
        <v>5</v>
      </c>
      <c r="C348" s="1">
        <v>9</v>
      </c>
      <c r="D348" s="1">
        <v>8</v>
      </c>
      <c r="E348" s="1">
        <v>4</v>
      </c>
      <c r="F348" s="1">
        <f>SUMIF(Scores!$F$2:$F$926, 'Next Gen'!$A348, INDEX(Scores!$I$2:$Q$926, 0, MATCH($B348, Scores!$I$1:$Q$1, 0)))</f>
        <v>11</v>
      </c>
      <c r="G348" s="1">
        <f>INDEX(Scores!$B$2:$B$926, MATCH('Next Gen'!$A348, Scores!$F$2:$F$926, 0))</f>
        <v>256</v>
      </c>
      <c r="H348" s="1" t="str">
        <f>INDEX(Scores!$D$2:$D$926, MATCH('Next Gen'!$A348, Scores!$F$2:$F$926, 0))</f>
        <v>Original</v>
      </c>
      <c r="I348" s="4">
        <f>INDEX(Scores!$E$2:$E$926, MATCH('Next Gen'!$A348, Scores!$F$2:$F$926, 0))</f>
        <v>45919</v>
      </c>
    </row>
    <row r="349" spans="1:9">
      <c r="A349" s="1">
        <v>224</v>
      </c>
      <c r="B349" s="1" t="s">
        <v>4</v>
      </c>
      <c r="C349" s="1">
        <v>9</v>
      </c>
      <c r="D349" s="1">
        <v>9</v>
      </c>
      <c r="E349" s="1">
        <v>8</v>
      </c>
      <c r="F349" s="1">
        <f>SUMIF(Scores!$F$2:$F$926, 'Next Gen'!$A349, INDEX(Scores!$I$2:$Q$926, 0, MATCH($B349, Scores!$I$1:$Q$1, 0)))</f>
        <v>14</v>
      </c>
      <c r="G349" s="1">
        <f>INDEX(Scores!$B$2:$B$926, MATCH('Next Gen'!$A349, Scores!$F$2:$F$926, 0))</f>
        <v>256</v>
      </c>
      <c r="H349" s="1" t="str">
        <f>INDEX(Scores!$D$2:$D$926, MATCH('Next Gen'!$A349, Scores!$F$2:$F$926, 0))</f>
        <v>Original</v>
      </c>
      <c r="I349" s="4">
        <f>INDEX(Scores!$E$2:$E$926, MATCH('Next Gen'!$A349, Scores!$F$2:$F$926, 0))</f>
        <v>45923</v>
      </c>
    </row>
    <row r="350" spans="1:9">
      <c r="A350" s="1">
        <v>224</v>
      </c>
      <c r="B350" s="1" t="s">
        <v>5</v>
      </c>
      <c r="C350" s="1">
        <v>9</v>
      </c>
      <c r="D350" s="1">
        <v>6</v>
      </c>
      <c r="E350" s="1">
        <v>5</v>
      </c>
      <c r="F350" s="1">
        <f>SUMIF(Scores!$F$2:$F$926, 'Next Gen'!$A350, INDEX(Scores!$I$2:$Q$926, 0, MATCH($B350, Scores!$I$1:$Q$1, 0)))</f>
        <v>8</v>
      </c>
      <c r="G350" s="1">
        <f>INDEX(Scores!$B$2:$B$926, MATCH('Next Gen'!$A350, Scores!$F$2:$F$926, 0))</f>
        <v>256</v>
      </c>
      <c r="H350" s="1" t="str">
        <f>INDEX(Scores!$D$2:$D$926, MATCH('Next Gen'!$A350, Scores!$F$2:$F$926, 0))</f>
        <v>Original</v>
      </c>
      <c r="I350" s="4">
        <f>INDEX(Scores!$E$2:$E$926, MATCH('Next Gen'!$A350, Scores!$F$2:$F$926, 0))</f>
        <v>45923</v>
      </c>
    </row>
    <row r="351" spans="1:9">
      <c r="A351" s="1">
        <v>225</v>
      </c>
      <c r="B351" s="1" t="s">
        <v>4</v>
      </c>
      <c r="C351" s="1">
        <v>9</v>
      </c>
      <c r="D351" s="1">
        <v>11</v>
      </c>
      <c r="E351" s="1">
        <v>5</v>
      </c>
      <c r="F351" s="1">
        <f>SUMIF(Scores!$F$2:$F$926, 'Next Gen'!$A351, INDEX(Scores!$I$2:$Q$926, 0, MATCH($B351, Scores!$I$1:$Q$1, 0)))</f>
        <v>7</v>
      </c>
      <c r="G351" s="1">
        <f>INDEX(Scores!$B$2:$B$926, MATCH('Next Gen'!$A351, Scores!$F$2:$F$926, 0))</f>
        <v>256</v>
      </c>
      <c r="H351" s="1" t="str">
        <f>INDEX(Scores!$D$2:$D$926, MATCH('Next Gen'!$A351, Scores!$F$2:$F$926, 0))</f>
        <v>Original</v>
      </c>
      <c r="I351" s="4">
        <f>INDEX(Scores!$E$2:$E$926, MATCH('Next Gen'!$A351, Scores!$F$2:$F$926, 0))</f>
        <v>45924</v>
      </c>
    </row>
    <row r="352" spans="1:9">
      <c r="A352" s="1">
        <v>225</v>
      </c>
      <c r="B352" s="1" t="s">
        <v>5</v>
      </c>
      <c r="C352" s="1">
        <v>9</v>
      </c>
      <c r="D352" s="1">
        <v>8</v>
      </c>
      <c r="E352" s="1">
        <v>6</v>
      </c>
      <c r="F352" s="1">
        <f>SUMIF(Scores!$F$2:$F$926, 'Next Gen'!$A352, INDEX(Scores!$I$2:$Q$926, 0, MATCH($B352, Scores!$I$1:$Q$1, 0)))</f>
        <v>10</v>
      </c>
      <c r="G352" s="1">
        <f>INDEX(Scores!$B$2:$B$926, MATCH('Next Gen'!$A352, Scores!$F$2:$F$926, 0))</f>
        <v>256</v>
      </c>
      <c r="H352" s="1" t="str">
        <f>INDEX(Scores!$D$2:$D$926, MATCH('Next Gen'!$A352, Scores!$F$2:$F$926, 0))</f>
        <v>Original</v>
      </c>
      <c r="I352" s="4">
        <f>INDEX(Scores!$E$2:$E$926, MATCH('Next Gen'!$A352, Scores!$F$2:$F$926, 0))</f>
        <v>45924</v>
      </c>
    </row>
    <row r="353" spans="1:9">
      <c r="A353" s="1">
        <v>226</v>
      </c>
      <c r="B353" s="1" t="s">
        <v>78</v>
      </c>
      <c r="C353" s="1">
        <v>9</v>
      </c>
      <c r="D353" s="1">
        <v>6</v>
      </c>
      <c r="E353" s="1">
        <v>3</v>
      </c>
      <c r="F353" s="1">
        <f>SUMIF(Scores!$F$2:$F$926, 'Next Gen'!$A353, INDEX(Scores!$I$2:$Q$926, 0, MATCH($B353, Scores!$I$1:$Q$1, 0)))</f>
        <v>3</v>
      </c>
      <c r="G353" s="1">
        <f>INDEX(Scores!$B$2:$B$926, MATCH('Next Gen'!$A353, Scores!$F$2:$F$926, 0))</f>
        <v>256</v>
      </c>
      <c r="H353" s="1" t="str">
        <f>INDEX(Scores!$D$2:$D$926, MATCH('Next Gen'!$A353, Scores!$F$2:$F$926, 0))</f>
        <v>Original</v>
      </c>
      <c r="I353" s="4">
        <f>INDEX(Scores!$E$2:$E$926, MATCH('Next Gen'!$A353, Scores!$F$2:$F$926, 0))</f>
        <v>45926</v>
      </c>
    </row>
    <row r="354" spans="1:9">
      <c r="A354" s="1">
        <v>226</v>
      </c>
      <c r="B354" s="1" t="s">
        <v>4</v>
      </c>
      <c r="C354" s="1">
        <v>9</v>
      </c>
      <c r="D354" s="1">
        <v>9</v>
      </c>
      <c r="E354" s="1">
        <v>4</v>
      </c>
      <c r="F354" s="1">
        <f>SUMIF(Scores!$F$2:$F$926, 'Next Gen'!$A354, INDEX(Scores!$I$2:$Q$926, 0, MATCH($B354, Scores!$I$1:$Q$1, 0)))</f>
        <v>5</v>
      </c>
      <c r="G354" s="1">
        <f>INDEX(Scores!$B$2:$B$926, MATCH('Next Gen'!$A354, Scores!$F$2:$F$926, 0))</f>
        <v>256</v>
      </c>
      <c r="H354" s="1" t="str">
        <f>INDEX(Scores!$D$2:$D$926, MATCH('Next Gen'!$A354, Scores!$F$2:$F$926, 0))</f>
        <v>Original</v>
      </c>
      <c r="I354" s="4">
        <f>INDEX(Scores!$E$2:$E$926, MATCH('Next Gen'!$A354, Scores!$F$2:$F$926, 0))</f>
        <v>45926</v>
      </c>
    </row>
    <row r="355" spans="1:9">
      <c r="A355" s="1">
        <v>226</v>
      </c>
      <c r="B355" s="1" t="s">
        <v>5</v>
      </c>
      <c r="C355" s="1">
        <v>9</v>
      </c>
      <c r="D355" s="1">
        <v>5</v>
      </c>
      <c r="E355" s="1">
        <v>5</v>
      </c>
      <c r="F355" s="1">
        <f>SUMIF(Scores!$F$2:$F$926, 'Next Gen'!$A355, INDEX(Scores!$I$2:$Q$926, 0, MATCH($B355, Scores!$I$1:$Q$1, 0)))</f>
        <v>12</v>
      </c>
      <c r="G355" s="1">
        <f>INDEX(Scores!$B$2:$B$926, MATCH('Next Gen'!$A355, Scores!$F$2:$F$926, 0))</f>
        <v>256</v>
      </c>
      <c r="H355" s="1" t="str">
        <f>INDEX(Scores!$D$2:$D$926, MATCH('Next Gen'!$A355, Scores!$F$2:$F$926, 0))</f>
        <v>Original</v>
      </c>
      <c r="I355" s="4">
        <f>INDEX(Scores!$E$2:$E$926, MATCH('Next Gen'!$A355, Scores!$F$2:$F$926, 0))</f>
        <v>45926</v>
      </c>
    </row>
    <row r="356" spans="1:9">
      <c r="A356" s="1">
        <v>227</v>
      </c>
      <c r="B356" s="1" t="s">
        <v>4</v>
      </c>
      <c r="C356" s="1">
        <v>9</v>
      </c>
      <c r="D356" s="1">
        <v>8</v>
      </c>
      <c r="E356" s="1">
        <v>4</v>
      </c>
      <c r="F356" s="1">
        <f>SUMIF(Scores!$F$2:$F$926, 'Next Gen'!$A356, INDEX(Scores!$I$2:$Q$926, 0, MATCH($B356, Scores!$I$1:$Q$1, 0)))</f>
        <v>11</v>
      </c>
      <c r="G356" s="1">
        <f>INDEX(Scores!$B$2:$B$926, MATCH('Next Gen'!$A356, Scores!$F$2:$F$926, 0))</f>
        <v>256</v>
      </c>
      <c r="H356" s="1" t="str">
        <f>INDEX(Scores!$D$2:$D$926, MATCH('Next Gen'!$A356, Scores!$F$2:$F$926, 0))</f>
        <v>Original</v>
      </c>
      <c r="I356" s="4">
        <f>INDEX(Scores!$E$2:$E$926, MATCH('Next Gen'!$A356, Scores!$F$2:$F$926, 0))</f>
        <v>45929</v>
      </c>
    </row>
    <row r="357" spans="1:9">
      <c r="A357" s="1">
        <v>227</v>
      </c>
      <c r="B357" s="1" t="s">
        <v>5</v>
      </c>
      <c r="C357" s="1">
        <v>9</v>
      </c>
      <c r="D357" s="1">
        <v>7</v>
      </c>
      <c r="E357" s="1">
        <v>6</v>
      </c>
      <c r="F357" s="1">
        <f>SUMIF(Scores!$F$2:$F$926, 'Next Gen'!$A357, INDEX(Scores!$I$2:$Q$926, 0, MATCH($B357, Scores!$I$1:$Q$1, 0)))</f>
        <v>12</v>
      </c>
      <c r="G357" s="1">
        <f>INDEX(Scores!$B$2:$B$926, MATCH('Next Gen'!$A357, Scores!$F$2:$F$926, 0))</f>
        <v>256</v>
      </c>
      <c r="H357" s="1" t="str">
        <f>INDEX(Scores!$D$2:$D$926, MATCH('Next Gen'!$A357, Scores!$F$2:$F$926, 0))</f>
        <v>Original</v>
      </c>
      <c r="I357" s="4">
        <f>INDEX(Scores!$E$2:$E$926, MATCH('Next Gen'!$A357, Scores!$F$2:$F$926, 0))</f>
        <v>45929</v>
      </c>
    </row>
    <row r="358" spans="1:9">
      <c r="A358" s="1">
        <v>228</v>
      </c>
      <c r="B358" s="1" t="s">
        <v>4</v>
      </c>
      <c r="C358" s="1">
        <v>9</v>
      </c>
      <c r="D358" s="1">
        <v>8</v>
      </c>
      <c r="E358" s="1">
        <v>7</v>
      </c>
      <c r="F358" s="1">
        <f>SUMIF(Scores!$F$2:$F$926, 'Next Gen'!$A358, INDEX(Scores!$I$2:$Q$926, 0, MATCH($B358, Scores!$I$1:$Q$1, 0)))</f>
        <v>15</v>
      </c>
      <c r="G358" s="1">
        <f>INDEX(Scores!$B$2:$B$926, MATCH('Next Gen'!$A358, Scores!$F$2:$F$926, 0))</f>
        <v>256</v>
      </c>
      <c r="H358" s="1" t="str">
        <f>INDEX(Scores!$D$2:$D$926, MATCH('Next Gen'!$A358, Scores!$F$2:$F$926, 0))</f>
        <v>Original</v>
      </c>
      <c r="I358" s="4">
        <f>INDEX(Scores!$E$2:$E$926, MATCH('Next Gen'!$A358, Scores!$F$2:$F$926, 0))</f>
        <v>45930</v>
      </c>
    </row>
    <row r="359" spans="1:9">
      <c r="A359" s="1">
        <v>228</v>
      </c>
      <c r="B359" s="1" t="s">
        <v>5</v>
      </c>
      <c r="C359" s="1">
        <v>9</v>
      </c>
      <c r="D359" s="1">
        <v>7</v>
      </c>
      <c r="E359" s="1">
        <v>6</v>
      </c>
      <c r="F359" s="1">
        <f>SUMIF(Scores!$F$2:$F$926, 'Next Gen'!$A359, INDEX(Scores!$I$2:$Q$926, 0, MATCH($B359, Scores!$I$1:$Q$1, 0)))</f>
        <v>11</v>
      </c>
      <c r="G359" s="1">
        <f>INDEX(Scores!$B$2:$B$926, MATCH('Next Gen'!$A359, Scores!$F$2:$F$926, 0))</f>
        <v>256</v>
      </c>
      <c r="H359" s="1" t="str">
        <f>INDEX(Scores!$D$2:$D$926, MATCH('Next Gen'!$A359, Scores!$F$2:$F$926, 0))</f>
        <v>Original</v>
      </c>
      <c r="I359" s="4">
        <f>INDEX(Scores!$E$2:$E$926, MATCH('Next Gen'!$A359, Scores!$F$2:$F$926, 0))</f>
        <v>45930</v>
      </c>
    </row>
    <row r="360" spans="1:9">
      <c r="A360" s="1">
        <v>229</v>
      </c>
      <c r="B360" s="1" t="s">
        <v>4</v>
      </c>
      <c r="C360" s="1">
        <v>9</v>
      </c>
      <c r="D360" s="1">
        <v>9</v>
      </c>
      <c r="E360" s="1">
        <v>5</v>
      </c>
      <c r="F360" s="1">
        <f>SUMIF(Scores!$F$2:$F$926, 'Next Gen'!$A360, INDEX(Scores!$I$2:$Q$926, 0, MATCH($B360, Scores!$I$1:$Q$1, 0)))</f>
        <v>15</v>
      </c>
      <c r="G360" s="1">
        <f>INDEX(Scores!$B$2:$B$926, MATCH('Next Gen'!$A360, Scores!$F$2:$F$926, 0))</f>
        <v>256</v>
      </c>
      <c r="H360" s="1" t="str">
        <f>INDEX(Scores!$D$2:$D$926, MATCH('Next Gen'!$A360, Scores!$F$2:$F$926, 0))</f>
        <v>Original</v>
      </c>
      <c r="I360" s="4">
        <f>INDEX(Scores!$E$2:$E$926, MATCH('Next Gen'!$A360, Scores!$F$2:$F$926, 0))</f>
        <v>45931</v>
      </c>
    </row>
    <row r="361" spans="1:9">
      <c r="A361" s="1">
        <v>229</v>
      </c>
      <c r="B361" s="1" t="s">
        <v>5</v>
      </c>
      <c r="C361" s="1">
        <v>9</v>
      </c>
      <c r="D361" s="1">
        <v>5</v>
      </c>
      <c r="E361" s="1">
        <v>4</v>
      </c>
      <c r="F361" s="1">
        <f>SUMIF(Scores!$F$2:$F$926, 'Next Gen'!$A361, INDEX(Scores!$I$2:$Q$926, 0, MATCH($B361, Scores!$I$1:$Q$1, 0)))</f>
        <v>10</v>
      </c>
      <c r="G361" s="1">
        <f>INDEX(Scores!$B$2:$B$926, MATCH('Next Gen'!$A361, Scores!$F$2:$F$926, 0))</f>
        <v>256</v>
      </c>
      <c r="H361" s="1" t="str">
        <f>INDEX(Scores!$D$2:$D$926, MATCH('Next Gen'!$A361, Scores!$F$2:$F$926, 0))</f>
        <v>Original</v>
      </c>
      <c r="I361" s="4">
        <f>INDEX(Scores!$E$2:$E$926, MATCH('Next Gen'!$A361, Scores!$F$2:$F$926, 0))</f>
        <v>45931</v>
      </c>
    </row>
    <row r="362" spans="1:9">
      <c r="A362" s="1">
        <v>230</v>
      </c>
      <c r="B362" s="1" t="s">
        <v>4</v>
      </c>
      <c r="C362" s="1">
        <v>9</v>
      </c>
      <c r="D362" s="1">
        <v>9</v>
      </c>
      <c r="E362" s="1">
        <v>4</v>
      </c>
      <c r="F362" s="1">
        <f>SUMIF(Scores!$F$2:$F$926, 'Next Gen'!$A362, INDEX(Scores!$I$2:$Q$926, 0, MATCH($B362, Scores!$I$1:$Q$1, 0)))</f>
        <v>9</v>
      </c>
      <c r="G362" s="1">
        <f>INDEX(Scores!$B$2:$B$926, MATCH('Next Gen'!$A362, Scores!$F$2:$F$926, 0))</f>
        <v>256</v>
      </c>
      <c r="H362" s="1" t="str">
        <f>INDEX(Scores!$D$2:$D$926, MATCH('Next Gen'!$A362, Scores!$F$2:$F$926, 0))</f>
        <v>Original</v>
      </c>
      <c r="I362" s="4">
        <f>INDEX(Scores!$E$2:$E$926, MATCH('Next Gen'!$A362, Scores!$F$2:$F$926, 0))</f>
        <v>45938</v>
      </c>
    </row>
    <row r="363" spans="1:9">
      <c r="A363" s="1">
        <v>230</v>
      </c>
      <c r="B363" s="1" t="s">
        <v>5</v>
      </c>
      <c r="C363" s="1">
        <v>9</v>
      </c>
      <c r="D363" s="1">
        <v>8</v>
      </c>
      <c r="E363" s="1">
        <v>6</v>
      </c>
      <c r="F363" s="1">
        <f>SUMIF(Scores!$F$2:$F$926, 'Next Gen'!$A363, INDEX(Scores!$I$2:$Q$926, 0, MATCH($B363, Scores!$I$1:$Q$1, 0)))</f>
        <v>10</v>
      </c>
      <c r="G363" s="1">
        <f>INDEX(Scores!$B$2:$B$926, MATCH('Next Gen'!$A363, Scores!$F$2:$F$926, 0))</f>
        <v>256</v>
      </c>
      <c r="H363" s="1" t="str">
        <f>INDEX(Scores!$D$2:$D$926, MATCH('Next Gen'!$A363, Scores!$F$2:$F$926, 0))</f>
        <v>Original</v>
      </c>
      <c r="I363" s="4">
        <f>INDEX(Scores!$E$2:$E$926, MATCH('Next Gen'!$A363, Scores!$F$2:$F$926, 0))</f>
        <v>45938</v>
      </c>
    </row>
    <row r="364" spans="1:9">
      <c r="A364" s="1">
        <v>231</v>
      </c>
      <c r="B364" s="1" t="s">
        <v>4</v>
      </c>
      <c r="C364" s="1">
        <v>9</v>
      </c>
      <c r="D364" s="1">
        <v>9</v>
      </c>
      <c r="E364" s="1">
        <v>8</v>
      </c>
      <c r="F364" s="1">
        <f>SUMIF(Scores!$F$2:$F$926, 'Next Gen'!$A364, INDEX(Scores!$I$2:$Q$926, 0, MATCH($B364, Scores!$I$1:$Q$1, 0)))</f>
        <v>16</v>
      </c>
      <c r="G364" s="1">
        <f>INDEX(Scores!$B$2:$B$926, MATCH('Next Gen'!$A364, Scores!$F$2:$F$926, 0))</f>
        <v>256</v>
      </c>
      <c r="H364" s="1" t="str">
        <f>INDEX(Scores!$D$2:$D$926, MATCH('Next Gen'!$A364, Scores!$F$2:$F$926, 0))</f>
        <v>Original</v>
      </c>
      <c r="I364" s="4">
        <f>INDEX(Scores!$E$2:$E$926, MATCH('Next Gen'!$A364, Scores!$F$2:$F$926, 0))</f>
        <v>45940</v>
      </c>
    </row>
    <row r="365" spans="1:9">
      <c r="A365" s="1">
        <v>231</v>
      </c>
      <c r="B365" s="1" t="s">
        <v>5</v>
      </c>
      <c r="C365" s="1">
        <v>9</v>
      </c>
      <c r="D365" s="1">
        <v>7</v>
      </c>
      <c r="E365" s="1">
        <v>4</v>
      </c>
      <c r="F365" s="1">
        <f>SUMIF(Scores!$F$2:$F$926, 'Next Gen'!$A365, INDEX(Scores!$I$2:$Q$926, 0, MATCH($B365, Scores!$I$1:$Q$1, 0)))</f>
        <v>7</v>
      </c>
      <c r="G365" s="1">
        <f>INDEX(Scores!$B$2:$B$926, MATCH('Next Gen'!$A365, Scores!$F$2:$F$926, 0))</f>
        <v>256</v>
      </c>
      <c r="H365" s="1" t="str">
        <f>INDEX(Scores!$D$2:$D$926, MATCH('Next Gen'!$A365, Scores!$F$2:$F$926, 0))</f>
        <v>Original</v>
      </c>
      <c r="I365" s="4">
        <f>INDEX(Scores!$E$2:$E$926, MATCH('Next Gen'!$A365, Scores!$F$2:$F$926, 0))</f>
        <v>45940</v>
      </c>
    </row>
    <row r="366" spans="1:9">
      <c r="A366" s="1">
        <v>232</v>
      </c>
      <c r="B366" s="1" t="s">
        <v>4</v>
      </c>
      <c r="C366" s="1">
        <v>9</v>
      </c>
      <c r="D366" s="1">
        <v>9</v>
      </c>
      <c r="E366" s="1">
        <v>5</v>
      </c>
      <c r="F366" s="1">
        <f>SUMIF(Scores!$F$2:$F$926, 'Next Gen'!$A366, INDEX(Scores!$I$2:$Q$926, 0, MATCH($B366, Scores!$I$1:$Q$1, 0)))</f>
        <v>11</v>
      </c>
      <c r="G366" s="1">
        <f>INDEX(Scores!$B$2:$B$926, MATCH('Next Gen'!$A366, Scores!$F$2:$F$926, 0))</f>
        <v>256</v>
      </c>
      <c r="H366" s="1" t="str">
        <f>INDEX(Scores!$D$2:$D$926, MATCH('Next Gen'!$A366, Scores!$F$2:$F$926, 0))</f>
        <v>Original</v>
      </c>
      <c r="I366" s="4">
        <f>INDEX(Scores!$E$2:$E$926, MATCH('Next Gen'!$A366, Scores!$F$2:$F$926, 0))</f>
        <v>45943</v>
      </c>
    </row>
    <row r="367" spans="1:9">
      <c r="A367" s="1">
        <v>232</v>
      </c>
      <c r="B367" s="1" t="s">
        <v>5</v>
      </c>
      <c r="C367" s="1">
        <v>9</v>
      </c>
      <c r="D367" s="1">
        <v>8</v>
      </c>
      <c r="E367" s="1">
        <v>7</v>
      </c>
      <c r="F367" s="1">
        <f>SUMIF(Scores!$F$2:$F$926, 'Next Gen'!$A367, INDEX(Scores!$I$2:$Q$926, 0, MATCH($B367, Scores!$I$1:$Q$1, 0)))</f>
        <v>6</v>
      </c>
      <c r="G367" s="1">
        <f>INDEX(Scores!$B$2:$B$926, MATCH('Next Gen'!$A367, Scores!$F$2:$F$926, 0))</f>
        <v>256</v>
      </c>
      <c r="H367" s="1" t="str">
        <f>INDEX(Scores!$D$2:$D$926, MATCH('Next Gen'!$A367, Scores!$F$2:$F$926, 0))</f>
        <v>Original</v>
      </c>
      <c r="I367" s="4">
        <f>INDEX(Scores!$E$2:$E$926, MATCH('Next Gen'!$A367, Scores!$F$2:$F$926, 0))</f>
        <v>45943</v>
      </c>
    </row>
    <row r="368" spans="1:9">
      <c r="A368" s="1">
        <v>233</v>
      </c>
      <c r="B368" s="1" t="s">
        <v>4</v>
      </c>
      <c r="C368" s="1">
        <v>9</v>
      </c>
      <c r="D368" s="1">
        <v>9</v>
      </c>
      <c r="E368" s="1">
        <v>4</v>
      </c>
      <c r="F368" s="1">
        <f>SUMIF(Scores!$F$2:$F$926, 'Next Gen'!$A368, INDEX(Scores!$I$2:$Q$926, 0, MATCH($B368, Scores!$I$1:$Q$1, 0)))</f>
        <v>7</v>
      </c>
      <c r="G368" s="1">
        <f>INDEX(Scores!$B$2:$B$926, MATCH('Next Gen'!$A368, Scores!$F$2:$F$926, 0))</f>
        <v>256</v>
      </c>
      <c r="H368" s="1" t="str">
        <f>INDEX(Scores!$D$2:$D$926, MATCH('Next Gen'!$A368, Scores!$F$2:$F$926, 0))</f>
        <v>Original</v>
      </c>
      <c r="I368" s="4">
        <f>INDEX(Scores!$E$2:$E$926, MATCH('Next Gen'!$A368, Scores!$F$2:$F$926, 0))</f>
        <v>45952</v>
      </c>
    </row>
    <row r="369" spans="1:9">
      <c r="A369" s="1">
        <v>233</v>
      </c>
      <c r="B369" s="1" t="s">
        <v>5</v>
      </c>
      <c r="C369" s="1">
        <v>9</v>
      </c>
      <c r="D369" s="1">
        <v>7</v>
      </c>
      <c r="E369" s="1">
        <v>6</v>
      </c>
      <c r="F369" s="1">
        <f>SUMIF(Scores!$F$2:$F$926, 'Next Gen'!$A369, INDEX(Scores!$I$2:$Q$926, 0, MATCH($B369, Scores!$I$1:$Q$1, 0)))</f>
        <v>9</v>
      </c>
      <c r="G369" s="1">
        <f>INDEX(Scores!$B$2:$B$926, MATCH('Next Gen'!$A369, Scores!$F$2:$F$926, 0))</f>
        <v>256</v>
      </c>
      <c r="H369" s="1" t="str">
        <f>INDEX(Scores!$D$2:$D$926, MATCH('Next Gen'!$A369, Scores!$F$2:$F$926, 0))</f>
        <v>Original</v>
      </c>
      <c r="I369" s="4">
        <f>INDEX(Scores!$E$2:$E$926, MATCH('Next Gen'!$A369, Scores!$F$2:$F$926, 0))</f>
        <v>45952</v>
      </c>
    </row>
    <row r="370" spans="1:9">
      <c r="A370" s="1">
        <v>233</v>
      </c>
      <c r="B370" s="1" t="s">
        <v>6</v>
      </c>
      <c r="C370" s="1">
        <v>9</v>
      </c>
      <c r="D370" s="1">
        <v>7</v>
      </c>
      <c r="E370" s="1">
        <v>4</v>
      </c>
      <c r="F370" s="1">
        <f>SUMIF(Scores!$F$2:$F$926, 'Next Gen'!$A370, INDEX(Scores!$I$2:$Q$926, 0, MATCH($B370, Scores!$I$1:$Q$1, 0)))</f>
        <v>8</v>
      </c>
      <c r="G370" s="1">
        <f>INDEX(Scores!$B$2:$B$926, MATCH('Next Gen'!$A370, Scores!$F$2:$F$926, 0))</f>
        <v>256</v>
      </c>
      <c r="H370" s="1" t="str">
        <f>INDEX(Scores!$D$2:$D$926, MATCH('Next Gen'!$A370, Scores!$F$2:$F$926, 0))</f>
        <v>Original</v>
      </c>
      <c r="I370" s="4">
        <f>INDEX(Scores!$E$2:$E$926, MATCH('Next Gen'!$A370, Scores!$F$2:$F$926, 0))</f>
        <v>45952</v>
      </c>
    </row>
    <row r="371" spans="1:9">
      <c r="A371" s="1">
        <v>234</v>
      </c>
      <c r="B371" s="1" t="s">
        <v>4</v>
      </c>
      <c r="C371" s="1">
        <v>9</v>
      </c>
      <c r="D371" s="1">
        <v>9</v>
      </c>
      <c r="E371" s="1">
        <v>6</v>
      </c>
      <c r="F371" s="1">
        <f>SUMIF(Scores!$F$2:$F$926, 'Next Gen'!$A371, INDEX(Scores!$I$2:$Q$926, 0, MATCH($B371, Scores!$I$1:$Q$1, 0)))</f>
        <v>10</v>
      </c>
      <c r="G371" s="1">
        <f>INDEX(Scores!$B$2:$B$926, MATCH('Next Gen'!$A371, Scores!$F$2:$F$926, 0))</f>
        <v>256</v>
      </c>
      <c r="H371" s="1" t="str">
        <f>INDEX(Scores!$D$2:$D$926, MATCH('Next Gen'!$A371, Scores!$F$2:$F$926, 0))</f>
        <v>Original</v>
      </c>
      <c r="I371" s="4">
        <f>INDEX(Scores!$E$2:$E$926, MATCH('Next Gen'!$A371, Scores!$F$2:$F$926, 0))</f>
        <v>45953</v>
      </c>
    </row>
    <row r="372" spans="1:9">
      <c r="A372" s="1">
        <v>234</v>
      </c>
      <c r="B372" s="1" t="s">
        <v>5</v>
      </c>
      <c r="C372" s="1">
        <v>9</v>
      </c>
      <c r="D372" s="1">
        <v>8</v>
      </c>
      <c r="E372" s="1">
        <v>6</v>
      </c>
      <c r="F372" s="1">
        <f>SUMIF(Scores!$F$2:$F$926, 'Next Gen'!$A372, INDEX(Scores!$I$2:$Q$926, 0, MATCH($B372, Scores!$I$1:$Q$1, 0)))</f>
        <v>13</v>
      </c>
      <c r="G372" s="1">
        <f>INDEX(Scores!$B$2:$B$926, MATCH('Next Gen'!$A372, Scores!$F$2:$F$926, 0))</f>
        <v>256</v>
      </c>
      <c r="H372" s="1" t="str">
        <f>INDEX(Scores!$D$2:$D$926, MATCH('Next Gen'!$A372, Scores!$F$2:$F$926, 0))</f>
        <v>Original</v>
      </c>
      <c r="I372" s="4">
        <f>INDEX(Scores!$E$2:$E$926, MATCH('Next Gen'!$A372, Scores!$F$2:$F$926, 0))</f>
        <v>45953</v>
      </c>
    </row>
    <row r="373" spans="1:9">
      <c r="A373" s="1">
        <v>235</v>
      </c>
      <c r="B373" s="1" t="s">
        <v>4</v>
      </c>
      <c r="C373" s="1">
        <v>9</v>
      </c>
      <c r="D373" s="1">
        <v>9</v>
      </c>
      <c r="E373" s="1">
        <v>5</v>
      </c>
      <c r="F373" s="1">
        <f>SUMIF(Scores!$F$2:$F$926, 'Next Gen'!$A373, INDEX(Scores!$I$2:$Q$926, 0, MATCH($B373, Scores!$I$1:$Q$1, 0)))</f>
        <v>11</v>
      </c>
      <c r="G373" s="1">
        <f>INDEX(Scores!$B$2:$B$926, MATCH('Next Gen'!$A373, Scores!$F$2:$F$926, 0))</f>
        <v>256</v>
      </c>
      <c r="H373" s="1" t="str">
        <f>INDEX(Scores!$D$2:$D$926, MATCH('Next Gen'!$A373, Scores!$F$2:$F$926, 0))</f>
        <v>Original</v>
      </c>
      <c r="I373" s="4">
        <f>INDEX(Scores!$E$2:$E$926, MATCH('Next Gen'!$A373, Scores!$F$2:$F$926, 0))</f>
        <v>45954</v>
      </c>
    </row>
    <row r="374" spans="1:9">
      <c r="A374" s="1">
        <v>235</v>
      </c>
      <c r="B374" s="1" t="s">
        <v>5</v>
      </c>
      <c r="C374" s="1">
        <v>9</v>
      </c>
      <c r="D374" s="1">
        <v>9</v>
      </c>
      <c r="E374" s="1">
        <v>6</v>
      </c>
      <c r="F374" s="1">
        <f>SUMIF(Scores!$F$2:$F$926, 'Next Gen'!$A374, INDEX(Scores!$I$2:$Q$926, 0, MATCH($B374, Scores!$I$1:$Q$1, 0)))</f>
        <v>9</v>
      </c>
      <c r="G374" s="1">
        <f>INDEX(Scores!$B$2:$B$926, MATCH('Next Gen'!$A374, Scores!$F$2:$F$926, 0))</f>
        <v>256</v>
      </c>
      <c r="H374" s="1" t="str">
        <f>INDEX(Scores!$D$2:$D$926, MATCH('Next Gen'!$A374, Scores!$F$2:$F$926, 0))</f>
        <v>Original</v>
      </c>
      <c r="I374" s="4">
        <f>INDEX(Scores!$E$2:$E$926, MATCH('Next Gen'!$A374, Scores!$F$2:$F$926, 0))</f>
        <v>45954</v>
      </c>
    </row>
    <row r="375" spans="1:9">
      <c r="A375" s="1">
        <v>235</v>
      </c>
      <c r="B375" s="1" t="s">
        <v>6</v>
      </c>
      <c r="C375" s="1">
        <v>9</v>
      </c>
      <c r="D375" s="1">
        <v>4</v>
      </c>
      <c r="E375" s="1">
        <v>3</v>
      </c>
      <c r="F375" s="1">
        <f>SUMIF(Scores!$F$2:$F$926, 'Next Gen'!$A375, INDEX(Scores!$I$2:$Q$926, 0, MATCH($B375, Scores!$I$1:$Q$1, 0)))</f>
        <v>5</v>
      </c>
      <c r="G375" s="1">
        <f>INDEX(Scores!$B$2:$B$926, MATCH('Next Gen'!$A375, Scores!$F$2:$F$926, 0))</f>
        <v>256</v>
      </c>
      <c r="H375" s="1" t="str">
        <f>INDEX(Scores!$D$2:$D$926, MATCH('Next Gen'!$A375, Scores!$F$2:$F$926, 0))</f>
        <v>Original</v>
      </c>
      <c r="I375" s="4">
        <f>INDEX(Scores!$E$2:$E$926, MATCH('Next Gen'!$A375, Scores!$F$2:$F$926, 0))</f>
        <v>45954</v>
      </c>
    </row>
    <row r="376" spans="1:9">
      <c r="A376" s="1">
        <v>236</v>
      </c>
      <c r="B376" s="1" t="s">
        <v>5</v>
      </c>
      <c r="C376" s="1">
        <v>15</v>
      </c>
      <c r="D376" s="1">
        <v>12</v>
      </c>
      <c r="E376" s="1">
        <v>8</v>
      </c>
      <c r="F376" s="1">
        <f>SUMIF(Scores!$F$2:$F$926, 'Next Gen'!$A376, INDEX(Scores!$I$2:$Q$926, 0, MATCH($B376, Scores!$I$1:$Q$1, 0)))</f>
        <v>14</v>
      </c>
      <c r="G376" s="1">
        <f>INDEX(Scores!$B$2:$B$926, MATCH('Next Gen'!$A376, Scores!$F$2:$F$926, 0))</f>
        <v>256</v>
      </c>
      <c r="H376" s="1" t="str">
        <f>INDEX(Scores!$D$2:$D$926, MATCH('Next Gen'!$A376, Scores!$F$2:$F$926, 0))</f>
        <v>Original</v>
      </c>
      <c r="I376" s="4">
        <f>INDEX(Scores!$E$2:$E$926, MATCH('Next Gen'!$A376, Scores!$F$2:$F$926, 0))</f>
        <v>45958</v>
      </c>
    </row>
    <row r="377" spans="1:9">
      <c r="A377" s="1">
        <v>236</v>
      </c>
      <c r="B377" s="1" t="s">
        <v>4</v>
      </c>
      <c r="C377" s="1">
        <v>15</v>
      </c>
      <c r="D377" s="1">
        <v>14</v>
      </c>
      <c r="E377" s="1">
        <v>7</v>
      </c>
      <c r="F377" s="1">
        <f>SUMIF(Scores!$F$2:$F$926, 'Next Gen'!$A377, INDEX(Scores!$I$2:$Q$926, 0, MATCH($B377, Scores!$I$1:$Q$1, 0)))</f>
        <v>15</v>
      </c>
      <c r="G377" s="1">
        <f>INDEX(Scores!$B$2:$B$926, MATCH('Next Gen'!$A377, Scores!$F$2:$F$926, 0))</f>
        <v>256</v>
      </c>
      <c r="H377" s="1" t="str">
        <f>INDEX(Scores!$D$2:$D$926, MATCH('Next Gen'!$A377, Scores!$F$2:$F$926, 0))</f>
        <v>Original</v>
      </c>
      <c r="I377" s="4">
        <f>INDEX(Scores!$E$2:$E$926, MATCH('Next Gen'!$A377, Scores!$F$2:$F$926, 0))</f>
        <v>45958</v>
      </c>
    </row>
    <row r="378" spans="1:9">
      <c r="A378" s="1">
        <v>237</v>
      </c>
      <c r="B378" s="1" t="s">
        <v>5</v>
      </c>
      <c r="C378" s="1">
        <v>9</v>
      </c>
      <c r="D378" s="1">
        <v>9</v>
      </c>
      <c r="E378" s="1">
        <v>7</v>
      </c>
      <c r="F378" s="1">
        <f>SUMIF(Scores!$F$2:$F$926, 'Next Gen'!$A378, INDEX(Scores!$I$2:$Q$926, 0, MATCH($B378, Scores!$I$1:$Q$1, 0)))</f>
        <v>18</v>
      </c>
      <c r="G378" s="1">
        <f>INDEX(Scores!$B$2:$B$926, MATCH('Next Gen'!$A378, Scores!$F$2:$F$926, 0))</f>
        <v>256</v>
      </c>
      <c r="H378" s="1" t="str">
        <f>INDEX(Scores!$D$2:$D$926, MATCH('Next Gen'!$A378, Scores!$F$2:$F$926, 0))</f>
        <v>Original</v>
      </c>
      <c r="I378" s="4">
        <f>INDEX(Scores!$E$2:$E$926, MATCH('Next Gen'!$A378, Scores!$F$2:$F$926, 0))</f>
        <v>45959</v>
      </c>
    </row>
    <row r="379" spans="1:9">
      <c r="A379" s="1">
        <v>237</v>
      </c>
      <c r="B379" s="1" t="s">
        <v>4</v>
      </c>
      <c r="C379" s="1">
        <v>9</v>
      </c>
      <c r="D379" s="1">
        <v>9</v>
      </c>
      <c r="E379" s="1">
        <v>5</v>
      </c>
      <c r="F379" s="1">
        <f>SUMIF(Scores!$F$2:$F$926, 'Next Gen'!$A379, INDEX(Scores!$I$2:$Q$926, 0, MATCH($B379, Scores!$I$1:$Q$1, 0)))</f>
        <v>10</v>
      </c>
      <c r="G379" s="1">
        <f>INDEX(Scores!$B$2:$B$926, MATCH('Next Gen'!$A379, Scores!$F$2:$F$926, 0))</f>
        <v>256</v>
      </c>
      <c r="H379" s="1" t="str">
        <f>INDEX(Scores!$D$2:$D$926, MATCH('Next Gen'!$A379, Scores!$F$2:$F$926, 0))</f>
        <v>Original</v>
      </c>
      <c r="I379" s="4">
        <f>INDEX(Scores!$E$2:$E$926, MATCH('Next Gen'!$A379, Scores!$F$2:$F$926, 0))</f>
        <v>45959</v>
      </c>
    </row>
    <row r="380" spans="1:9">
      <c r="A380" s="1">
        <v>238</v>
      </c>
      <c r="B380" s="1" t="s">
        <v>5</v>
      </c>
      <c r="C380" s="1">
        <v>9</v>
      </c>
      <c r="D380" s="1">
        <v>7</v>
      </c>
      <c r="E380" s="1">
        <v>5</v>
      </c>
      <c r="F380" s="1">
        <f>SUMIF(Scores!$F$2:$F$926, 'Next Gen'!$A380, INDEX(Scores!$I$2:$Q$926, 0, MATCH($B380, Scores!$I$1:$Q$1, 0)))</f>
        <v>12</v>
      </c>
      <c r="G380" s="1">
        <f>INDEX(Scores!$B$2:$B$926, MATCH('Next Gen'!$A380, Scores!$F$2:$F$926, 0))</f>
        <v>256</v>
      </c>
      <c r="H380" s="1" t="str">
        <f>INDEX(Scores!$D$2:$D$926, MATCH('Next Gen'!$A380, Scores!$F$2:$F$926, 0))</f>
        <v>Original</v>
      </c>
      <c r="I380" s="4">
        <f>INDEX(Scores!$E$2:$E$926, MATCH('Next Gen'!$A380, Scores!$F$2:$F$926, 0))</f>
        <v>45961</v>
      </c>
    </row>
    <row r="381" spans="1:9">
      <c r="A381" s="1">
        <v>238</v>
      </c>
      <c r="B381" s="1" t="s">
        <v>4</v>
      </c>
      <c r="C381" s="1">
        <v>9</v>
      </c>
      <c r="D381" s="1">
        <v>9</v>
      </c>
      <c r="E381" s="1">
        <v>8</v>
      </c>
      <c r="F381" s="1">
        <f>SUMIF(Scores!$F$2:$F$926, 'Next Gen'!$A381, INDEX(Scores!$I$2:$Q$926, 0, MATCH($B381, Scores!$I$1:$Q$1, 0)))</f>
        <v>19</v>
      </c>
      <c r="G381" s="1">
        <f>INDEX(Scores!$B$2:$B$926, MATCH('Next Gen'!$A381, Scores!$F$2:$F$926, 0))</f>
        <v>256</v>
      </c>
      <c r="H381" s="1" t="str">
        <f>INDEX(Scores!$D$2:$D$926, MATCH('Next Gen'!$A381, Scores!$F$2:$F$926, 0))</f>
        <v>Original</v>
      </c>
      <c r="I381" s="4">
        <f>INDEX(Scores!$E$2:$E$926, MATCH('Next Gen'!$A381, Scores!$F$2:$F$926, 0))</f>
        <v>45961</v>
      </c>
    </row>
    <row r="382" spans="1:9">
      <c r="A382" s="1">
        <v>239</v>
      </c>
      <c r="B382" s="1" t="s">
        <v>5</v>
      </c>
      <c r="C382" s="1">
        <v>9</v>
      </c>
      <c r="D382" s="1">
        <v>9</v>
      </c>
      <c r="E382" s="1">
        <v>6</v>
      </c>
      <c r="F382" s="1">
        <f>SUMIF(Scores!$F$2:$F$926, 'Next Gen'!$A382, INDEX(Scores!$I$2:$Q$926, 0, MATCH($B382, Scores!$I$1:$Q$1, 0)))</f>
        <v>8</v>
      </c>
      <c r="G382" s="1">
        <f>INDEX(Scores!$B$2:$B$926, MATCH('Next Gen'!$A382, Scores!$F$2:$F$926, 0))</f>
        <v>256</v>
      </c>
      <c r="H382" s="1" t="str">
        <f>INDEX(Scores!$D$2:$D$926, MATCH('Next Gen'!$A382, Scores!$F$2:$F$926, 0))</f>
        <v>Original</v>
      </c>
      <c r="I382" s="4">
        <f>INDEX(Scores!$E$2:$E$926, MATCH('Next Gen'!$A382, Scores!$F$2:$F$926, 0))</f>
        <v>45972</v>
      </c>
    </row>
    <row r="383" spans="1:9">
      <c r="A383" s="1">
        <v>239</v>
      </c>
      <c r="B383" s="1" t="s">
        <v>4</v>
      </c>
      <c r="C383" s="1">
        <v>9</v>
      </c>
      <c r="D383" s="1">
        <v>9</v>
      </c>
      <c r="E383" s="1">
        <v>4</v>
      </c>
      <c r="F383" s="1">
        <f>SUMIF(Scores!$F$2:$F$926, 'Next Gen'!$A383, INDEX(Scores!$I$2:$Q$926, 0, MATCH($B383, Scores!$I$1:$Q$1, 0)))</f>
        <v>9</v>
      </c>
      <c r="G383" s="1">
        <f>INDEX(Scores!$B$2:$B$926, MATCH('Next Gen'!$A383, Scores!$F$2:$F$926, 0))</f>
        <v>256</v>
      </c>
      <c r="H383" s="1" t="str">
        <f>INDEX(Scores!$D$2:$D$926, MATCH('Next Gen'!$A383, Scores!$F$2:$F$926, 0))</f>
        <v>Original</v>
      </c>
      <c r="I383" s="4">
        <f>INDEX(Scores!$E$2:$E$926, MATCH('Next Gen'!$A383, Scores!$F$2:$F$926, 0))</f>
        <v>45972</v>
      </c>
    </row>
    <row r="384" spans="1:9">
      <c r="A384" s="1">
        <v>239</v>
      </c>
      <c r="B384" s="1" t="s">
        <v>6</v>
      </c>
      <c r="C384" s="1">
        <v>9</v>
      </c>
      <c r="D384" s="1">
        <v>9</v>
      </c>
      <c r="E384" s="1">
        <v>5</v>
      </c>
      <c r="F384" s="1">
        <f>SUMIF(Scores!$F$2:$F$926, 'Next Gen'!$A384, INDEX(Scores!$I$2:$Q$926, 0, MATCH($B384, Scores!$I$1:$Q$1, 0)))</f>
        <v>13</v>
      </c>
      <c r="G384" s="1">
        <f>INDEX(Scores!$B$2:$B$926, MATCH('Next Gen'!$A384, Scores!$F$2:$F$926, 0))</f>
        <v>256</v>
      </c>
      <c r="H384" s="1" t="str">
        <f>INDEX(Scores!$D$2:$D$926, MATCH('Next Gen'!$A384, Scores!$F$2:$F$926, 0))</f>
        <v>Original</v>
      </c>
      <c r="I384" s="4">
        <f>INDEX(Scores!$E$2:$E$926, MATCH('Next Gen'!$A384, Scores!$F$2:$F$926, 0))</f>
        <v>45972</v>
      </c>
    </row>
    <row r="385" spans="1:9">
      <c r="A385" s="1">
        <v>240</v>
      </c>
      <c r="B385" s="1" t="s">
        <v>5</v>
      </c>
      <c r="C385" s="1">
        <v>9</v>
      </c>
      <c r="D385" s="1">
        <v>8</v>
      </c>
      <c r="E385" s="1">
        <v>3</v>
      </c>
      <c r="F385" s="1">
        <f>SUMIF(Scores!$F$2:$F$926, 'Next Gen'!$A385, INDEX(Scores!$I$2:$Q$926, 0, MATCH($B385, Scores!$I$1:$Q$1, 0)))</f>
        <v>7</v>
      </c>
      <c r="G385" s="1">
        <f>INDEX(Scores!$B$2:$B$926, MATCH('Next Gen'!$A385, Scores!$F$2:$F$926, 0))</f>
        <v>256</v>
      </c>
      <c r="H385" s="1" t="str">
        <f>INDEX(Scores!$D$2:$D$926, MATCH('Next Gen'!$A385, Scores!$F$2:$F$926, 0))</f>
        <v>Original</v>
      </c>
      <c r="I385" s="4">
        <f>INDEX(Scores!$E$2:$E$926, MATCH('Next Gen'!$A385, Scores!$F$2:$F$926, 0))</f>
        <v>45973</v>
      </c>
    </row>
    <row r="386" spans="1:9">
      <c r="A386" s="1">
        <v>240</v>
      </c>
      <c r="B386" s="1" t="s">
        <v>4</v>
      </c>
      <c r="C386" s="1">
        <v>9</v>
      </c>
      <c r="D386" s="1">
        <v>9</v>
      </c>
      <c r="E386" s="1">
        <v>6</v>
      </c>
      <c r="F386" s="1">
        <f>SUMIF(Scores!$F$2:$F$926, 'Next Gen'!$A386, INDEX(Scores!$I$2:$Q$926, 0, MATCH($B386, Scores!$I$1:$Q$1, 0)))</f>
        <v>14</v>
      </c>
      <c r="G386" s="1">
        <f>INDEX(Scores!$B$2:$B$926, MATCH('Next Gen'!$A386, Scores!$F$2:$F$926, 0))</f>
        <v>256</v>
      </c>
      <c r="H386" s="1" t="str">
        <f>INDEX(Scores!$D$2:$D$926, MATCH('Next Gen'!$A386, Scores!$F$2:$F$926, 0))</f>
        <v>Original</v>
      </c>
      <c r="I386" s="4">
        <f>INDEX(Scores!$E$2:$E$926, MATCH('Next Gen'!$A386, Scores!$F$2:$F$926, 0))</f>
        <v>45973</v>
      </c>
    </row>
    <row r="387" spans="1:9">
      <c r="A387" s="1">
        <v>240</v>
      </c>
      <c r="B387" s="1" t="s">
        <v>6</v>
      </c>
      <c r="C387" s="1">
        <v>9</v>
      </c>
      <c r="D387" s="1">
        <v>6</v>
      </c>
      <c r="E387" s="1">
        <v>3</v>
      </c>
      <c r="F387" s="1">
        <f>SUMIF(Scores!$F$2:$F$926, 'Next Gen'!$A387, INDEX(Scores!$I$2:$Q$926, 0, MATCH($B387, Scores!$I$1:$Q$1, 0)))</f>
        <v>6</v>
      </c>
      <c r="G387" s="1">
        <f>INDEX(Scores!$B$2:$B$926, MATCH('Next Gen'!$A387, Scores!$F$2:$F$926, 0))</f>
        <v>256</v>
      </c>
      <c r="H387" s="1" t="str">
        <f>INDEX(Scores!$D$2:$D$926, MATCH('Next Gen'!$A387, Scores!$F$2:$F$926, 0))</f>
        <v>Original</v>
      </c>
      <c r="I387" s="4">
        <f>INDEX(Scores!$E$2:$E$926, MATCH('Next Gen'!$A387, Scores!$F$2:$F$926, 0))</f>
        <v>45973</v>
      </c>
    </row>
    <row r="388" spans="1:9">
      <c r="A388" s="1">
        <v>241</v>
      </c>
      <c r="B388" s="1" t="s">
        <v>5</v>
      </c>
      <c r="C388" s="1">
        <v>9</v>
      </c>
      <c r="D388" s="1">
        <v>6</v>
      </c>
      <c r="E388" s="1">
        <v>4</v>
      </c>
      <c r="F388" s="1">
        <f>SUMIF(Scores!$F$2:$F$926, 'Next Gen'!$A388, INDEX(Scores!$I$2:$Q$926, 0, MATCH($B388, Scores!$I$1:$Q$1, 0)))</f>
        <v>6</v>
      </c>
      <c r="G388" s="1">
        <f>INDEX(Scores!$B$2:$B$926, MATCH('Next Gen'!$A388, Scores!$F$2:$F$926, 0))</f>
        <v>256</v>
      </c>
      <c r="H388" s="1" t="str">
        <f>INDEX(Scores!$D$2:$D$926, MATCH('Next Gen'!$A388, Scores!$F$2:$F$926, 0))</f>
        <v>Original</v>
      </c>
      <c r="I388" s="4">
        <f>INDEX(Scores!$E$2:$E$926, MATCH('Next Gen'!$A388, Scores!$F$2:$F$926, 0))</f>
        <v>45979</v>
      </c>
    </row>
    <row r="389" spans="1:9">
      <c r="A389" s="1">
        <v>241</v>
      </c>
      <c r="B389" s="1" t="s">
        <v>4</v>
      </c>
      <c r="C389" s="1">
        <v>9</v>
      </c>
      <c r="D389" s="1">
        <v>9</v>
      </c>
      <c r="E389" s="1">
        <v>7</v>
      </c>
      <c r="F389" s="1">
        <f>SUMIF(Scores!$F$2:$F$926, 'Next Gen'!$A389, INDEX(Scores!$I$2:$Q$926, 0, MATCH($B389, Scores!$I$1:$Q$1, 0)))</f>
        <v>19</v>
      </c>
      <c r="G389" s="1">
        <f>INDEX(Scores!$B$2:$B$926, MATCH('Next Gen'!$A389, Scores!$F$2:$F$926, 0))</f>
        <v>256</v>
      </c>
      <c r="H389" s="1" t="str">
        <f>INDEX(Scores!$D$2:$D$926, MATCH('Next Gen'!$A389, Scores!$F$2:$F$926, 0))</f>
        <v>Original</v>
      </c>
      <c r="I389" s="4">
        <f>INDEX(Scores!$E$2:$E$926, MATCH('Next Gen'!$A389, Scores!$F$2:$F$926, 0))</f>
        <v>45979</v>
      </c>
    </row>
    <row r="390" spans="1:9">
      <c r="A390" s="1">
        <v>241</v>
      </c>
      <c r="B390" s="1" t="s">
        <v>23</v>
      </c>
      <c r="C390" s="1">
        <v>9</v>
      </c>
      <c r="D390" s="1">
        <v>2</v>
      </c>
      <c r="E390" s="1">
        <v>2</v>
      </c>
      <c r="F390" s="1">
        <f>SUMIF(Scores!$F$2:$F$926, 'Next Gen'!$A390, INDEX(Scores!$I$2:$Q$926, 0, MATCH($B390, Scores!$I$1:$Q$1, 0)))</f>
        <v>4</v>
      </c>
      <c r="G390" s="1">
        <f>INDEX(Scores!$B$2:$B$926, MATCH('Next Gen'!$A390, Scores!$F$2:$F$926, 0))</f>
        <v>256</v>
      </c>
      <c r="H390" s="1" t="str">
        <f>INDEX(Scores!$D$2:$D$926, MATCH('Next Gen'!$A390, Scores!$F$2:$F$926, 0))</f>
        <v>Original</v>
      </c>
      <c r="I390" s="4">
        <f>INDEX(Scores!$E$2:$E$926, MATCH('Next Gen'!$A390, Scores!$F$2:$F$926, 0))</f>
        <v>45979</v>
      </c>
    </row>
    <row r="391" spans="1:9">
      <c r="A391" s="1">
        <v>241</v>
      </c>
      <c r="B391" s="1" t="s">
        <v>119</v>
      </c>
      <c r="C391" s="1">
        <v>9</v>
      </c>
      <c r="D391" s="1">
        <v>2</v>
      </c>
      <c r="E391" s="1">
        <v>2</v>
      </c>
      <c r="F391" s="1">
        <f>SUMIF(Scores!$F$2:$F$926, 'Next Gen'!$A391, INDEX(Scores!$I$2:$Q$926, 0, MATCH($B391, Scores!$I$1:$Q$1, 0)))</f>
        <v>5</v>
      </c>
      <c r="G391" s="1">
        <f>INDEX(Scores!$B$2:$B$926, MATCH('Next Gen'!$A391, Scores!$F$2:$F$926, 0))</f>
        <v>256</v>
      </c>
      <c r="H391" s="1" t="str">
        <f>INDEX(Scores!$D$2:$D$926, MATCH('Next Gen'!$A391, Scores!$F$2:$F$926, 0))</f>
        <v>Original</v>
      </c>
      <c r="I391" s="4">
        <f>INDEX(Scores!$E$2:$E$926, MATCH('Next Gen'!$A391, Scores!$F$2:$F$926, 0))</f>
        <v>45979</v>
      </c>
    </row>
    <row r="392" spans="1:9">
      <c r="A392" s="1">
        <v>242</v>
      </c>
      <c r="B392" s="1" t="s">
        <v>5</v>
      </c>
      <c r="C392" s="1">
        <v>9</v>
      </c>
      <c r="D392" s="1">
        <v>8</v>
      </c>
      <c r="E392" s="1">
        <v>4</v>
      </c>
      <c r="F392" s="1">
        <f>SUMIF(Scores!$F$2:$F$926, 'Next Gen'!$A392, INDEX(Scores!$I$2:$Q$926, 0, MATCH($B392, Scores!$I$1:$Q$1, 0)))</f>
        <v>10</v>
      </c>
      <c r="G392" s="1">
        <f>INDEX(Scores!$B$2:$B$926, MATCH('Next Gen'!$A392, Scores!$F$2:$F$926, 0))</f>
        <v>256</v>
      </c>
      <c r="H392" s="1" t="str">
        <f>INDEX(Scores!$D$2:$D$926, MATCH('Next Gen'!$A392, Scores!$F$2:$F$926, 0))</f>
        <v>Original</v>
      </c>
      <c r="I392" s="4">
        <f>INDEX(Scores!$E$2:$E$926, MATCH('Next Gen'!$A392, Scores!$F$2:$F$926, 0))</f>
        <v>45981</v>
      </c>
    </row>
    <row r="393" spans="1:9">
      <c r="A393" s="1">
        <v>242</v>
      </c>
      <c r="B393" s="1" t="s">
        <v>4</v>
      </c>
      <c r="C393" s="1">
        <v>9</v>
      </c>
      <c r="D393" s="1">
        <v>9</v>
      </c>
      <c r="E393" s="1">
        <v>7</v>
      </c>
      <c r="F393" s="1">
        <f>SUMIF(Scores!$F$2:$F$926, 'Next Gen'!$A393, INDEX(Scores!$I$2:$Q$926, 0, MATCH($B393, Scores!$I$1:$Q$1, 0)))</f>
        <v>14</v>
      </c>
      <c r="G393" s="1">
        <f>INDEX(Scores!$B$2:$B$926, MATCH('Next Gen'!$A393, Scores!$F$2:$F$926, 0))</f>
        <v>256</v>
      </c>
      <c r="H393" s="1" t="str">
        <f>INDEX(Scores!$D$2:$D$926, MATCH('Next Gen'!$A393, Scores!$F$2:$F$926, 0))</f>
        <v>Original</v>
      </c>
      <c r="I393" s="4">
        <f>INDEX(Scores!$E$2:$E$926, MATCH('Next Gen'!$A393, Scores!$F$2:$F$926, 0))</f>
        <v>45981</v>
      </c>
    </row>
    <row r="394" spans="1:9">
      <c r="A394" s="1">
        <v>243</v>
      </c>
      <c r="B394" s="1" t="s">
        <v>5</v>
      </c>
      <c r="C394" s="1">
        <v>9</v>
      </c>
      <c r="D394" s="1">
        <v>5</v>
      </c>
      <c r="E394" s="1">
        <v>5</v>
      </c>
      <c r="F394" s="1">
        <f>SUMIF(Scores!$F$2:$F$926, 'Next Gen'!$A394, INDEX(Scores!$I$2:$Q$926, 0, MATCH($B394, Scores!$I$1:$Q$1, 0)))</f>
        <v>13</v>
      </c>
      <c r="G394" s="1">
        <f>INDEX(Scores!$B$2:$B$926, MATCH('Next Gen'!$A394, Scores!$F$2:$F$926, 0))</f>
        <v>256</v>
      </c>
      <c r="H394" s="1" t="str">
        <f>INDEX(Scores!$D$2:$D$926, MATCH('Next Gen'!$A394, Scores!$F$2:$F$926, 0))</f>
        <v>Original</v>
      </c>
      <c r="I394" s="4">
        <f>INDEX(Scores!$E$2:$E$926, MATCH('Next Gen'!$A394, Scores!$F$2:$F$926, 0))</f>
        <v>45982</v>
      </c>
    </row>
    <row r="395" spans="1:9">
      <c r="A395" s="1">
        <v>243</v>
      </c>
      <c r="B395" s="1" t="s">
        <v>4</v>
      </c>
      <c r="C395" s="1">
        <v>9</v>
      </c>
      <c r="D395" s="1">
        <v>8</v>
      </c>
      <c r="E395" s="1">
        <v>4</v>
      </c>
      <c r="F395" s="1">
        <f>SUMIF(Scores!$F$2:$F$926, 'Next Gen'!$A395, INDEX(Scores!$I$2:$Q$926, 0, MATCH($B395, Scores!$I$1:$Q$1, 0)))</f>
        <v>9</v>
      </c>
      <c r="G395" s="1">
        <f>INDEX(Scores!$B$2:$B$926, MATCH('Next Gen'!$A395, Scores!$F$2:$F$926, 0))</f>
        <v>256</v>
      </c>
      <c r="H395" s="1" t="str">
        <f>INDEX(Scores!$D$2:$D$926, MATCH('Next Gen'!$A395, Scores!$F$2:$F$926, 0))</f>
        <v>Original</v>
      </c>
      <c r="I395" s="4">
        <f>INDEX(Scores!$E$2:$E$926, MATCH('Next Gen'!$A395, Scores!$F$2:$F$926, 0))</f>
        <v>45982</v>
      </c>
    </row>
    <row r="396" spans="1:9">
      <c r="A396" s="1">
        <v>244</v>
      </c>
      <c r="B396" s="1" t="s">
        <v>5</v>
      </c>
      <c r="C396" s="1">
        <v>15</v>
      </c>
      <c r="D396" s="1">
        <v>13</v>
      </c>
      <c r="E396" s="1">
        <v>11</v>
      </c>
      <c r="F396" s="1">
        <f>SUMIF(Scores!$F$2:$F$926, 'Next Gen'!$A396, INDEX(Scores!$I$2:$Q$926, 0, MATCH($B396, Scores!$I$1:$Q$1, 0)))</f>
        <v>18</v>
      </c>
      <c r="G396" s="1">
        <f>INDEX(Scores!$B$2:$B$926, MATCH('Next Gen'!$A396, Scores!$F$2:$F$926, 0))</f>
        <v>256</v>
      </c>
      <c r="H396" s="1" t="str">
        <f>INDEX(Scores!$D$2:$D$926, MATCH('Next Gen'!$A396, Scores!$F$2:$F$926, 0))</f>
        <v>Original</v>
      </c>
      <c r="I396" s="4">
        <f>INDEX(Scores!$E$2:$E$926, MATCH('Next Gen'!$A396, Scores!$F$2:$F$926, 0))</f>
        <v>45992</v>
      </c>
    </row>
    <row r="397" spans="1:9">
      <c r="A397" s="1">
        <v>244</v>
      </c>
      <c r="B397" s="1" t="s">
        <v>4</v>
      </c>
      <c r="C397" s="1">
        <v>15</v>
      </c>
      <c r="D397" s="1">
        <v>15</v>
      </c>
      <c r="E397" s="1">
        <v>7</v>
      </c>
      <c r="F397" s="1">
        <f>SUMIF(Scores!$F$2:$F$926, 'Next Gen'!$A397, INDEX(Scores!$I$2:$Q$926, 0, MATCH($B397, Scores!$I$1:$Q$1, 0)))</f>
        <v>15</v>
      </c>
      <c r="G397" s="1">
        <f>INDEX(Scores!$B$2:$B$926, MATCH('Next Gen'!$A397, Scores!$F$2:$F$926, 0))</f>
        <v>256</v>
      </c>
      <c r="H397" s="1" t="str">
        <f>INDEX(Scores!$D$2:$D$926, MATCH('Next Gen'!$A397, Scores!$F$2:$F$926, 0))</f>
        <v>Original</v>
      </c>
      <c r="I397" s="4">
        <f>INDEX(Scores!$E$2:$E$926, MATCH('Next Gen'!$A397, Scores!$F$2:$F$926, 0))</f>
        <v>45992</v>
      </c>
    </row>
    <row r="398" spans="1:9">
      <c r="A398" s="1">
        <v>245</v>
      </c>
      <c r="B398" s="1" t="s">
        <v>5</v>
      </c>
      <c r="C398" s="1">
        <v>9</v>
      </c>
      <c r="D398" s="1">
        <v>7</v>
      </c>
      <c r="E398" s="1">
        <v>5</v>
      </c>
      <c r="F398" s="1">
        <f>SUMIF(Scores!$F$2:$F$926, 'Next Gen'!$A398, INDEX(Scores!$I$2:$Q$926, 0, MATCH($B398, Scores!$I$1:$Q$1, 0)))</f>
        <v>12</v>
      </c>
      <c r="G398" s="1">
        <f>INDEX(Scores!$B$2:$B$926, MATCH('Next Gen'!$A398, Scores!$F$2:$F$926, 0))</f>
        <v>256</v>
      </c>
      <c r="H398" s="1" t="str">
        <f>INDEX(Scores!$D$2:$D$926, MATCH('Next Gen'!$A398, Scores!$F$2:$F$926, 0))</f>
        <v>Original</v>
      </c>
      <c r="I398" s="4">
        <f>INDEX(Scores!$E$2:$E$926, MATCH('Next Gen'!$A398, Scores!$F$2:$F$926, 0))</f>
        <v>45993</v>
      </c>
    </row>
    <row r="399" spans="1:9">
      <c r="A399" s="1">
        <v>245</v>
      </c>
      <c r="B399" s="1" t="s">
        <v>4</v>
      </c>
      <c r="C399" s="1">
        <v>9</v>
      </c>
      <c r="D399" s="1">
        <v>9</v>
      </c>
      <c r="E399" s="1">
        <v>8</v>
      </c>
      <c r="F399" s="1">
        <f>SUMIF(Scores!$F$2:$F$926, 'Next Gen'!$A399, INDEX(Scores!$I$2:$Q$926, 0, MATCH($B399, Scores!$I$1:$Q$1, 0)))</f>
        <v>14</v>
      </c>
      <c r="G399" s="1">
        <f>INDEX(Scores!$B$2:$B$926, MATCH('Next Gen'!$A399, Scores!$F$2:$F$926, 0))</f>
        <v>256</v>
      </c>
      <c r="H399" s="1" t="str">
        <f>INDEX(Scores!$D$2:$D$926, MATCH('Next Gen'!$A399, Scores!$F$2:$F$926, 0))</f>
        <v>Original</v>
      </c>
      <c r="I399" s="4">
        <f>INDEX(Scores!$E$2:$E$926, MATCH('Next Gen'!$A399, Scores!$F$2:$F$926, 0))</f>
        <v>45993</v>
      </c>
    </row>
    <row r="400" spans="1:9">
      <c r="A400" s="1">
        <v>246</v>
      </c>
      <c r="B400" s="1" t="s">
        <v>5</v>
      </c>
      <c r="C400" s="1">
        <v>9</v>
      </c>
      <c r="D400" s="1">
        <v>8</v>
      </c>
      <c r="E400" s="1">
        <v>5</v>
      </c>
      <c r="F400" s="1">
        <f>SUMIF(Scores!$F$2:$F$926, 'Next Gen'!$A400, INDEX(Scores!$I$2:$Q$926, 0, MATCH($B400, Scores!$I$1:$Q$1, 0)))</f>
        <v>11</v>
      </c>
      <c r="G400" s="1">
        <f>INDEX(Scores!$B$2:$B$926, MATCH('Next Gen'!$A400, Scores!$F$2:$F$926, 0))</f>
        <v>256</v>
      </c>
      <c r="H400" s="1" t="str">
        <f>INDEX(Scores!$D$2:$D$926, MATCH('Next Gen'!$A400, Scores!$F$2:$F$926, 0))</f>
        <v>Original</v>
      </c>
      <c r="I400" s="4">
        <f>INDEX(Scores!$E$2:$E$926, MATCH('Next Gen'!$A400, Scores!$F$2:$F$926, 0))</f>
        <v>45994</v>
      </c>
    </row>
    <row r="401" spans="1:9">
      <c r="A401" s="1">
        <v>246</v>
      </c>
      <c r="B401" s="1" t="s">
        <v>4</v>
      </c>
      <c r="C401" s="1">
        <v>9</v>
      </c>
      <c r="D401" s="1">
        <v>9</v>
      </c>
      <c r="E401" s="1">
        <v>6</v>
      </c>
      <c r="F401" s="1">
        <f>SUMIF(Scores!$F$2:$F$926, 'Next Gen'!$A401, INDEX(Scores!$I$2:$Q$926, 0, MATCH($B401, Scores!$I$1:$Q$1, 0)))</f>
        <v>13</v>
      </c>
      <c r="G401" s="1">
        <f>INDEX(Scores!$B$2:$B$926, MATCH('Next Gen'!$A401, Scores!$F$2:$F$926, 0))</f>
        <v>256</v>
      </c>
      <c r="H401" s="1" t="str">
        <f>INDEX(Scores!$D$2:$D$926, MATCH('Next Gen'!$A401, Scores!$F$2:$F$926, 0))</f>
        <v>Original</v>
      </c>
      <c r="I401" s="4">
        <f>INDEX(Scores!$E$2:$E$926, MATCH('Next Gen'!$A401, Scores!$F$2:$F$926, 0))</f>
        <v>45994</v>
      </c>
    </row>
    <row r="402" spans="1:9">
      <c r="A402" s="1">
        <v>247</v>
      </c>
      <c r="B402" s="1" t="s">
        <v>5</v>
      </c>
      <c r="C402" s="1">
        <v>9</v>
      </c>
      <c r="D402" s="1">
        <v>7</v>
      </c>
      <c r="E402" s="1">
        <v>4</v>
      </c>
      <c r="F402" s="1">
        <f>SUMIF(Scores!$F$2:$F$926, 'Next Gen'!$A402, INDEX(Scores!$I$2:$Q$926, 0, MATCH($B402, Scores!$I$1:$Q$1, 0)))</f>
        <v>6</v>
      </c>
      <c r="G402" s="1">
        <f>INDEX(Scores!$B$2:$B$926, MATCH('Next Gen'!$A402, Scores!$F$2:$F$926, 0))</f>
        <v>256</v>
      </c>
      <c r="H402" s="1" t="str">
        <f>INDEX(Scores!$D$2:$D$926, MATCH('Next Gen'!$A402, Scores!$F$2:$F$926, 0))</f>
        <v>Original</v>
      </c>
      <c r="I402" s="4">
        <f>INDEX(Scores!$E$2:$E$926, MATCH('Next Gen'!$A402, Scores!$F$2:$F$926, 0))</f>
        <v>45995</v>
      </c>
    </row>
    <row r="403" spans="1:9">
      <c r="A403" s="1">
        <v>247</v>
      </c>
      <c r="B403" s="1" t="s">
        <v>4</v>
      </c>
      <c r="C403" s="1">
        <v>9</v>
      </c>
      <c r="D403" s="1">
        <v>9</v>
      </c>
      <c r="E403" s="1">
        <v>4</v>
      </c>
      <c r="F403" s="1">
        <f>SUMIF(Scores!$F$2:$F$926, 'Next Gen'!$A403, INDEX(Scores!$I$2:$Q$926, 0, MATCH($B403, Scores!$I$1:$Q$1, 0)))</f>
        <v>7</v>
      </c>
      <c r="G403" s="1">
        <f>INDEX(Scores!$B$2:$B$926, MATCH('Next Gen'!$A403, Scores!$F$2:$F$926, 0))</f>
        <v>256</v>
      </c>
      <c r="H403" s="1" t="str">
        <f>INDEX(Scores!$D$2:$D$926, MATCH('Next Gen'!$A403, Scores!$F$2:$F$926, 0))</f>
        <v>Original</v>
      </c>
      <c r="I403" s="4">
        <f>INDEX(Scores!$E$2:$E$926, MATCH('Next Gen'!$A403, Scores!$F$2:$F$926, 0))</f>
        <v>45995</v>
      </c>
    </row>
    <row r="404" spans="1:9">
      <c r="A404" s="1">
        <v>248</v>
      </c>
      <c r="B404" s="1" t="s">
        <v>5</v>
      </c>
      <c r="C404" s="1">
        <v>9</v>
      </c>
      <c r="D404" s="1">
        <v>7</v>
      </c>
      <c r="E404" s="1">
        <v>4</v>
      </c>
      <c r="F404" s="1">
        <f>SUMIF(Scores!$F$2:$F$926, 'Next Gen'!$A404, INDEX(Scores!$I$2:$Q$926, 0, MATCH($B404, Scores!$I$1:$Q$1, 0)))</f>
        <v>6</v>
      </c>
      <c r="G404" s="1">
        <f>INDEX(Scores!$B$2:$B$926, MATCH('Next Gen'!$A404, Scores!$F$2:$F$926, 0))</f>
        <v>256</v>
      </c>
      <c r="H404" s="1" t="str">
        <f>INDEX(Scores!$D$2:$D$926, MATCH('Next Gen'!$A404, Scores!$F$2:$F$926, 0))</f>
        <v>Original</v>
      </c>
      <c r="I404" s="4">
        <f>INDEX(Scores!$E$2:$E$926, MATCH('Next Gen'!$A404, Scores!$F$2:$F$926, 0))</f>
        <v>45996</v>
      </c>
    </row>
    <row r="405" spans="1:9">
      <c r="A405" s="1">
        <v>248</v>
      </c>
      <c r="B405" s="1" t="s">
        <v>4</v>
      </c>
      <c r="C405" s="1">
        <v>9</v>
      </c>
      <c r="D405" s="1">
        <v>9</v>
      </c>
      <c r="E405" s="1">
        <v>6</v>
      </c>
      <c r="F405" s="1">
        <f>SUMIF(Scores!$F$2:$F$926, 'Next Gen'!$A405, INDEX(Scores!$I$2:$Q$926, 0, MATCH($B405, Scores!$I$1:$Q$1, 0)))</f>
        <v>15</v>
      </c>
      <c r="G405" s="1">
        <f>INDEX(Scores!$B$2:$B$926, MATCH('Next Gen'!$A405, Scores!$F$2:$F$926, 0))</f>
        <v>256</v>
      </c>
      <c r="H405" s="1" t="str">
        <f>INDEX(Scores!$D$2:$D$926, MATCH('Next Gen'!$A405, Scores!$F$2:$F$926, 0))</f>
        <v>Original</v>
      </c>
      <c r="I405" s="4">
        <f>INDEX(Scores!$E$2:$E$926, MATCH('Next Gen'!$A405, Scores!$F$2:$F$926, 0))</f>
        <v>45996</v>
      </c>
    </row>
    <row r="406" spans="1:9">
      <c r="A406" s="1">
        <v>249</v>
      </c>
      <c r="B406" s="1" t="s">
        <v>5</v>
      </c>
      <c r="C406" s="1">
        <v>9</v>
      </c>
      <c r="D406" s="1">
        <v>9</v>
      </c>
      <c r="E406" s="1">
        <v>6</v>
      </c>
      <c r="F406" s="1">
        <f>SUMIF(Scores!$F$2:$F$926, 'Next Gen'!$A406, INDEX(Scores!$I$2:$Q$926, 0, MATCH($B406, Scores!$I$1:$Q$1, 0)))</f>
        <v>15</v>
      </c>
      <c r="G406" s="1">
        <f>INDEX(Scores!$B$2:$B$926, MATCH('Next Gen'!$A406, Scores!$F$2:$F$926, 0))</f>
        <v>256</v>
      </c>
      <c r="H406" s="1" t="str">
        <f>INDEX(Scores!$D$2:$D$926, MATCH('Next Gen'!$A406, Scores!$F$2:$F$926, 0))</f>
        <v>Original</v>
      </c>
      <c r="I406" s="4">
        <f>INDEX(Scores!$E$2:$E$926, MATCH('Next Gen'!$A406, Scores!$F$2:$F$926, 0))</f>
        <v>45999</v>
      </c>
    </row>
    <row r="407" spans="1:9">
      <c r="A407" s="1">
        <v>249</v>
      </c>
      <c r="B407" s="1" t="s">
        <v>4</v>
      </c>
      <c r="C407" s="1">
        <v>9</v>
      </c>
      <c r="D407" s="1">
        <v>9</v>
      </c>
      <c r="E407" s="1">
        <v>6</v>
      </c>
      <c r="F407" s="1">
        <f>SUMIF(Scores!$F$2:$F$926, 'Next Gen'!$A407, INDEX(Scores!$I$2:$Q$926, 0, MATCH($B407, Scores!$I$1:$Q$1, 0)))</f>
        <v>12</v>
      </c>
      <c r="G407" s="1">
        <f>INDEX(Scores!$B$2:$B$926, MATCH('Next Gen'!$A407, Scores!$F$2:$F$926, 0))</f>
        <v>256</v>
      </c>
      <c r="H407" s="1" t="str">
        <f>INDEX(Scores!$D$2:$D$926, MATCH('Next Gen'!$A407, Scores!$F$2:$F$926, 0))</f>
        <v>Original</v>
      </c>
      <c r="I407" s="4">
        <f>INDEX(Scores!$E$2:$E$926, MATCH('Next Gen'!$A407, Scores!$F$2:$F$926, 0))</f>
        <v>45999</v>
      </c>
    </row>
    <row r="408" spans="1:9">
      <c r="A408" s="1">
        <v>249</v>
      </c>
      <c r="B408" s="1" t="s">
        <v>6</v>
      </c>
      <c r="C408" s="1">
        <v>9</v>
      </c>
      <c r="D408" s="1">
        <v>5</v>
      </c>
      <c r="E408" s="1">
        <v>2</v>
      </c>
      <c r="F408" s="1">
        <f>SUMIF(Scores!$F$2:$F$926, 'Next Gen'!$A408, INDEX(Scores!$I$2:$Q$926, 0, MATCH($B408, Scores!$I$1:$Q$1, 0)))</f>
        <v>2</v>
      </c>
      <c r="G408" s="1">
        <f>INDEX(Scores!$B$2:$B$926, MATCH('Next Gen'!$A408, Scores!$F$2:$F$926, 0))</f>
        <v>256</v>
      </c>
      <c r="H408" s="1" t="str">
        <f>INDEX(Scores!$D$2:$D$926, MATCH('Next Gen'!$A408, Scores!$F$2:$F$926, 0))</f>
        <v>Original</v>
      </c>
      <c r="I408" s="4">
        <f>INDEX(Scores!$E$2:$E$926, MATCH('Next Gen'!$A408, Scores!$F$2:$F$926, 0))</f>
        <v>45999</v>
      </c>
    </row>
    <row r="409" spans="1:9">
      <c r="A409" s="1">
        <v>250</v>
      </c>
      <c r="B409" s="1" t="s">
        <v>5</v>
      </c>
      <c r="C409" s="1">
        <v>12</v>
      </c>
      <c r="D409" s="1">
        <v>10</v>
      </c>
      <c r="E409" s="1">
        <v>7</v>
      </c>
      <c r="F409" s="1">
        <f>SUMIF(Scores!$F$2:$F$926, 'Next Gen'!$A409, INDEX(Scores!$I$2:$Q$926, 0, MATCH($B409, Scores!$I$1:$Q$1, 0)))</f>
        <v>16</v>
      </c>
      <c r="G409" s="1">
        <f>INDEX(Scores!$B$2:$B$926, MATCH('Next Gen'!$A409, Scores!$F$2:$F$926, 0))</f>
        <v>256</v>
      </c>
      <c r="H409" s="1" t="str">
        <f>INDEX(Scores!$D$2:$D$926, MATCH('Next Gen'!$A409, Scores!$F$2:$F$926, 0))</f>
        <v>Original</v>
      </c>
      <c r="I409" s="4">
        <f>INDEX(Scores!$E$2:$E$926, MATCH('Next Gen'!$A409, Scores!$F$2:$F$926, 0))</f>
        <v>45999</v>
      </c>
    </row>
    <row r="410" spans="1:9">
      <c r="A410" s="1">
        <v>250</v>
      </c>
      <c r="B410" s="1" t="s">
        <v>4</v>
      </c>
      <c r="C410" s="1">
        <v>12</v>
      </c>
      <c r="D410" s="1">
        <v>12</v>
      </c>
      <c r="E410" s="1">
        <v>5</v>
      </c>
      <c r="F410" s="1">
        <f>SUMIF(Scores!$F$2:$F$926, 'Next Gen'!$A410, INDEX(Scores!$I$2:$Q$926, 0, MATCH($B410, Scores!$I$1:$Q$1, 0)))</f>
        <v>13</v>
      </c>
      <c r="G410" s="1">
        <f>INDEX(Scores!$B$2:$B$926, MATCH('Next Gen'!$A410, Scores!$F$2:$F$926, 0))</f>
        <v>256</v>
      </c>
      <c r="H410" s="1" t="str">
        <f>INDEX(Scores!$D$2:$D$926, MATCH('Next Gen'!$A410, Scores!$F$2:$F$926, 0))</f>
        <v>Original</v>
      </c>
      <c r="I410" s="4">
        <f>INDEX(Scores!$E$2:$E$926, MATCH('Next Gen'!$A410, Scores!$F$2:$F$926, 0))</f>
        <v>45999</v>
      </c>
    </row>
    <row r="411" spans="1:9">
      <c r="A411" s="1">
        <v>250</v>
      </c>
      <c r="B411" s="1" t="s">
        <v>6</v>
      </c>
      <c r="C411" s="1">
        <v>9</v>
      </c>
      <c r="D411" s="1">
        <v>7</v>
      </c>
      <c r="E411" s="1">
        <v>6</v>
      </c>
      <c r="F411" s="1">
        <f>SUMIF(Scores!$F$2:$F$926, 'Next Gen'!$A411, INDEX(Scores!$I$2:$Q$926, 0, MATCH($B411, Scores!$I$1:$Q$1, 0)))</f>
        <v>7</v>
      </c>
      <c r="G411" s="1">
        <f>INDEX(Scores!$B$2:$B$926, MATCH('Next Gen'!$A411, Scores!$F$2:$F$926, 0))</f>
        <v>256</v>
      </c>
      <c r="H411" s="1" t="str">
        <f>INDEX(Scores!$D$2:$D$926, MATCH('Next Gen'!$A411, Scores!$F$2:$F$926, 0))</f>
        <v>Original</v>
      </c>
      <c r="I411" s="4">
        <f>INDEX(Scores!$E$2:$E$926, MATCH('Next Gen'!$A411, Scores!$F$2:$F$926, 0))</f>
        <v>45999</v>
      </c>
    </row>
    <row r="412" spans="1:9">
      <c r="A412" s="1">
        <v>251</v>
      </c>
      <c r="B412" s="1" t="s">
        <v>5</v>
      </c>
      <c r="C412" s="1">
        <v>9</v>
      </c>
      <c r="D412" s="1">
        <v>9</v>
      </c>
      <c r="E412" s="1">
        <v>5</v>
      </c>
      <c r="F412" s="1">
        <f>SUMIF(Scores!$F$2:$F$926, 'Next Gen'!$A412, INDEX(Scores!$I$2:$Q$926, 0, MATCH($B412, Scores!$I$1:$Q$1, 0)))</f>
        <v>11</v>
      </c>
      <c r="G412" s="1">
        <f>INDEX(Scores!$B$2:$B$926, MATCH('Next Gen'!$A412, Scores!$F$2:$F$926, 0))</f>
        <v>256</v>
      </c>
      <c r="H412" s="1" t="str">
        <f>INDEX(Scores!$D$2:$D$926, MATCH('Next Gen'!$A412, Scores!$F$2:$F$926, 0))</f>
        <v>Original</v>
      </c>
      <c r="I412" s="4">
        <f>INDEX(Scores!$E$2:$E$926, MATCH('Next Gen'!$A412, Scores!$F$2:$F$926, 0))</f>
        <v>46000</v>
      </c>
    </row>
    <row r="413" spans="1:9">
      <c r="A413" s="1">
        <v>251</v>
      </c>
      <c r="B413" s="1" t="s">
        <v>4</v>
      </c>
      <c r="C413" s="1">
        <v>9</v>
      </c>
      <c r="D413" s="1">
        <v>6</v>
      </c>
      <c r="E413" s="1">
        <v>6</v>
      </c>
      <c r="F413" s="1">
        <f>SUMIF(Scores!$F$2:$F$926, 'Next Gen'!$A413, INDEX(Scores!$I$2:$Q$926, 0, MATCH($B413, Scores!$I$1:$Q$1, 0)))</f>
        <v>13</v>
      </c>
      <c r="G413" s="1">
        <f>INDEX(Scores!$B$2:$B$926, MATCH('Next Gen'!$A413, Scores!$F$2:$F$926, 0))</f>
        <v>256</v>
      </c>
      <c r="H413" s="1" t="str">
        <f>INDEX(Scores!$D$2:$D$926, MATCH('Next Gen'!$A413, Scores!$F$2:$F$926, 0))</f>
        <v>Original</v>
      </c>
      <c r="I413" s="4">
        <f>INDEX(Scores!$E$2:$E$926, MATCH('Next Gen'!$A413, Scores!$F$2:$F$926, 0))</f>
        <v>46000</v>
      </c>
    </row>
    <row r="414" spans="1:9">
      <c r="A414" s="1">
        <v>253</v>
      </c>
      <c r="B414" s="1" t="s">
        <v>4</v>
      </c>
      <c r="C414" s="1">
        <v>9</v>
      </c>
      <c r="D414" s="1">
        <v>9</v>
      </c>
      <c r="E414" s="1">
        <v>7</v>
      </c>
      <c r="F414" s="1">
        <f>SUMIF(Scores!$F$2:$F$926, 'Next Gen'!$A414, INDEX(Scores!$I$2:$Q$926, 0, MATCH($B414, Scores!$I$1:$Q$1, 0)))</f>
        <v>19</v>
      </c>
      <c r="G414" s="1">
        <f>INDEX(Scores!$B$2:$B$926, MATCH('Next Gen'!$A414, Scores!$F$2:$F$926, 0))</f>
        <v>256</v>
      </c>
      <c r="H414" s="1" t="str">
        <f>INDEX(Scores!$D$2:$D$926, MATCH('Next Gen'!$A414, Scores!$F$2:$F$926, 0))</f>
        <v>Original</v>
      </c>
      <c r="I414" s="4">
        <f>INDEX(Scores!$E$2:$E$926, MATCH('Next Gen'!$A414, Scores!$F$2:$F$926, 0))</f>
        <v>46034</v>
      </c>
    </row>
    <row r="415" spans="1:9">
      <c r="A415" s="1">
        <v>253</v>
      </c>
      <c r="B415" s="1" t="s">
        <v>5</v>
      </c>
      <c r="C415" s="1">
        <v>9</v>
      </c>
      <c r="D415" s="1">
        <v>7</v>
      </c>
      <c r="E415" s="1">
        <v>6</v>
      </c>
      <c r="F415" s="1">
        <f>SUMIF(Scores!$F$2:$F$926, 'Next Gen'!$A415, INDEX(Scores!$I$2:$Q$926, 0, MATCH($B415, Scores!$I$1:$Q$1, 0)))</f>
        <v>12</v>
      </c>
      <c r="G415" s="1">
        <f>INDEX(Scores!$B$2:$B$926, MATCH('Next Gen'!$A415, Scores!$F$2:$F$926, 0))</f>
        <v>256</v>
      </c>
      <c r="H415" s="1" t="str">
        <f>INDEX(Scores!$D$2:$D$926, MATCH('Next Gen'!$A415, Scores!$F$2:$F$926, 0))</f>
        <v>Original</v>
      </c>
      <c r="I415" s="4">
        <f>INDEX(Scores!$E$2:$E$926, MATCH('Next Gen'!$A415, Scores!$F$2:$F$926, 0))</f>
        <v>46034</v>
      </c>
    </row>
    <row r="416" spans="1:9">
      <c r="A416" s="1">
        <v>254</v>
      </c>
      <c r="B416" s="1" t="s">
        <v>4</v>
      </c>
      <c r="C416" s="1">
        <v>9</v>
      </c>
      <c r="D416" s="1">
        <v>9</v>
      </c>
      <c r="E416" s="1">
        <v>3</v>
      </c>
      <c r="F416" s="1">
        <f>SUMIF(Scores!$F$2:$F$926, 'Next Gen'!$A416, INDEX(Scores!$I$2:$Q$926, 0, MATCH($B416, Scores!$I$1:$Q$1, 0)))</f>
        <v>7</v>
      </c>
      <c r="G416" s="1">
        <f>INDEX(Scores!$B$2:$B$926, MATCH('Next Gen'!$A416, Scores!$F$2:$F$926, 0))</f>
        <v>256</v>
      </c>
      <c r="H416" s="1" t="str">
        <f>INDEX(Scores!$D$2:$D$926, MATCH('Next Gen'!$A416, Scores!$F$2:$F$926, 0))</f>
        <v>Original</v>
      </c>
      <c r="I416" s="4">
        <f>INDEX(Scores!$E$2:$E$926, MATCH('Next Gen'!$A416, Scores!$F$2:$F$926, 0))</f>
        <v>46035</v>
      </c>
    </row>
    <row r="417" spans="1:9">
      <c r="A417" s="1">
        <v>254</v>
      </c>
      <c r="B417" s="1" t="s">
        <v>5</v>
      </c>
      <c r="C417" s="1">
        <v>9</v>
      </c>
      <c r="D417" s="1">
        <v>8</v>
      </c>
      <c r="E417" s="1">
        <v>4</v>
      </c>
      <c r="F417" s="1">
        <f>SUMIF(Scores!$F$2:$F$926, 'Next Gen'!$A417, INDEX(Scores!$I$2:$Q$926, 0, MATCH($B417, Scores!$I$1:$Q$1, 0)))</f>
        <v>8</v>
      </c>
      <c r="G417" s="1">
        <f>INDEX(Scores!$B$2:$B$926, MATCH('Next Gen'!$A417, Scores!$F$2:$F$926, 0))</f>
        <v>256</v>
      </c>
      <c r="H417" s="1" t="str">
        <f>INDEX(Scores!$D$2:$D$926, MATCH('Next Gen'!$A417, Scores!$F$2:$F$926, 0))</f>
        <v>Original</v>
      </c>
      <c r="I417" s="4">
        <f>INDEX(Scores!$E$2:$E$926, MATCH('Next Gen'!$A417, Scores!$F$2:$F$926, 0))</f>
        <v>46035</v>
      </c>
    </row>
    <row r="418" spans="1:9">
      <c r="A418" s="1">
        <v>255</v>
      </c>
      <c r="B418" s="1" t="s">
        <v>5</v>
      </c>
      <c r="C418" s="1">
        <v>9</v>
      </c>
      <c r="D418" s="1">
        <v>6</v>
      </c>
      <c r="E418" s="1">
        <v>5</v>
      </c>
      <c r="F418" s="1">
        <f>SUMIF(Scores!$F$2:$F$926, 'Next Gen'!$A418, INDEX(Scores!$I$2:$Q$926, 0, MATCH($B418, Scores!$I$1:$Q$1, 0)))</f>
        <v>9</v>
      </c>
      <c r="G418" s="1">
        <f>INDEX(Scores!$B$2:$B$926, MATCH('Next Gen'!$A418, Scores!$F$2:$F$926, 0))</f>
        <v>256</v>
      </c>
      <c r="H418" s="1" t="str">
        <f>INDEX(Scores!$D$2:$D$926, MATCH('Next Gen'!$A418, Scores!$F$2:$F$926, 0))</f>
        <v>Original</v>
      </c>
      <c r="I418" s="4">
        <f>INDEX(Scores!$E$2:$E$926, MATCH('Next Gen'!$A418, Scores!$F$2:$F$926, 0))</f>
        <v>46036</v>
      </c>
    </row>
    <row r="419" spans="1:9">
      <c r="A419" s="1">
        <v>255</v>
      </c>
      <c r="B419" s="1" t="s">
        <v>4</v>
      </c>
      <c r="C419" s="1">
        <v>9</v>
      </c>
      <c r="D419" s="1">
        <v>9</v>
      </c>
      <c r="E419" s="1">
        <v>6</v>
      </c>
      <c r="F419" s="1">
        <f>SUMIF(Scores!$F$2:$F$926, 'Next Gen'!$A419, INDEX(Scores!$I$2:$Q$926, 0, MATCH($B419, Scores!$I$1:$Q$1, 0)))</f>
        <v>18</v>
      </c>
      <c r="G419" s="1">
        <f>INDEX(Scores!$B$2:$B$926, MATCH('Next Gen'!$A419, Scores!$F$2:$F$926, 0))</f>
        <v>256</v>
      </c>
      <c r="H419" s="1" t="str">
        <f>INDEX(Scores!$D$2:$D$926, MATCH('Next Gen'!$A419, Scores!$F$2:$F$926, 0))</f>
        <v>Original</v>
      </c>
      <c r="I419" s="4">
        <f>INDEX(Scores!$E$2:$E$926, MATCH('Next Gen'!$A419, Scores!$F$2:$F$926, 0))</f>
        <v>46036</v>
      </c>
    </row>
    <row r="420" spans="1:9">
      <c r="A420" s="1">
        <v>256</v>
      </c>
      <c r="B420" s="1" t="s">
        <v>5</v>
      </c>
      <c r="C420" s="1">
        <v>12</v>
      </c>
      <c r="D420" s="1">
        <v>12</v>
      </c>
      <c r="E420" s="1">
        <v>10</v>
      </c>
      <c r="F420" s="1">
        <f>SUMIF(Scores!$F$2:$F$926, 'Next Gen'!$A420, INDEX(Scores!$I$2:$Q$926, 0, MATCH($B420, Scores!$I$1:$Q$1, 0)))</f>
        <v>19</v>
      </c>
      <c r="G420" s="1">
        <f>INDEX(Scores!$B$2:$B$926, MATCH('Next Gen'!$A420, Scores!$F$2:$F$926, 0))</f>
        <v>256</v>
      </c>
      <c r="H420" s="1" t="str">
        <f>INDEX(Scores!$D$2:$D$926, MATCH('Next Gen'!$A420, Scores!$F$2:$F$926, 0))</f>
        <v>Original</v>
      </c>
      <c r="I420" s="4">
        <f>INDEX(Scores!$E$2:$E$926, MATCH('Next Gen'!$A420, Scores!$F$2:$F$926, 0))</f>
        <v>46044</v>
      </c>
    </row>
    <row r="421" spans="1:9">
      <c r="A421" s="1">
        <v>256</v>
      </c>
      <c r="B421" s="1" t="s">
        <v>4</v>
      </c>
      <c r="C421" s="1">
        <v>12</v>
      </c>
      <c r="D421" s="1">
        <v>12</v>
      </c>
      <c r="E421" s="1">
        <v>5</v>
      </c>
      <c r="F421" s="1">
        <f>SUMIF(Scores!$F$2:$F$926, 'Next Gen'!$A421, INDEX(Scores!$I$2:$Q$926, 0, MATCH($B421, Scores!$I$1:$Q$1, 0)))</f>
        <v>12</v>
      </c>
      <c r="G421" s="1">
        <f>INDEX(Scores!$B$2:$B$926, MATCH('Next Gen'!$A421, Scores!$F$2:$F$926, 0))</f>
        <v>256</v>
      </c>
      <c r="H421" s="1" t="str">
        <f>INDEX(Scores!$D$2:$D$926, MATCH('Next Gen'!$A421, Scores!$F$2:$F$926, 0))</f>
        <v>Original</v>
      </c>
      <c r="I421" s="4">
        <f>INDEX(Scores!$E$2:$E$926, MATCH('Next Gen'!$A421, Scores!$F$2:$F$926, 0))</f>
        <v>46044</v>
      </c>
    </row>
    <row r="422" spans="1:9">
      <c r="A422" s="1">
        <v>257</v>
      </c>
      <c r="B422" s="1" t="s">
        <v>5</v>
      </c>
      <c r="C422" s="1">
        <v>9</v>
      </c>
      <c r="D422" s="1">
        <v>9</v>
      </c>
      <c r="E422" s="1">
        <v>6</v>
      </c>
      <c r="F422" s="1">
        <f>SUMIF(Scores!$F$2:$F$926, 'Next Gen'!$A422, INDEX(Scores!$I$2:$Q$926, 0, MATCH($B422, Scores!$I$1:$Q$1, 0)))</f>
        <v>8</v>
      </c>
      <c r="G422" s="1">
        <f>INDEX(Scores!$B$2:$B$926, MATCH('Next Gen'!$A422, Scores!$F$2:$F$926, 0))</f>
        <v>256</v>
      </c>
      <c r="H422" s="1" t="str">
        <f>INDEX(Scores!$D$2:$D$926, MATCH('Next Gen'!$A422, Scores!$F$2:$F$926, 0))</f>
        <v>Original</v>
      </c>
      <c r="I422" s="4">
        <f>INDEX(Scores!$E$2:$E$926, MATCH('Next Gen'!$A422, Scores!$F$2:$F$926, 0))</f>
        <v>46051</v>
      </c>
    </row>
    <row r="423" spans="1:9">
      <c r="A423" s="1">
        <v>257</v>
      </c>
      <c r="B423" s="1" t="s">
        <v>4</v>
      </c>
      <c r="C423" s="1">
        <v>9</v>
      </c>
      <c r="D423" s="1">
        <v>9</v>
      </c>
      <c r="E423" s="1">
        <v>6</v>
      </c>
      <c r="F423" s="1">
        <f>SUMIF(Scores!$F$2:$F$926, 'Next Gen'!$A423, INDEX(Scores!$I$2:$Q$926, 0, MATCH($B423, Scores!$I$1:$Q$1, 0)))</f>
        <v>11</v>
      </c>
      <c r="G423" s="1">
        <f>INDEX(Scores!$B$2:$B$926, MATCH('Next Gen'!$A423, Scores!$F$2:$F$926, 0))</f>
        <v>256</v>
      </c>
      <c r="H423" s="1" t="str">
        <f>INDEX(Scores!$D$2:$D$926, MATCH('Next Gen'!$A423, Scores!$F$2:$F$926, 0))</f>
        <v>Original</v>
      </c>
      <c r="I423" s="4">
        <f>INDEX(Scores!$E$2:$E$926, MATCH('Next Gen'!$A423, Scores!$F$2:$F$926, 0))</f>
        <v>46051</v>
      </c>
    </row>
    <row r="424" spans="1:9">
      <c r="A424" s="1">
        <v>258</v>
      </c>
      <c r="B424" s="1" t="s">
        <v>5</v>
      </c>
      <c r="C424" s="1">
        <v>9</v>
      </c>
      <c r="D424" s="1">
        <v>6</v>
      </c>
      <c r="E424" s="1">
        <v>4</v>
      </c>
      <c r="F424" s="1">
        <f>SUMIF(Scores!$F$2:$F$926, 'Next Gen'!$A424, INDEX(Scores!$I$2:$Q$926, 0, MATCH($B424, Scores!$I$1:$Q$1, 0)))</f>
        <v>6</v>
      </c>
      <c r="G424" s="1">
        <f>INDEX(Scores!$B$2:$B$926, MATCH('Next Gen'!$A424, Scores!$F$2:$F$926, 0))</f>
        <v>256</v>
      </c>
      <c r="H424" s="1" t="str">
        <f>INDEX(Scores!$D$2:$D$926, MATCH('Next Gen'!$A424, Scores!$F$2:$F$926, 0))</f>
        <v>Original</v>
      </c>
      <c r="I424" s="4">
        <f>INDEX(Scores!$E$2:$E$926, MATCH('Next Gen'!$A424, Scores!$F$2:$F$926, 0))</f>
        <v>46055</v>
      </c>
    </row>
    <row r="425" spans="1:9">
      <c r="A425" s="1">
        <v>258</v>
      </c>
      <c r="B425" s="1" t="s">
        <v>4</v>
      </c>
      <c r="C425" s="1">
        <v>9</v>
      </c>
      <c r="D425" s="1">
        <v>9</v>
      </c>
      <c r="E425" s="1">
        <v>4</v>
      </c>
      <c r="F425" s="1">
        <f>SUMIF(Scores!$F$2:$F$926, 'Next Gen'!$A425, INDEX(Scores!$I$2:$Q$926, 0, MATCH($B425, Scores!$I$1:$Q$1, 0)))</f>
        <v>11</v>
      </c>
      <c r="G425" s="1">
        <f>INDEX(Scores!$B$2:$B$926, MATCH('Next Gen'!$A425, Scores!$F$2:$F$926, 0))</f>
        <v>256</v>
      </c>
      <c r="H425" s="1" t="str">
        <f>INDEX(Scores!$D$2:$D$926, MATCH('Next Gen'!$A425, Scores!$F$2:$F$926, 0))</f>
        <v>Original</v>
      </c>
      <c r="I425" s="4">
        <f>INDEX(Scores!$E$2:$E$926, MATCH('Next Gen'!$A425, Scores!$F$2:$F$926, 0))</f>
        <v>46055</v>
      </c>
    </row>
    <row r="426" spans="1:9">
      <c r="A426" s="1">
        <v>259</v>
      </c>
      <c r="B426" s="1" t="s">
        <v>5</v>
      </c>
      <c r="C426" s="1">
        <v>9</v>
      </c>
      <c r="D426" s="1">
        <v>7</v>
      </c>
      <c r="E426" s="1">
        <v>5</v>
      </c>
      <c r="F426" s="1">
        <f>SUMIF(Scores!$F$2:$F$926, 'Next Gen'!$A426, INDEX(Scores!$I$2:$Q$926, 0, MATCH($B426, Scores!$I$1:$Q$1, 0)))</f>
        <v>11</v>
      </c>
      <c r="G426" s="1">
        <f>INDEX(Scores!$B$2:$B$926, MATCH('Next Gen'!$A426, Scores!$F$2:$F$926, 0))</f>
        <v>256</v>
      </c>
      <c r="H426" s="1" t="str">
        <f>INDEX(Scores!$D$2:$D$926, MATCH('Next Gen'!$A426, Scores!$F$2:$F$926, 0))</f>
        <v>Original</v>
      </c>
      <c r="I426" s="4">
        <f>INDEX(Scores!$E$2:$E$926, MATCH('Next Gen'!$A426, Scores!$F$2:$F$926, 0))</f>
        <v>46056</v>
      </c>
    </row>
    <row r="427" spans="1:9">
      <c r="A427" s="1">
        <v>259</v>
      </c>
      <c r="B427" s="1" t="s">
        <v>4</v>
      </c>
      <c r="C427" s="1">
        <v>9</v>
      </c>
      <c r="D427" s="1">
        <v>8</v>
      </c>
      <c r="E427" s="1">
        <v>6</v>
      </c>
      <c r="F427" s="1">
        <f>SUMIF(Scores!$F$2:$F$926, 'Next Gen'!$A427, INDEX(Scores!$I$2:$Q$926, 0, MATCH($B427, Scores!$I$1:$Q$1, 0)))</f>
        <v>13</v>
      </c>
      <c r="G427" s="1">
        <f>INDEX(Scores!$B$2:$B$926, MATCH('Next Gen'!$A427, Scores!$F$2:$F$926, 0))</f>
        <v>256</v>
      </c>
      <c r="H427" s="1" t="str">
        <f>INDEX(Scores!$D$2:$D$926, MATCH('Next Gen'!$A427, Scores!$F$2:$F$926, 0))</f>
        <v>Original</v>
      </c>
      <c r="I427" s="4">
        <f>INDEX(Scores!$E$2:$E$926, MATCH('Next Gen'!$A427, Scores!$F$2:$F$926, 0))</f>
        <v>46056</v>
      </c>
    </row>
    <row r="428" spans="1:9">
      <c r="A428" s="1">
        <v>260</v>
      </c>
      <c r="B428" s="1" t="s">
        <v>5</v>
      </c>
      <c r="C428" s="1">
        <v>12</v>
      </c>
      <c r="D428" s="1">
        <v>10</v>
      </c>
      <c r="E428" s="1">
        <v>8</v>
      </c>
      <c r="F428" s="1">
        <f>SUMIF(Scores!$F$2:$F$926, 'Next Gen'!$A428, INDEX(Scores!$I$2:$Q$926, 0, MATCH($B428, Scores!$I$1:$Q$1, 0)))</f>
        <v>15</v>
      </c>
      <c r="G428" s="1">
        <f>INDEX(Scores!$B$2:$B$926, MATCH('Next Gen'!$A428, Scores!$F$2:$F$926, 0))</f>
        <v>256</v>
      </c>
      <c r="H428" s="1" t="str">
        <f>INDEX(Scores!$D$2:$D$926, MATCH('Next Gen'!$A428, Scores!$F$2:$F$926, 0))</f>
        <v>Original</v>
      </c>
      <c r="I428" s="4">
        <f>INDEX(Scores!$E$2:$E$926, MATCH('Next Gen'!$A428, Scores!$F$2:$F$926, 0))</f>
        <v>46058</v>
      </c>
    </row>
    <row r="429" spans="1:9">
      <c r="A429" s="1">
        <v>260</v>
      </c>
      <c r="B429" s="1" t="s">
        <v>4</v>
      </c>
      <c r="C429" s="1">
        <v>12</v>
      </c>
      <c r="D429" s="1">
        <v>12</v>
      </c>
      <c r="E429" s="1">
        <v>8</v>
      </c>
      <c r="F429" s="1">
        <f>SUMIF(Scores!$F$2:$F$926, 'Next Gen'!$A429, INDEX(Scores!$I$2:$Q$926, 0, MATCH($B429, Scores!$I$1:$Q$1, 0)))</f>
        <v>20</v>
      </c>
      <c r="G429" s="1">
        <f>INDEX(Scores!$B$2:$B$926, MATCH('Next Gen'!$A429, Scores!$F$2:$F$926, 0))</f>
        <v>256</v>
      </c>
      <c r="H429" s="1" t="str">
        <f>INDEX(Scores!$D$2:$D$926, MATCH('Next Gen'!$A429, Scores!$F$2:$F$926, 0))</f>
        <v>Original</v>
      </c>
      <c r="I429" s="4">
        <f>INDEX(Scores!$E$2:$E$926, MATCH('Next Gen'!$A429, Scores!$F$2:$F$926, 0))</f>
        <v>46058</v>
      </c>
    </row>
    <row r="430" spans="1:9">
      <c r="A430" s="1">
        <v>261</v>
      </c>
      <c r="B430" s="1" t="s">
        <v>5</v>
      </c>
      <c r="C430" s="1">
        <v>9</v>
      </c>
      <c r="D430" s="1">
        <v>8</v>
      </c>
      <c r="E430" s="1">
        <v>3</v>
      </c>
      <c r="F430" s="1">
        <f>SUMIF(Scores!$F$2:$F$926, 'Next Gen'!$A430, INDEX(Scores!$I$2:$Q$926, 0, MATCH($B430, Scores!$I$1:$Q$1, 0)))</f>
        <v>5</v>
      </c>
      <c r="G430" s="1">
        <f>INDEX(Scores!$B$2:$B$926, MATCH('Next Gen'!$A430, Scores!$F$2:$F$926, 0))</f>
        <v>256</v>
      </c>
      <c r="H430" s="1" t="str">
        <f>INDEX(Scores!$D$2:$D$926, MATCH('Next Gen'!$A430, Scores!$F$2:$F$926, 0))</f>
        <v>Original</v>
      </c>
      <c r="I430" s="4">
        <f>INDEX(Scores!$E$2:$E$926, MATCH('Next Gen'!$A430, Scores!$F$2:$F$926, 0))</f>
        <v>46059</v>
      </c>
    </row>
    <row r="431" spans="1:9">
      <c r="A431" s="1">
        <v>261</v>
      </c>
      <c r="B431" s="1" t="s">
        <v>4</v>
      </c>
      <c r="C431" s="1">
        <v>9</v>
      </c>
      <c r="D431" s="1">
        <v>9</v>
      </c>
      <c r="E431" s="1">
        <v>6</v>
      </c>
      <c r="F431" s="1">
        <f>SUMIF(Scores!$F$2:$F$926, 'Next Gen'!$A431, INDEX(Scores!$I$2:$Q$926, 0, MATCH($B431, Scores!$I$1:$Q$1, 0)))</f>
        <v>18</v>
      </c>
      <c r="G431" s="1">
        <f>INDEX(Scores!$B$2:$B$926, MATCH('Next Gen'!$A431, Scores!$F$2:$F$926, 0))</f>
        <v>256</v>
      </c>
      <c r="H431" s="1" t="str">
        <f>INDEX(Scores!$D$2:$D$926, MATCH('Next Gen'!$A431, Scores!$F$2:$F$926, 0))</f>
        <v>Original</v>
      </c>
      <c r="I431" s="4">
        <f>INDEX(Scores!$E$2:$E$926, MATCH('Next Gen'!$A431, Scores!$F$2:$F$926, 0))</f>
        <v>46059</v>
      </c>
    </row>
    <row r="432" spans="1:9">
      <c r="A432" s="1">
        <v>262</v>
      </c>
      <c r="B432" s="1" t="s">
        <v>5</v>
      </c>
      <c r="C432" s="1">
        <v>9</v>
      </c>
      <c r="D432" s="1">
        <v>9</v>
      </c>
      <c r="E432" s="1">
        <v>6</v>
      </c>
      <c r="F432" s="1">
        <f>SUMIF(Scores!$F$2:$F$926, 'Next Gen'!$A432, INDEX(Scores!$I$2:$Q$926, 0, MATCH($B432, Scores!$I$1:$Q$1, 0)))</f>
        <v>6</v>
      </c>
      <c r="G432" s="1">
        <f>INDEX(Scores!$B$2:$B$926, MATCH('Next Gen'!$A432, Scores!$F$2:$F$926, 0))</f>
        <v>256</v>
      </c>
      <c r="H432" s="1" t="str">
        <f>INDEX(Scores!$D$2:$D$926, MATCH('Next Gen'!$A432, Scores!$F$2:$F$926, 0))</f>
        <v>Original</v>
      </c>
      <c r="I432" s="4">
        <f>INDEX(Scores!$E$2:$E$926, MATCH('Next Gen'!$A432, Scores!$F$2:$F$926, 0))</f>
        <v>46063</v>
      </c>
    </row>
    <row r="433" spans="1:9">
      <c r="A433" s="1">
        <v>262</v>
      </c>
      <c r="B433" s="1" t="s">
        <v>4</v>
      </c>
      <c r="C433" s="1">
        <v>9</v>
      </c>
      <c r="D433" s="1">
        <v>9</v>
      </c>
      <c r="E433" s="1">
        <v>8</v>
      </c>
      <c r="F433" s="1">
        <f>SUMIF(Scores!$F$2:$F$926, 'Next Gen'!$A433, INDEX(Scores!$I$2:$Q$926, 0, MATCH($B433, Scores!$I$1:$Q$1, 0)))</f>
        <v>21</v>
      </c>
      <c r="G433" s="1">
        <f>INDEX(Scores!$B$2:$B$926, MATCH('Next Gen'!$A433, Scores!$F$2:$F$926, 0))</f>
        <v>256</v>
      </c>
      <c r="H433" s="1" t="str">
        <f>INDEX(Scores!$D$2:$D$926, MATCH('Next Gen'!$A433, Scores!$F$2:$F$926, 0))</f>
        <v>Original</v>
      </c>
      <c r="I433" s="4">
        <f>INDEX(Scores!$E$2:$E$926, MATCH('Next Gen'!$A433, Scores!$F$2:$F$926, 0))</f>
        <v>46063</v>
      </c>
    </row>
    <row r="434" spans="1:9">
      <c r="A434" s="1">
        <v>263</v>
      </c>
      <c r="B434" s="1" t="s">
        <v>5</v>
      </c>
      <c r="C434" s="1">
        <v>9</v>
      </c>
      <c r="D434" s="1">
        <v>9</v>
      </c>
      <c r="E434" s="1">
        <v>3</v>
      </c>
      <c r="F434" s="1">
        <f>SUMIF(Scores!$F$2:$F$926, 'Next Gen'!$A434, INDEX(Scores!$I$2:$Q$926, 0, MATCH($B434, Scores!$I$1:$Q$1, 0)))</f>
        <v>4</v>
      </c>
      <c r="G434" s="1">
        <f>INDEX(Scores!$B$2:$B$926, MATCH('Next Gen'!$A434, Scores!$F$2:$F$926, 0))</f>
        <v>256</v>
      </c>
      <c r="H434" s="1" t="str">
        <f>INDEX(Scores!$D$2:$D$926, MATCH('Next Gen'!$A434, Scores!$F$2:$F$926, 0))</f>
        <v>Original</v>
      </c>
      <c r="I434" s="4">
        <f>INDEX(Scores!$E$2:$E$926, MATCH('Next Gen'!$A434, Scores!$F$2:$F$926, 0))</f>
        <v>46071</v>
      </c>
    </row>
    <row r="435" spans="1:9">
      <c r="A435" s="1">
        <v>263</v>
      </c>
      <c r="B435" s="1" t="s">
        <v>4</v>
      </c>
      <c r="C435" s="1">
        <v>9</v>
      </c>
      <c r="D435" s="1">
        <v>9</v>
      </c>
      <c r="E435" s="1">
        <v>7</v>
      </c>
      <c r="F435" s="1">
        <f>SUMIF(Scores!$F$2:$F$926, 'Next Gen'!$A435, INDEX(Scores!$I$2:$Q$926, 0, MATCH($B435, Scores!$I$1:$Q$1, 0)))</f>
        <v>13</v>
      </c>
      <c r="G435" s="1">
        <f>INDEX(Scores!$B$2:$B$926, MATCH('Next Gen'!$A435, Scores!$F$2:$F$926, 0))</f>
        <v>256</v>
      </c>
      <c r="H435" s="1" t="str">
        <f>INDEX(Scores!$D$2:$D$926, MATCH('Next Gen'!$A435, Scores!$F$2:$F$926, 0))</f>
        <v>Original</v>
      </c>
      <c r="I435" s="4">
        <f>INDEX(Scores!$E$2:$E$926, MATCH('Next Gen'!$A435, Scores!$F$2:$F$926, 0))</f>
        <v>46071</v>
      </c>
    </row>
    <row r="436" spans="1:9">
      <c r="A436" s="1">
        <v>264</v>
      </c>
      <c r="B436" s="1" t="s">
        <v>5</v>
      </c>
      <c r="C436" s="1">
        <v>9</v>
      </c>
      <c r="D436" s="1">
        <v>6</v>
      </c>
      <c r="E436" s="1">
        <v>3</v>
      </c>
      <c r="F436" s="1">
        <f>SUMIF(Scores!$F$2:$F$926, 'Next Gen'!$A436, INDEX(Scores!$I$2:$Q$926, 0, MATCH($B436, Scores!$I$1:$Q$1, 0)))</f>
        <v>12</v>
      </c>
      <c r="G436" s="1">
        <f>INDEX(Scores!$B$2:$B$926, MATCH('Next Gen'!$A436, Scores!$F$2:$F$926, 0))</f>
        <v>256</v>
      </c>
      <c r="H436" s="1" t="str">
        <f>INDEX(Scores!$D$2:$D$926, MATCH('Next Gen'!$A436, Scores!$F$2:$F$926, 0))</f>
        <v>Original</v>
      </c>
      <c r="I436" s="4">
        <f>INDEX(Scores!$E$2:$E$926, MATCH('Next Gen'!$A436, Scores!$F$2:$F$926, 0))</f>
        <v>46073</v>
      </c>
    </row>
    <row r="437" spans="1:9">
      <c r="A437" s="1">
        <v>264</v>
      </c>
      <c r="B437" s="1" t="s">
        <v>4</v>
      </c>
      <c r="C437" s="1">
        <v>9</v>
      </c>
      <c r="D437" s="1">
        <v>8</v>
      </c>
      <c r="E437" s="1">
        <v>7</v>
      </c>
      <c r="F437" s="1">
        <f>SUMIF(Scores!$F$2:$F$926, 'Next Gen'!$A437, INDEX(Scores!$I$2:$Q$926, 0, MATCH($B437, Scores!$I$1:$Q$1, 0)))</f>
        <v>20</v>
      </c>
      <c r="G437" s="1">
        <f>INDEX(Scores!$B$2:$B$926, MATCH('Next Gen'!$A437, Scores!$F$2:$F$926, 0))</f>
        <v>256</v>
      </c>
      <c r="H437" s="1" t="str">
        <f>INDEX(Scores!$D$2:$D$926, MATCH('Next Gen'!$A437, Scores!$F$2:$F$926, 0))</f>
        <v>Original</v>
      </c>
      <c r="I437" s="4">
        <f>INDEX(Scores!$E$2:$E$926, MATCH('Next Gen'!$A437, Scores!$F$2:$F$926, 0))</f>
        <v>46073</v>
      </c>
    </row>
    <row r="438" spans="1:9">
      <c r="A438" s="1">
        <v>265</v>
      </c>
      <c r="B438" s="1" t="s">
        <v>5</v>
      </c>
      <c r="C438" s="1">
        <v>9</v>
      </c>
      <c r="D438" s="1">
        <v>8</v>
      </c>
      <c r="E438" s="1">
        <v>8</v>
      </c>
      <c r="F438" s="1">
        <f>SUMIF(Scores!$F$2:$F$926, 'Next Gen'!$A438, INDEX(Scores!$I$2:$Q$926, 0, MATCH($B438, Scores!$I$1:$Q$1, 0)))</f>
        <v>13</v>
      </c>
      <c r="G438" s="1">
        <f>INDEX(Scores!$B$2:$B$926, MATCH('Next Gen'!$A438, Scores!$F$2:$F$926, 0))</f>
        <v>256</v>
      </c>
      <c r="H438" s="1" t="str">
        <f>INDEX(Scores!$D$2:$D$926, MATCH('Next Gen'!$A438, Scores!$F$2:$F$926, 0))</f>
        <v>Original</v>
      </c>
      <c r="I438" s="4">
        <f>INDEX(Scores!$E$2:$E$926, MATCH('Next Gen'!$A438, Scores!$F$2:$F$926, 0))</f>
        <v>46077</v>
      </c>
    </row>
    <row r="439" spans="1:9">
      <c r="A439" s="1">
        <v>265</v>
      </c>
      <c r="B439" s="1" t="s">
        <v>4</v>
      </c>
      <c r="C439" s="1">
        <v>9</v>
      </c>
      <c r="D439" s="1">
        <v>9</v>
      </c>
      <c r="E439" s="1">
        <v>4</v>
      </c>
      <c r="F439" s="1">
        <f>SUMIF(Scores!$F$2:$F$926, 'Next Gen'!$A439, INDEX(Scores!$I$2:$Q$926, 0, MATCH($B439, Scores!$I$1:$Q$1, 0)))</f>
        <v>7</v>
      </c>
      <c r="G439" s="1">
        <f>INDEX(Scores!$B$2:$B$926, MATCH('Next Gen'!$A439, Scores!$F$2:$F$926, 0))</f>
        <v>256</v>
      </c>
      <c r="H439" s="1" t="str">
        <f>INDEX(Scores!$D$2:$D$926, MATCH('Next Gen'!$A439, Scores!$F$2:$F$926, 0))</f>
        <v>Original</v>
      </c>
      <c r="I439" s="4">
        <f>INDEX(Scores!$E$2:$E$926, MATCH('Next Gen'!$A439, Scores!$F$2:$F$926, 0))</f>
        <v>46077</v>
      </c>
    </row>
    <row r="440" spans="1:9">
      <c r="A440" s="1">
        <v>266</v>
      </c>
      <c r="B440" s="1" t="s">
        <v>5</v>
      </c>
      <c r="C440" s="1">
        <v>9</v>
      </c>
      <c r="D440" s="1">
        <v>9</v>
      </c>
      <c r="E440" s="1">
        <v>7</v>
      </c>
      <c r="F440" s="1">
        <f>SUMIF(Scores!$F$2:$F$926, 'Next Gen'!$A440, INDEX(Scores!$I$2:$Q$926, 0, MATCH($B440, Scores!$I$1:$Q$1, 0)))</f>
        <v>16</v>
      </c>
      <c r="G440" s="1">
        <f>INDEX(Scores!$B$2:$B$926, MATCH('Next Gen'!$A440, Scores!$F$2:$F$926, 0))</f>
        <v>256</v>
      </c>
      <c r="H440" s="1" t="str">
        <f>INDEX(Scores!$D$2:$D$926, MATCH('Next Gen'!$A440, Scores!$F$2:$F$926, 0))</f>
        <v>Original</v>
      </c>
      <c r="I440" s="4">
        <f>INDEX(Scores!$E$2:$E$926, MATCH('Next Gen'!$A440, Scores!$F$2:$F$926, 0))</f>
        <v>46078</v>
      </c>
    </row>
    <row r="441" spans="1:9">
      <c r="A441" s="1">
        <v>266</v>
      </c>
      <c r="B441" s="1" t="s">
        <v>4</v>
      </c>
      <c r="C441" s="1">
        <v>9</v>
      </c>
      <c r="D441" s="1">
        <v>9</v>
      </c>
      <c r="E441" s="1">
        <v>9</v>
      </c>
      <c r="F441" s="1">
        <f>SUMIF(Scores!$F$2:$F$926, 'Next Gen'!$A441, INDEX(Scores!$I$2:$Q$926, 0, MATCH($B441, Scores!$I$1:$Q$1, 0)))</f>
        <v>21</v>
      </c>
      <c r="G441" s="1">
        <f>INDEX(Scores!$B$2:$B$926, MATCH('Next Gen'!$A441, Scores!$F$2:$F$926, 0))</f>
        <v>256</v>
      </c>
      <c r="H441" s="1" t="str">
        <f>INDEX(Scores!$D$2:$D$926, MATCH('Next Gen'!$A441, Scores!$F$2:$F$926, 0))</f>
        <v>Original</v>
      </c>
      <c r="I441" s="4">
        <f>INDEX(Scores!$E$2:$E$926, MATCH('Next Gen'!$A441, Scores!$F$2:$F$926, 0))</f>
        <v>46078</v>
      </c>
    </row>
    <row r="442" spans="1:9">
      <c r="A442" s="1">
        <v>267</v>
      </c>
      <c r="B442" s="1" t="s">
        <v>5</v>
      </c>
      <c r="C442" s="1">
        <v>9</v>
      </c>
      <c r="D442" s="1">
        <v>8</v>
      </c>
      <c r="E442" s="1">
        <v>7</v>
      </c>
      <c r="F442" s="1">
        <f>SUMIF(Scores!$F$2:$F$926, 'Next Gen'!$A442, INDEX(Scores!$I$2:$Q$926, 0, MATCH($B442, Scores!$I$1:$Q$1, 0)))</f>
        <v>10</v>
      </c>
      <c r="G442" s="1">
        <f>INDEX(Scores!$B$2:$B$926, MATCH('Next Gen'!$A442, Scores!$F$2:$F$926, 0))</f>
        <v>256</v>
      </c>
      <c r="H442" s="1" t="str">
        <f>INDEX(Scores!$D$2:$D$926, MATCH('Next Gen'!$A442, Scores!$F$2:$F$926, 0))</f>
        <v>Original</v>
      </c>
      <c r="I442" s="4">
        <f>INDEX(Scores!$E$2:$E$926, MATCH('Next Gen'!$A442, Scores!$F$2:$F$926, 0))</f>
        <v>46080</v>
      </c>
    </row>
    <row r="443" spans="1:9">
      <c r="A443" s="1">
        <v>267</v>
      </c>
      <c r="B443" s="1" t="s">
        <v>4</v>
      </c>
      <c r="C443" s="1">
        <v>9</v>
      </c>
      <c r="D443" s="1">
        <v>9</v>
      </c>
      <c r="E443" s="1">
        <v>7</v>
      </c>
      <c r="F443" s="1">
        <f>SUMIF(Scores!$F$2:$F$926, 'Next Gen'!$A443, INDEX(Scores!$I$2:$Q$926, 0, MATCH($B443, Scores!$I$1:$Q$1, 0)))</f>
        <v>17</v>
      </c>
      <c r="G443" s="1">
        <f>INDEX(Scores!$B$2:$B$926, MATCH('Next Gen'!$A443, Scores!$F$2:$F$926, 0))</f>
        <v>256</v>
      </c>
      <c r="H443" s="1" t="str">
        <f>INDEX(Scores!$D$2:$D$926, MATCH('Next Gen'!$A443, Scores!$F$2:$F$926, 0))</f>
        <v>Original</v>
      </c>
      <c r="I443" s="4">
        <f>INDEX(Scores!$E$2:$E$926, MATCH('Next Gen'!$A443, Scores!$F$2:$F$926, 0))</f>
        <v>46080</v>
      </c>
    </row>
    <row r="444" spans="1:9">
      <c r="A444" s="1">
        <v>268</v>
      </c>
      <c r="B444" s="1" t="s">
        <v>5</v>
      </c>
      <c r="C444" s="1">
        <v>9</v>
      </c>
      <c r="D444" s="1">
        <v>8</v>
      </c>
      <c r="E444" s="1">
        <v>5</v>
      </c>
      <c r="F444" s="1">
        <f>SUMIF(Scores!$F$2:$F$926, 'Next Gen'!$A444, INDEX(Scores!$I$2:$Q$926, 0, MATCH($B444, Scores!$I$1:$Q$1, 0)))</f>
        <v>9</v>
      </c>
      <c r="G444" s="1">
        <f>INDEX(Scores!$B$2:$B$926, MATCH('Next Gen'!$A444, Scores!$F$2:$F$926, 0))</f>
        <v>256</v>
      </c>
      <c r="H444" s="1" t="str">
        <f>INDEX(Scores!$D$2:$D$926, MATCH('Next Gen'!$A444, Scores!$F$2:$F$926, 0))</f>
        <v>Original</v>
      </c>
      <c r="I444" s="4">
        <f>INDEX(Scores!$E$2:$E$926, MATCH('Next Gen'!$A444, Scores!$F$2:$F$926, 0))</f>
        <v>46084</v>
      </c>
    </row>
    <row r="445" spans="1:9">
      <c r="A445" s="1">
        <v>268</v>
      </c>
      <c r="B445" s="1" t="s">
        <v>4</v>
      </c>
      <c r="C445" s="1">
        <v>9</v>
      </c>
      <c r="D445" s="1">
        <v>9</v>
      </c>
      <c r="E445" s="1">
        <v>5</v>
      </c>
      <c r="F445" s="1">
        <f>SUMIF(Scores!$F$2:$F$926, 'Next Gen'!$A445, INDEX(Scores!$I$2:$Q$926, 0, MATCH($B445, Scores!$I$1:$Q$1, 0)))</f>
        <v>14</v>
      </c>
      <c r="G445" s="1">
        <f>INDEX(Scores!$B$2:$B$926, MATCH('Next Gen'!$A445, Scores!$F$2:$F$926, 0))</f>
        <v>256</v>
      </c>
      <c r="H445" s="1" t="str">
        <f>INDEX(Scores!$D$2:$D$926, MATCH('Next Gen'!$A445, Scores!$F$2:$F$926, 0))</f>
        <v>Original</v>
      </c>
      <c r="I445" s="4">
        <f>INDEX(Scores!$E$2:$E$926, MATCH('Next Gen'!$A445, Scores!$F$2:$F$926, 0))</f>
        <v>46084</v>
      </c>
    </row>
    <row r="446" spans="1:9">
      <c r="A446" s="1">
        <v>269</v>
      </c>
      <c r="B446" s="1" t="s">
        <v>5</v>
      </c>
      <c r="C446" s="1">
        <v>9</v>
      </c>
      <c r="D446" s="1">
        <v>6</v>
      </c>
      <c r="E446" s="1">
        <v>3</v>
      </c>
      <c r="F446" s="1">
        <f>SUMIF(Scores!$F$2:$F$926, 'Next Gen'!$A446, INDEX(Scores!$I$2:$Q$926, 0, MATCH($B446, Scores!$I$1:$Q$1, 0)))</f>
        <v>5</v>
      </c>
      <c r="G446" s="1">
        <f>INDEX(Scores!$B$2:$B$926, MATCH('Next Gen'!$A446, Scores!$F$2:$F$926, 0))</f>
        <v>256</v>
      </c>
      <c r="H446" s="1" t="str">
        <f>INDEX(Scores!$D$2:$D$926, MATCH('Next Gen'!$A446, Scores!$F$2:$F$926, 0))</f>
        <v>Original</v>
      </c>
      <c r="I446" s="4">
        <f>INDEX(Scores!$E$2:$E$926, MATCH('Next Gen'!$A446, Scores!$F$2:$F$926, 0))</f>
        <v>46085</v>
      </c>
    </row>
    <row r="447" spans="1:9">
      <c r="A447" s="1">
        <v>269</v>
      </c>
      <c r="B447" s="1" t="s">
        <v>4</v>
      </c>
      <c r="C447" s="1">
        <v>9</v>
      </c>
      <c r="D447" s="1">
        <v>9</v>
      </c>
      <c r="E447" s="1">
        <v>5</v>
      </c>
      <c r="F447" s="1">
        <f>SUMIF(Scores!$F$2:$F$926, 'Next Gen'!$A447, INDEX(Scores!$I$2:$Q$926, 0, MATCH($B447, Scores!$I$1:$Q$1, 0)))</f>
        <v>15</v>
      </c>
      <c r="G447" s="1">
        <f>INDEX(Scores!$B$2:$B$926, MATCH('Next Gen'!$A447, Scores!$F$2:$F$926, 0))</f>
        <v>256</v>
      </c>
      <c r="H447" s="1" t="str">
        <f>INDEX(Scores!$D$2:$D$926, MATCH('Next Gen'!$A447, Scores!$F$2:$F$926, 0))</f>
        <v>Original</v>
      </c>
      <c r="I447" s="4">
        <f>INDEX(Scores!$E$2:$E$926, MATCH('Next Gen'!$A447, Scores!$F$2:$F$926, 0))</f>
        <v>46085</v>
      </c>
    </row>
    <row r="448" spans="1:9">
      <c r="A448" s="1">
        <v>269</v>
      </c>
      <c r="B448" s="1" t="s">
        <v>6</v>
      </c>
      <c r="C448" s="1">
        <v>9</v>
      </c>
      <c r="D448" s="1">
        <v>5</v>
      </c>
      <c r="E448" s="1">
        <v>4</v>
      </c>
      <c r="F448" s="1">
        <f>SUMIF(Scores!$F$2:$F$926, 'Next Gen'!$A448, INDEX(Scores!$I$2:$Q$926, 0, MATCH($B448, Scores!$I$1:$Q$1, 0)))</f>
        <v>5</v>
      </c>
      <c r="G448" s="1">
        <f>INDEX(Scores!$B$2:$B$926, MATCH('Next Gen'!$A448, Scores!$F$2:$F$926, 0))</f>
        <v>256</v>
      </c>
      <c r="H448" s="1" t="str">
        <f>INDEX(Scores!$D$2:$D$926, MATCH('Next Gen'!$A448, Scores!$F$2:$F$926, 0))</f>
        <v>Original</v>
      </c>
      <c r="I448" s="4">
        <f>INDEX(Scores!$E$2:$E$926, MATCH('Next Gen'!$A448, Scores!$F$2:$F$926, 0))</f>
        <v>46085</v>
      </c>
    </row>
    <row r="449" spans="1:9">
      <c r="A449" s="1">
        <v>270</v>
      </c>
      <c r="B449" s="1" t="s">
        <v>5</v>
      </c>
      <c r="C449" s="1">
        <v>9</v>
      </c>
      <c r="D449" s="1">
        <v>7</v>
      </c>
      <c r="E449" s="1">
        <v>5</v>
      </c>
      <c r="F449" s="1">
        <f>SUMIF(Scores!$F$2:$F$926, 'Next Gen'!$A449, INDEX(Scores!$I$2:$Q$926, 0, MATCH($B449, Scores!$I$1:$Q$1, 0)))</f>
        <v>9</v>
      </c>
      <c r="G449" s="1">
        <f>INDEX(Scores!$B$2:$B$926, MATCH('Next Gen'!$A449, Scores!$F$2:$F$926, 0))</f>
        <v>256</v>
      </c>
      <c r="H449" s="1" t="str">
        <f>INDEX(Scores!$D$2:$D$926, MATCH('Next Gen'!$A449, Scores!$F$2:$F$926, 0))</f>
        <v>Original</v>
      </c>
      <c r="I449" s="4">
        <f>INDEX(Scores!$E$2:$E$926, MATCH('Next Gen'!$A449, Scores!$F$2:$F$926, 0))</f>
        <v>46086</v>
      </c>
    </row>
    <row r="450" spans="1:9">
      <c r="A450" s="1">
        <v>270</v>
      </c>
      <c r="B450" s="1" t="s">
        <v>4</v>
      </c>
      <c r="C450" s="1">
        <v>9</v>
      </c>
      <c r="D450" s="1">
        <v>9</v>
      </c>
      <c r="E450" s="1">
        <v>5</v>
      </c>
      <c r="F450" s="1">
        <f>SUMIF(Scores!$F$2:$F$926, 'Next Gen'!$A450, INDEX(Scores!$I$2:$Q$926, 0, MATCH($B450, Scores!$I$1:$Q$1, 0)))</f>
        <v>13</v>
      </c>
      <c r="G450" s="1">
        <f>INDEX(Scores!$B$2:$B$926, MATCH('Next Gen'!$A450, Scores!$F$2:$F$926, 0))</f>
        <v>256</v>
      </c>
      <c r="H450" s="1" t="str">
        <f>INDEX(Scores!$D$2:$D$926, MATCH('Next Gen'!$A450, Scores!$F$2:$F$926, 0))</f>
        <v>Original</v>
      </c>
      <c r="I450" s="4">
        <f>INDEX(Scores!$E$2:$E$926, MATCH('Next Gen'!$A450, Scores!$F$2:$F$926, 0))</f>
        <v>46086</v>
      </c>
    </row>
    <row r="451" spans="1:9">
      <c r="A451" s="1">
        <v>270</v>
      </c>
      <c r="B451" s="1" t="s">
        <v>23</v>
      </c>
      <c r="C451" s="1">
        <v>9</v>
      </c>
      <c r="D451" s="1">
        <v>4</v>
      </c>
      <c r="E451" s="1">
        <v>3</v>
      </c>
      <c r="F451" s="1">
        <f>SUMIF(Scores!$F$2:$F$926, 'Next Gen'!$A451, INDEX(Scores!$I$2:$Q$926, 0, MATCH($B451, Scores!$I$1:$Q$1, 0)))</f>
        <v>6</v>
      </c>
      <c r="G451" s="1">
        <f>INDEX(Scores!$B$2:$B$926, MATCH('Next Gen'!$A451, Scores!$F$2:$F$926, 0))</f>
        <v>256</v>
      </c>
      <c r="H451" s="1" t="str">
        <f>INDEX(Scores!$D$2:$D$926, MATCH('Next Gen'!$A451, Scores!$F$2:$F$926, 0))</f>
        <v>Original</v>
      </c>
      <c r="I451" s="4">
        <f>INDEX(Scores!$E$2:$E$926, MATCH('Next Gen'!$A451, Scores!$F$2:$F$926, 0))</f>
        <v>46086</v>
      </c>
    </row>
    <row r="452" spans="1:9">
      <c r="A452" s="1">
        <v>271</v>
      </c>
      <c r="B452" s="1" t="s">
        <v>5</v>
      </c>
      <c r="C452" s="1">
        <v>9</v>
      </c>
      <c r="D452" s="1">
        <v>8</v>
      </c>
      <c r="E452" s="1">
        <v>5</v>
      </c>
      <c r="F452" s="1">
        <f>SUMIF(Scores!$F$2:$F$926, 'Next Gen'!$A452, INDEX(Scores!$I$2:$Q$926, 0, MATCH($B452, Scores!$I$1:$Q$1, 0)))</f>
        <v>11</v>
      </c>
      <c r="G452" s="1">
        <f>INDEX(Scores!$B$2:$B$926, MATCH('Next Gen'!$A452, Scores!$F$2:$F$926, 0))</f>
        <v>256</v>
      </c>
      <c r="H452" s="1" t="str">
        <f>INDEX(Scores!$D$2:$D$926, MATCH('Next Gen'!$A452, Scores!$F$2:$F$926, 0))</f>
        <v>Original</v>
      </c>
      <c r="I452" s="4">
        <f>INDEX(Scores!$E$2:$E$926, MATCH('Next Gen'!$A452, Scores!$F$2:$F$926, 0))</f>
        <v>46087</v>
      </c>
    </row>
    <row r="453" spans="1:9">
      <c r="A453" s="1">
        <v>271</v>
      </c>
      <c r="B453" s="1" t="s">
        <v>4</v>
      </c>
      <c r="C453" s="1">
        <v>9</v>
      </c>
      <c r="D453" s="1">
        <v>9</v>
      </c>
      <c r="E453" s="1">
        <v>5</v>
      </c>
      <c r="F453" s="1">
        <f>SUMIF(Scores!$F$2:$F$926, 'Next Gen'!$A453, INDEX(Scores!$I$2:$Q$926, 0, MATCH($B453, Scores!$I$1:$Q$1, 0)))</f>
        <v>12</v>
      </c>
      <c r="G453" s="1">
        <f>INDEX(Scores!$B$2:$B$926, MATCH('Next Gen'!$A453, Scores!$F$2:$F$926, 0))</f>
        <v>256</v>
      </c>
      <c r="H453" s="1" t="str">
        <f>INDEX(Scores!$D$2:$D$926, MATCH('Next Gen'!$A453, Scores!$F$2:$F$926, 0))</f>
        <v>Original</v>
      </c>
      <c r="I453" s="4">
        <f>INDEX(Scores!$E$2:$E$926, MATCH('Next Gen'!$A453, Scores!$F$2:$F$926, 0))</f>
        <v>46087</v>
      </c>
    </row>
    <row r="454" spans="1:9">
      <c r="A454" s="1">
        <v>272</v>
      </c>
      <c r="B454" s="1" t="s">
        <v>5</v>
      </c>
      <c r="C454" s="1">
        <v>9</v>
      </c>
      <c r="D454" s="1">
        <v>7</v>
      </c>
      <c r="E454" s="1">
        <v>4</v>
      </c>
      <c r="F454" s="1">
        <f>SUMIF(Scores!$F$2:$F$926, 'Next Gen'!$A454, INDEX(Scores!$I$2:$Q$926, 0, MATCH($B454, Scores!$I$1:$Q$1, 0)))</f>
        <v>4</v>
      </c>
      <c r="G454" s="1">
        <f>INDEX(Scores!$B$2:$B$926, MATCH('Next Gen'!$A454, Scores!$F$2:$F$926, 0))</f>
        <v>256</v>
      </c>
      <c r="H454" s="1" t="str">
        <f>INDEX(Scores!$D$2:$D$926, MATCH('Next Gen'!$A454, Scores!$F$2:$F$926, 0))</f>
        <v>Original</v>
      </c>
      <c r="I454" s="4">
        <f>INDEX(Scores!$E$2:$E$926, MATCH('Next Gen'!$A454, Scores!$F$2:$F$926, 0))</f>
        <v>46091</v>
      </c>
    </row>
    <row r="455" spans="1:9">
      <c r="A455" s="1">
        <v>272</v>
      </c>
      <c r="B455" s="1" t="s">
        <v>4</v>
      </c>
      <c r="C455" s="1">
        <v>9</v>
      </c>
      <c r="D455" s="1">
        <v>8</v>
      </c>
      <c r="E455" s="1">
        <v>7</v>
      </c>
      <c r="F455" s="1">
        <f>SUMIF(Scores!$F$2:$F$926, 'Next Gen'!$A455, INDEX(Scores!$I$2:$Q$926, 0, MATCH($B455, Scores!$I$1:$Q$1, 0)))</f>
        <v>18</v>
      </c>
      <c r="G455" s="1">
        <f>INDEX(Scores!$B$2:$B$926, MATCH('Next Gen'!$A455, Scores!$F$2:$F$926, 0))</f>
        <v>256</v>
      </c>
      <c r="H455" s="1" t="str">
        <f>INDEX(Scores!$D$2:$D$926, MATCH('Next Gen'!$A455, Scores!$F$2:$F$926, 0))</f>
        <v>Original</v>
      </c>
      <c r="I455" s="4">
        <f>INDEX(Scores!$E$2:$E$926, MATCH('Next Gen'!$A455, Scores!$F$2:$F$926, 0))</f>
        <v>46091</v>
      </c>
    </row>
    <row r="456" spans="1:9">
      <c r="A456" s="1">
        <v>273</v>
      </c>
      <c r="B456" s="1" t="s">
        <v>5</v>
      </c>
      <c r="C456" s="1">
        <v>8</v>
      </c>
      <c r="D456" s="1">
        <v>7</v>
      </c>
      <c r="E456" s="1">
        <v>7</v>
      </c>
      <c r="F456" s="1">
        <f>SUMIF(Scores!$F$2:$F$926, 'Next Gen'!$A456, INDEX(Scores!$I$2:$Q$926, 0, MATCH($B456, Scores!$I$1:$Q$1, 0)))</f>
        <v>12</v>
      </c>
      <c r="G456" s="1">
        <f>INDEX(Scores!$B$2:$B$926, MATCH('Next Gen'!$A456, Scores!$F$2:$F$926, 0))</f>
        <v>256</v>
      </c>
      <c r="H456" s="1" t="str">
        <f>INDEX(Scores!$D$2:$D$926, MATCH('Next Gen'!$A456, Scores!$F$2:$F$926, 0))</f>
        <v>New</v>
      </c>
      <c r="I456" s="4">
        <f>INDEX(Scores!$E$2:$E$926, MATCH('Next Gen'!$A456, Scores!$F$2:$F$926, 0))</f>
        <v>46092</v>
      </c>
    </row>
    <row r="457" spans="1:9">
      <c r="A457" s="1">
        <v>273</v>
      </c>
      <c r="B457" s="1" t="s">
        <v>4</v>
      </c>
      <c r="C457" s="1">
        <v>8</v>
      </c>
      <c r="D457" s="1">
        <v>8</v>
      </c>
      <c r="E457" s="1">
        <v>8</v>
      </c>
      <c r="F457" s="1">
        <f>SUMIF(Scores!$F$2:$F$926, 'Next Gen'!$A457, INDEX(Scores!$I$2:$Q$926, 0, MATCH($B457, Scores!$I$1:$Q$1, 0)))</f>
        <v>17</v>
      </c>
      <c r="G457" s="1">
        <f>INDEX(Scores!$B$2:$B$926, MATCH('Next Gen'!$A457, Scores!$F$2:$F$926, 0))</f>
        <v>256</v>
      </c>
      <c r="H457" s="1" t="str">
        <f>INDEX(Scores!$D$2:$D$926, MATCH('Next Gen'!$A457, Scores!$F$2:$F$926, 0))</f>
        <v>New</v>
      </c>
      <c r="I457" s="4">
        <f>INDEX(Scores!$E$2:$E$926, MATCH('Next Gen'!$A457, Scores!$F$2:$F$926, 0))</f>
        <v>46092</v>
      </c>
    </row>
    <row r="458" spans="1:9">
      <c r="A458" s="1">
        <v>273</v>
      </c>
      <c r="B458" s="1" t="s">
        <v>6</v>
      </c>
      <c r="C458" s="1">
        <v>8</v>
      </c>
      <c r="D458" s="1">
        <v>4</v>
      </c>
      <c r="E458" s="1">
        <v>3</v>
      </c>
      <c r="F458" s="1">
        <f>SUMIF(Scores!$F$2:$F$926, 'Next Gen'!$A458, INDEX(Scores!$I$2:$Q$926, 0, MATCH($B458, Scores!$I$1:$Q$1, 0)))</f>
        <v>4</v>
      </c>
      <c r="G458" s="1">
        <f>INDEX(Scores!$B$2:$B$926, MATCH('Next Gen'!$A458, Scores!$F$2:$F$926, 0))</f>
        <v>256</v>
      </c>
      <c r="H458" s="1" t="str">
        <f>INDEX(Scores!$D$2:$D$926, MATCH('Next Gen'!$A458, Scores!$F$2:$F$926, 0))</f>
        <v>New</v>
      </c>
      <c r="I458" s="4">
        <f>INDEX(Scores!$E$2:$E$926, MATCH('Next Gen'!$A458, Scores!$F$2:$F$926, 0))</f>
        <v>46092</v>
      </c>
    </row>
    <row r="459" spans="1:9">
      <c r="A459" s="1">
        <v>274</v>
      </c>
      <c r="B459" s="1" t="s">
        <v>5</v>
      </c>
      <c r="C459" s="1">
        <v>8</v>
      </c>
      <c r="D459" s="1">
        <v>5</v>
      </c>
      <c r="E459" s="1">
        <v>4</v>
      </c>
      <c r="F459" s="1">
        <f>SUMIF(Scores!$F$2:$F$926, 'Next Gen'!$A459, INDEX(Scores!$I$2:$Q$926, 0, MATCH($B459, Scores!$I$1:$Q$1, 0)))</f>
        <v>8</v>
      </c>
      <c r="G459" s="1">
        <f>INDEX(Scores!$B$2:$B$926, MATCH('Next Gen'!$A459, Scores!$F$2:$F$926, 0))</f>
        <v>256</v>
      </c>
      <c r="H459" s="1" t="str">
        <f>INDEX(Scores!$D$2:$D$926, MATCH('Next Gen'!$A459, Scores!$F$2:$F$926, 0))</f>
        <v>New</v>
      </c>
      <c r="I459" s="4">
        <f>INDEX(Scores!$E$2:$E$926, MATCH('Next Gen'!$A459, Scores!$F$2:$F$926, 0))</f>
        <v>46093</v>
      </c>
    </row>
    <row r="460" spans="1:9">
      <c r="A460" s="1">
        <v>274</v>
      </c>
      <c r="B460" s="1" t="s">
        <v>4</v>
      </c>
      <c r="C460" s="1">
        <v>8</v>
      </c>
      <c r="D460" s="1">
        <v>8</v>
      </c>
      <c r="E460" s="1">
        <v>8</v>
      </c>
      <c r="F460" s="1">
        <f>SUMIF(Scores!$F$2:$F$926, 'Next Gen'!$A460, INDEX(Scores!$I$2:$Q$926, 0, MATCH($B460, Scores!$I$1:$Q$1, 0)))</f>
        <v>18</v>
      </c>
      <c r="G460" s="1">
        <f>INDEX(Scores!$B$2:$B$926, MATCH('Next Gen'!$A460, Scores!$F$2:$F$926, 0))</f>
        <v>256</v>
      </c>
      <c r="H460" s="1" t="str">
        <f>INDEX(Scores!$D$2:$D$926, MATCH('Next Gen'!$A460, Scores!$F$2:$F$926, 0))</f>
        <v>New</v>
      </c>
      <c r="I460" s="4">
        <f>INDEX(Scores!$E$2:$E$926, MATCH('Next Gen'!$A460, Scores!$F$2:$F$926, 0))</f>
        <v>46093</v>
      </c>
    </row>
    <row r="461" spans="1:9">
      <c r="A461" s="1">
        <v>275</v>
      </c>
      <c r="B461" s="1" t="s">
        <v>5</v>
      </c>
      <c r="C461" s="1">
        <v>8</v>
      </c>
      <c r="D461" s="1">
        <v>7</v>
      </c>
      <c r="E461" s="1">
        <v>7</v>
      </c>
      <c r="F461" s="1">
        <f>SUMIF(Scores!$F$2:$F$926, 'Next Gen'!$A461, INDEX(Scores!$I$2:$Q$926, 0, MATCH($B461, Scores!$I$1:$Q$1, 0)))</f>
        <v>14</v>
      </c>
      <c r="G461" s="1">
        <f>INDEX(Scores!$B$2:$B$926, MATCH('Next Gen'!$A461, Scores!$F$2:$F$926, 0))</f>
        <v>256</v>
      </c>
      <c r="H461" s="1" t="str">
        <f>INDEX(Scores!$D$2:$D$926, MATCH('Next Gen'!$A461, Scores!$F$2:$F$926, 0))</f>
        <v>New</v>
      </c>
      <c r="I461" s="4">
        <f>INDEX(Scores!$E$2:$E$926, MATCH('Next Gen'!$A461, Scores!$F$2:$F$926, 0))</f>
        <v>46094</v>
      </c>
    </row>
    <row r="462" spans="1:9">
      <c r="A462" s="1">
        <v>275</v>
      </c>
      <c r="B462" s="1" t="s">
        <v>4</v>
      </c>
      <c r="C462" s="1">
        <v>8</v>
      </c>
      <c r="D462" s="1">
        <v>8</v>
      </c>
      <c r="E462" s="1">
        <v>8</v>
      </c>
      <c r="F462" s="1">
        <f>SUMIF(Scores!$F$2:$F$926, 'Next Gen'!$A462, INDEX(Scores!$I$2:$Q$926, 0, MATCH($B462, Scores!$I$1:$Q$1, 0)))</f>
        <v>19</v>
      </c>
      <c r="G462" s="1">
        <f>INDEX(Scores!$B$2:$B$926, MATCH('Next Gen'!$A462, Scores!$F$2:$F$926, 0))</f>
        <v>256</v>
      </c>
      <c r="H462" s="1" t="str">
        <f>INDEX(Scores!$D$2:$D$926, MATCH('Next Gen'!$A462, Scores!$F$2:$F$926, 0))</f>
        <v>New</v>
      </c>
      <c r="I462" s="4">
        <f>INDEX(Scores!$E$2:$E$926, MATCH('Next Gen'!$A462, Scores!$F$2:$F$926, 0))</f>
        <v>46094</v>
      </c>
    </row>
    <row r="463" spans="1:9">
      <c r="A463" s="1">
        <v>276</v>
      </c>
      <c r="B463" s="1" t="s">
        <v>5</v>
      </c>
      <c r="C463" s="1">
        <v>8</v>
      </c>
      <c r="D463" s="1">
        <v>6</v>
      </c>
      <c r="E463" s="1">
        <v>6</v>
      </c>
      <c r="F463" s="1">
        <f>SUMIF(Scores!$F$2:$F$926, 'Next Gen'!$A463, INDEX(Scores!$I$2:$Q$926, 0, MATCH($B463, Scores!$I$1:$Q$1, 0)))</f>
        <v>10</v>
      </c>
      <c r="G463" s="1">
        <f>INDEX(Scores!$B$2:$B$926, MATCH('Next Gen'!$A463, Scores!$F$2:$F$926, 0))</f>
        <v>256</v>
      </c>
      <c r="H463" s="1" t="str">
        <f>INDEX(Scores!$D$2:$D$926, MATCH('Next Gen'!$A463, Scores!$F$2:$F$926, 0))</f>
        <v>New</v>
      </c>
      <c r="I463" s="4">
        <f>INDEX(Scores!$E$2:$E$926, MATCH('Next Gen'!$A463, Scores!$F$2:$F$926, 0))</f>
        <v>46105</v>
      </c>
    </row>
    <row r="464" spans="1:9">
      <c r="A464" s="1">
        <v>276</v>
      </c>
      <c r="B464" s="1" t="s">
        <v>4</v>
      </c>
      <c r="C464" s="1">
        <v>8</v>
      </c>
      <c r="D464" s="1">
        <v>6</v>
      </c>
      <c r="E464" s="1">
        <v>6</v>
      </c>
      <c r="F464" s="1">
        <f>SUMIF(Scores!$F$2:$F$926, 'Next Gen'!$A464, INDEX(Scores!$I$2:$Q$926, 0, MATCH($B464, Scores!$I$1:$Q$1, 0)))</f>
        <v>12</v>
      </c>
      <c r="G464" s="1">
        <f>INDEX(Scores!$B$2:$B$926, MATCH('Next Gen'!$A464, Scores!$F$2:$F$926, 0))</f>
        <v>256</v>
      </c>
      <c r="H464" s="1" t="str">
        <f>INDEX(Scores!$D$2:$D$926, MATCH('Next Gen'!$A464, Scores!$F$2:$F$926, 0))</f>
        <v>New</v>
      </c>
      <c r="I464" s="4">
        <f>INDEX(Scores!$E$2:$E$926, MATCH('Next Gen'!$A464, Scores!$F$2:$F$926, 0))</f>
        <v>46105</v>
      </c>
    </row>
    <row r="465" spans="1:9">
      <c r="A465" s="1">
        <v>277</v>
      </c>
      <c r="B465" s="1" t="s">
        <v>5</v>
      </c>
      <c r="C465" s="1">
        <v>8</v>
      </c>
      <c r="D465" s="1">
        <v>5</v>
      </c>
      <c r="E465" s="1">
        <v>5</v>
      </c>
      <c r="F465" s="1">
        <f>SUMIF(Scores!$F$2:$F$926, 'Next Gen'!$A465, INDEX(Scores!$I$2:$Q$926, 0, MATCH($B465, Scores!$I$1:$Q$1, 0)))</f>
        <v>9</v>
      </c>
      <c r="G465" s="1">
        <f>INDEX(Scores!$B$2:$B$926, MATCH('Next Gen'!$A465, Scores!$F$2:$F$926, 0))</f>
        <v>256</v>
      </c>
      <c r="H465" s="1" t="str">
        <f>INDEX(Scores!$D$2:$D$926, MATCH('Next Gen'!$A465, Scores!$F$2:$F$926, 0))</f>
        <v>New</v>
      </c>
      <c r="I465" s="4">
        <f>INDEX(Scores!$E$2:$E$926, MATCH('Next Gen'!$A465, Scores!$F$2:$F$926, 0))</f>
        <v>46106</v>
      </c>
    </row>
    <row r="466" spans="1:9">
      <c r="A466" s="1">
        <v>277</v>
      </c>
      <c r="B466" s="1" t="s">
        <v>4</v>
      </c>
      <c r="C466" s="1">
        <v>8</v>
      </c>
      <c r="D466" s="1">
        <v>8</v>
      </c>
      <c r="E466" s="1">
        <v>7</v>
      </c>
      <c r="F466" s="1">
        <f>SUMIF(Scores!$F$2:$F$926, 'Next Gen'!$A466, INDEX(Scores!$I$2:$Q$926, 0, MATCH($B466, Scores!$I$1:$Q$1, 0)))</f>
        <v>17</v>
      </c>
      <c r="G466" s="1">
        <f>INDEX(Scores!$B$2:$B$926, MATCH('Next Gen'!$A466, Scores!$F$2:$F$926, 0))</f>
        <v>256</v>
      </c>
      <c r="H466" s="1" t="str">
        <f>INDEX(Scores!$D$2:$D$926, MATCH('Next Gen'!$A466, Scores!$F$2:$F$926, 0))</f>
        <v>New</v>
      </c>
      <c r="I466" s="4">
        <f>INDEX(Scores!$E$2:$E$926, MATCH('Next Gen'!$A466, Scores!$F$2:$F$926, 0))</f>
        <v>46106</v>
      </c>
    </row>
    <row r="467" spans="1:9">
      <c r="A467" s="1">
        <v>277</v>
      </c>
      <c r="B467" s="1" t="s">
        <v>7</v>
      </c>
      <c r="C467" s="1">
        <v>8</v>
      </c>
      <c r="D467" s="1">
        <v>5</v>
      </c>
      <c r="E467" s="1">
        <v>5</v>
      </c>
      <c r="F467" s="1">
        <f>SUMIF(Scores!$F$2:$F$926, 'Next Gen'!$A467, INDEX(Scores!$I$2:$Q$926, 0, MATCH($B467, Scores!$I$1:$Q$1, 0)))</f>
        <v>9</v>
      </c>
      <c r="G467" s="1">
        <f>INDEX(Scores!$B$2:$B$926, MATCH('Next Gen'!$A467, Scores!$F$2:$F$926, 0))</f>
        <v>256</v>
      </c>
      <c r="H467" s="1" t="str">
        <f>INDEX(Scores!$D$2:$D$926, MATCH('Next Gen'!$A467, Scores!$F$2:$F$926, 0))</f>
        <v>New</v>
      </c>
      <c r="I467" s="4">
        <f>INDEX(Scores!$E$2:$E$926, MATCH('Next Gen'!$A467, Scores!$F$2:$F$926, 0))</f>
        <v>46106</v>
      </c>
    </row>
    <row r="468" spans="1:9">
      <c r="A468" s="1">
        <v>278</v>
      </c>
      <c r="B468" s="1" t="s">
        <v>5</v>
      </c>
      <c r="C468" s="1">
        <v>8</v>
      </c>
      <c r="D468" s="1">
        <v>7</v>
      </c>
      <c r="E468" s="1">
        <v>5</v>
      </c>
      <c r="F468" s="1">
        <f>SUMIF(Scores!$F$2:$F$926, 'Next Gen'!$A468, INDEX(Scores!$I$2:$Q$926, 0, MATCH($B468, Scores!$I$1:$Q$1, 0)))</f>
        <v>9</v>
      </c>
      <c r="G468" s="1">
        <f>INDEX(Scores!$B$2:$B$926, MATCH('Next Gen'!$A468, Scores!$F$2:$F$926, 0))</f>
        <v>256</v>
      </c>
      <c r="H468" s="1" t="str">
        <f>INDEX(Scores!$D$2:$D$926, MATCH('Next Gen'!$A468, Scores!$F$2:$F$926, 0))</f>
        <v>New</v>
      </c>
      <c r="I468" s="4">
        <f>INDEX(Scores!$E$2:$E$926, MATCH('Next Gen'!$A468, Scores!$F$2:$F$926, 0))</f>
        <v>46108</v>
      </c>
    </row>
    <row r="469" spans="1:9">
      <c r="A469" s="1">
        <v>278</v>
      </c>
      <c r="B469" s="1" t="s">
        <v>4</v>
      </c>
      <c r="C469" s="1">
        <v>8</v>
      </c>
      <c r="D469" s="1">
        <v>8</v>
      </c>
      <c r="E469" s="1">
        <v>8</v>
      </c>
      <c r="F469" s="1">
        <f>SUMIF(Scores!$F$2:$F$926, 'Next Gen'!$A469, INDEX(Scores!$I$2:$Q$926, 0, MATCH($B469, Scores!$I$1:$Q$1, 0)))</f>
        <v>14</v>
      </c>
      <c r="G469" s="1">
        <f>INDEX(Scores!$B$2:$B$926, MATCH('Next Gen'!$A469, Scores!$F$2:$F$926, 0))</f>
        <v>256</v>
      </c>
      <c r="H469" s="1" t="str">
        <f>INDEX(Scores!$D$2:$D$926, MATCH('Next Gen'!$A469, Scores!$F$2:$F$926, 0))</f>
        <v>New</v>
      </c>
      <c r="I469" s="4">
        <f>INDEX(Scores!$E$2:$E$926, MATCH('Next Gen'!$A469, Scores!$F$2:$F$926, 0))</f>
        <v>46108</v>
      </c>
    </row>
    <row r="470" spans="1:9">
      <c r="A470" s="1">
        <v>279</v>
      </c>
      <c r="B470" s="1" t="s">
        <v>5</v>
      </c>
      <c r="C470" s="1">
        <v>8</v>
      </c>
      <c r="D470" s="1">
        <v>6</v>
      </c>
      <c r="E470" s="1">
        <v>5</v>
      </c>
      <c r="F470" s="1">
        <f>SUMIF(Scores!$F$2:$F$926, 'Next Gen'!$A470, INDEX(Scores!$I$2:$Q$926, 0, MATCH($B470, Scores!$I$1:$Q$1, 0)))</f>
        <v>10</v>
      </c>
      <c r="G470" s="1">
        <f>INDEX(Scores!$B$2:$B$926, MATCH('Next Gen'!$A470, Scores!$F$2:$F$926, 0))</f>
        <v>256</v>
      </c>
      <c r="H470" s="1" t="str">
        <f>INDEX(Scores!$D$2:$D$926, MATCH('Next Gen'!$A470, Scores!$F$2:$F$926, 0))</f>
        <v>New</v>
      </c>
      <c r="I470" s="4">
        <f>INDEX(Scores!$E$2:$E$926, MATCH('Next Gen'!$A470, Scores!$F$2:$F$926, 0))</f>
        <v>46114</v>
      </c>
    </row>
    <row r="471" spans="1:9">
      <c r="A471" s="1">
        <v>279</v>
      </c>
      <c r="B471" s="1" t="s">
        <v>4</v>
      </c>
      <c r="C471" s="1">
        <v>8</v>
      </c>
      <c r="D471" s="1">
        <v>8</v>
      </c>
      <c r="E471" s="1">
        <v>8</v>
      </c>
      <c r="F471" s="1">
        <f>SUMIF(Scores!$F$2:$F$926, 'Next Gen'!$A471, INDEX(Scores!$I$2:$Q$926, 0, MATCH($B471, Scores!$I$1:$Q$1, 0)))</f>
        <v>18</v>
      </c>
      <c r="G471" s="1">
        <f>INDEX(Scores!$B$2:$B$926, MATCH('Next Gen'!$A471, Scores!$F$2:$F$926, 0))</f>
        <v>256</v>
      </c>
      <c r="H471" s="1" t="str">
        <f>INDEX(Scores!$D$2:$D$926, MATCH('Next Gen'!$A471, Scores!$F$2:$F$926, 0))</f>
        <v>New</v>
      </c>
      <c r="I471" s="4">
        <f>INDEX(Scores!$E$2:$E$926, MATCH('Next Gen'!$A471, Scores!$F$2:$F$926, 0))</f>
        <v>46114</v>
      </c>
    </row>
    <row r="472" spans="1:9">
      <c r="A472" s="1">
        <v>280</v>
      </c>
      <c r="B472" s="1" t="s">
        <v>5</v>
      </c>
      <c r="C472" s="1">
        <v>8</v>
      </c>
      <c r="D472" s="1">
        <v>4</v>
      </c>
      <c r="E472" s="1">
        <v>4</v>
      </c>
      <c r="F472" s="1">
        <f>SUMIF(Scores!$F$2:$F$926, 'Next Gen'!$A472, INDEX(Scores!$I$2:$Q$926, 0, MATCH($B472, Scores!$I$1:$Q$1, 0)))</f>
        <v>5</v>
      </c>
      <c r="G472" s="1">
        <f>INDEX(Scores!$B$2:$B$926, MATCH('Next Gen'!$A472, Scores!$F$2:$F$926, 0))</f>
        <v>256</v>
      </c>
      <c r="H472" s="1" t="str">
        <f>INDEX(Scores!$D$2:$D$926, MATCH('Next Gen'!$A472, Scores!$F$2:$F$926, 0))</f>
        <v>New</v>
      </c>
      <c r="I472" s="4">
        <f>INDEX(Scores!$E$2:$E$926, MATCH('Next Gen'!$A472, Scores!$F$2:$F$926, 0))</f>
        <v>46121</v>
      </c>
    </row>
    <row r="473" spans="1:9">
      <c r="A473" s="1">
        <v>280</v>
      </c>
      <c r="B473" s="1" t="s">
        <v>4</v>
      </c>
      <c r="C473" s="1">
        <v>8</v>
      </c>
      <c r="D473" s="1">
        <v>8</v>
      </c>
      <c r="E473" s="1">
        <v>8</v>
      </c>
      <c r="F473" s="1">
        <f>SUMIF(Scores!$F$2:$F$926, 'Next Gen'!$A473, INDEX(Scores!$I$2:$Q$926, 0, MATCH($B473, Scores!$I$1:$Q$1, 0)))</f>
        <v>18</v>
      </c>
      <c r="G473" s="1">
        <f>INDEX(Scores!$B$2:$B$926, MATCH('Next Gen'!$A473, Scores!$F$2:$F$926, 0))</f>
        <v>256</v>
      </c>
      <c r="H473" s="1" t="str">
        <f>INDEX(Scores!$D$2:$D$926, MATCH('Next Gen'!$A473, Scores!$F$2:$F$926, 0))</f>
        <v>New</v>
      </c>
      <c r="I473" s="4">
        <f>INDEX(Scores!$E$2:$E$926, MATCH('Next Gen'!$A473, Scores!$F$2:$F$926, 0))</f>
        <v>46121</v>
      </c>
    </row>
    <row r="474" spans="1:9">
      <c r="A474" s="1">
        <v>281</v>
      </c>
      <c r="B474" s="1" t="s">
        <v>5</v>
      </c>
      <c r="C474" s="1">
        <v>8</v>
      </c>
      <c r="D474" s="1">
        <v>7</v>
      </c>
      <c r="E474" s="1">
        <v>5</v>
      </c>
      <c r="F474" s="1">
        <f>SUMIF(Scores!$F$2:$F$926, 'Next Gen'!$A474, INDEX(Scores!$I$2:$Q$926, 0, MATCH($B474, Scores!$I$1:$Q$1, 0)))</f>
        <v>9</v>
      </c>
      <c r="G474" s="1">
        <f>INDEX(Scores!$B$2:$B$926, MATCH('Next Gen'!$A474, Scores!$F$2:$F$926, 0))</f>
        <v>256</v>
      </c>
      <c r="H474" s="1" t="str">
        <f>INDEX(Scores!$D$2:$D$926, MATCH('Next Gen'!$A474, Scores!$F$2:$F$926, 0))</f>
        <v>New</v>
      </c>
      <c r="I474" s="4">
        <f>INDEX(Scores!$E$2:$E$926, MATCH('Next Gen'!$A474, Scores!$F$2:$F$926, 0))</f>
        <v>46122</v>
      </c>
    </row>
    <row r="475" spans="1:9">
      <c r="A475" s="1">
        <v>281</v>
      </c>
      <c r="B475" s="1" t="s">
        <v>4</v>
      </c>
      <c r="C475" s="1">
        <v>8</v>
      </c>
      <c r="D475" s="1">
        <v>8</v>
      </c>
      <c r="E475" s="1">
        <v>8</v>
      </c>
      <c r="F475" s="1">
        <f>SUMIF(Scores!$F$2:$F$926, 'Next Gen'!$A475, INDEX(Scores!$I$2:$Q$926, 0, MATCH($B475, Scores!$I$1:$Q$1, 0)))</f>
        <v>21</v>
      </c>
      <c r="G475" s="1">
        <f>INDEX(Scores!$B$2:$B$926, MATCH('Next Gen'!$A475, Scores!$F$2:$F$926, 0))</f>
        <v>256</v>
      </c>
      <c r="H475" s="1" t="str">
        <f>INDEX(Scores!$D$2:$D$926, MATCH('Next Gen'!$A475, Scores!$F$2:$F$926, 0))</f>
        <v>New</v>
      </c>
      <c r="I475" s="4">
        <f>INDEX(Scores!$E$2:$E$926, MATCH('Next Gen'!$A475, Scores!$F$2:$F$926, 0))</f>
        <v>46122</v>
      </c>
    </row>
    <row r="476" spans="1:9">
      <c r="A476" s="1">
        <v>282</v>
      </c>
      <c r="B476" s="1" t="s">
        <v>5</v>
      </c>
      <c r="C476" s="1">
        <v>8</v>
      </c>
      <c r="D476" s="1">
        <v>6</v>
      </c>
      <c r="E476" s="1">
        <v>6</v>
      </c>
      <c r="F476" s="1">
        <f>SUMIF(Scores!$F$2:$F$926, 'Next Gen'!$A476, INDEX(Scores!$I$2:$Q$926, 0, MATCH($B476, Scores!$I$1:$Q$1, 0)))</f>
        <v>8</v>
      </c>
      <c r="G476" s="1">
        <f>INDEX(Scores!$B$2:$B$926, MATCH('Next Gen'!$A476, Scores!$F$2:$F$926, 0))</f>
        <v>256</v>
      </c>
      <c r="H476" s="1" t="str">
        <f>INDEX(Scores!$D$2:$D$926, MATCH('Next Gen'!$A476, Scores!$F$2:$F$926, 0))</f>
        <v>New</v>
      </c>
      <c r="I476" s="4">
        <f>INDEX(Scores!$E$2:$E$926, MATCH('Next Gen'!$A476, Scores!$F$2:$F$926, 0))</f>
        <v>46127</v>
      </c>
    </row>
    <row r="477" spans="1:9">
      <c r="A477" s="1">
        <v>282</v>
      </c>
      <c r="B477" s="1" t="s">
        <v>4</v>
      </c>
      <c r="C477" s="1">
        <v>8</v>
      </c>
      <c r="D477" s="1">
        <v>8</v>
      </c>
      <c r="E477" s="1">
        <v>8</v>
      </c>
      <c r="F477" s="1">
        <f>SUMIF(Scores!$F$2:$F$926, 'Next Gen'!$A477, INDEX(Scores!$I$2:$Q$926, 0, MATCH($B477, Scores!$I$1:$Q$1, 0)))</f>
        <v>20</v>
      </c>
      <c r="G477" s="1">
        <f>INDEX(Scores!$B$2:$B$926, MATCH('Next Gen'!$A477, Scores!$F$2:$F$926, 0))</f>
        <v>256</v>
      </c>
      <c r="H477" s="1" t="str">
        <f>INDEX(Scores!$D$2:$D$926, MATCH('Next Gen'!$A477, Scores!$F$2:$F$926, 0))</f>
        <v>New</v>
      </c>
      <c r="I477" s="4">
        <f>INDEX(Scores!$E$2:$E$926, MATCH('Next Gen'!$A477, Scores!$F$2:$F$926, 0))</f>
        <v>46127</v>
      </c>
    </row>
    <row r="478" spans="1:9">
      <c r="A478" s="1">
        <v>283</v>
      </c>
      <c r="B478" s="1" t="s">
        <v>5</v>
      </c>
      <c r="C478" s="1">
        <v>8</v>
      </c>
      <c r="D478" s="1">
        <v>6</v>
      </c>
      <c r="E478" s="1">
        <v>4</v>
      </c>
      <c r="F478" s="1">
        <f>SUMIF(Scores!$F$2:$F$926, 'Next Gen'!$A478, INDEX(Scores!$I$2:$Q$926, 0, MATCH($B478, Scores!$I$1:$Q$1, 0)))</f>
        <v>6</v>
      </c>
      <c r="G478" s="1">
        <f>INDEX(Scores!$B$2:$B$926, MATCH('Next Gen'!$A478, Scores!$F$2:$F$926, 0))</f>
        <v>256</v>
      </c>
      <c r="H478" s="1" t="str">
        <f>INDEX(Scores!$D$2:$D$926, MATCH('Next Gen'!$A478, Scores!$F$2:$F$926, 0))</f>
        <v>New</v>
      </c>
      <c r="I478" s="4">
        <f>INDEX(Scores!$E$2:$E$926, MATCH('Next Gen'!$A478, Scores!$F$2:$F$926, 0))</f>
        <v>46132</v>
      </c>
    </row>
    <row r="479" spans="1:9">
      <c r="A479" s="1">
        <v>283</v>
      </c>
      <c r="B479" s="1" t="s">
        <v>4</v>
      </c>
      <c r="C479" s="1">
        <v>8</v>
      </c>
      <c r="D479" s="1">
        <v>8</v>
      </c>
      <c r="E479" s="1">
        <v>8</v>
      </c>
      <c r="F479" s="1">
        <f>SUMIF(Scores!$F$2:$F$926, 'Next Gen'!$A479, INDEX(Scores!$I$2:$Q$926, 0, MATCH($B479, Scores!$I$1:$Q$1, 0)))</f>
        <v>20</v>
      </c>
      <c r="G479" s="1">
        <f>INDEX(Scores!$B$2:$B$926, MATCH('Next Gen'!$A479, Scores!$F$2:$F$926, 0))</f>
        <v>256</v>
      </c>
      <c r="H479" s="1" t="str">
        <f>INDEX(Scores!$D$2:$D$926, MATCH('Next Gen'!$A479, Scores!$F$2:$F$926, 0))</f>
        <v>New</v>
      </c>
      <c r="I479" s="4">
        <f>INDEX(Scores!$E$2:$E$926, MATCH('Next Gen'!$A479, Scores!$F$2:$F$926, 0))</f>
        <v>46132</v>
      </c>
    </row>
    <row r="480" spans="1:9">
      <c r="A480" s="1">
        <v>284</v>
      </c>
      <c r="B480" s="1" t="s">
        <v>5</v>
      </c>
      <c r="C480" s="1">
        <v>8</v>
      </c>
      <c r="D480" s="1">
        <v>4</v>
      </c>
      <c r="E480" s="1">
        <v>4</v>
      </c>
      <c r="F480" s="1">
        <f>SUMIF(Scores!$F$2:$F$926, 'Next Gen'!$A480, INDEX(Scores!$I$2:$Q$926, 0, MATCH($B480, Scores!$I$1:$Q$1, 0)))</f>
        <v>7</v>
      </c>
      <c r="G480" s="1">
        <f>INDEX(Scores!$B$2:$B$926, MATCH('Next Gen'!$A480, Scores!$F$2:$F$926, 0))</f>
        <v>256</v>
      </c>
      <c r="H480" s="1" t="str">
        <f>INDEX(Scores!$D$2:$D$926, MATCH('Next Gen'!$A480, Scores!$F$2:$F$926, 0))</f>
        <v>New</v>
      </c>
      <c r="I480" s="4">
        <f>INDEX(Scores!$E$2:$E$926, MATCH('Next Gen'!$A480, Scores!$F$2:$F$926, 0))</f>
        <v>46148</v>
      </c>
    </row>
    <row r="481" spans="1:9">
      <c r="A481" s="1">
        <v>284</v>
      </c>
      <c r="B481" s="1" t="s">
        <v>4</v>
      </c>
      <c r="C481" s="1">
        <v>8</v>
      </c>
      <c r="D481" s="1">
        <v>6</v>
      </c>
      <c r="E481" s="1">
        <v>4</v>
      </c>
      <c r="F481" s="1">
        <f>SUMIF(Scores!$F$2:$F$926, 'Next Gen'!$A481, INDEX(Scores!$I$2:$Q$926, 0, MATCH($B481, Scores!$I$1:$Q$1, 0)))</f>
        <v>10</v>
      </c>
      <c r="G481" s="1">
        <f>INDEX(Scores!$B$2:$B$926, MATCH('Next Gen'!$A481, Scores!$F$2:$F$926, 0))</f>
        <v>256</v>
      </c>
      <c r="H481" s="1" t="str">
        <f>INDEX(Scores!$D$2:$D$926, MATCH('Next Gen'!$A481, Scores!$F$2:$F$926, 0))</f>
        <v>New</v>
      </c>
      <c r="I481" s="4">
        <f>INDEX(Scores!$E$2:$E$926, MATCH('Next Gen'!$A481, Scores!$F$2:$F$926, 0))</f>
        <v>46148</v>
      </c>
    </row>
    <row r="482" spans="1:9">
      <c r="A482" s="1">
        <v>285</v>
      </c>
      <c r="B482" s="1" t="s">
        <v>5</v>
      </c>
      <c r="C482" s="1">
        <v>8</v>
      </c>
      <c r="D482" s="1">
        <v>8</v>
      </c>
      <c r="E482" s="1">
        <v>5</v>
      </c>
      <c r="F482" s="1">
        <f>SUMIF(Scores!$F$2:$F$926, 'Next Gen'!$A482, INDEX(Scores!$I$2:$Q$926, 0, MATCH($B482, Scores!$I$1:$Q$1, 0)))</f>
        <v>9</v>
      </c>
      <c r="G482" s="1">
        <f>INDEX(Scores!$B$2:$B$926, MATCH('Next Gen'!$A482, Scores!$F$2:$F$926, 0))</f>
        <v>256</v>
      </c>
      <c r="H482" s="1" t="str">
        <f>INDEX(Scores!$D$2:$D$926, MATCH('Next Gen'!$A482, Scores!$F$2:$F$926, 0))</f>
        <v>New</v>
      </c>
      <c r="I482" s="4">
        <f>INDEX(Scores!$E$2:$E$926, MATCH('Next Gen'!$A482, Scores!$F$2:$F$926, 0))</f>
        <v>46154</v>
      </c>
    </row>
    <row r="483" spans="1:9">
      <c r="A483" s="1">
        <v>285</v>
      </c>
      <c r="B483" s="1" t="s">
        <v>4</v>
      </c>
      <c r="C483" s="1">
        <v>8</v>
      </c>
      <c r="D483" s="1">
        <v>8</v>
      </c>
      <c r="E483" s="1">
        <v>7</v>
      </c>
      <c r="F483" s="1">
        <f>SUMIF(Scores!$F$2:$F$926, 'Next Gen'!$A483, INDEX(Scores!$I$2:$Q$926, 0, MATCH($B483, Scores!$I$1:$Q$1, 0)))</f>
        <v>17</v>
      </c>
      <c r="G483" s="1">
        <f>INDEX(Scores!$B$2:$B$926, MATCH('Next Gen'!$A483, Scores!$F$2:$F$926, 0))</f>
        <v>256</v>
      </c>
      <c r="H483" s="1" t="str">
        <f>INDEX(Scores!$D$2:$D$926, MATCH('Next Gen'!$A483, Scores!$F$2:$F$926, 0))</f>
        <v>New</v>
      </c>
      <c r="I483" s="4">
        <f>INDEX(Scores!$E$2:$E$926, MATCH('Next Gen'!$A483, Scores!$F$2:$F$926, 0))</f>
        <v>46154</v>
      </c>
    </row>
    <row r="484" spans="1:9">
      <c r="A484" s="1">
        <v>287</v>
      </c>
      <c r="B484" s="1" t="s">
        <v>5</v>
      </c>
      <c r="C484" s="1">
        <v>8</v>
      </c>
      <c r="D484" s="1">
        <v>6</v>
      </c>
      <c r="E484" s="1">
        <v>6</v>
      </c>
      <c r="F484" s="1">
        <f>SUMIF(Scores!$F$2:$F$926, 'Next Gen'!$A484, INDEX(Scores!$I$2:$Q$926, 0, MATCH($B484, Scores!$I$1:$Q$1, 0)))</f>
        <v>13</v>
      </c>
      <c r="G484" s="1">
        <f>INDEX(Scores!$B$2:$B$926, MATCH('Next Gen'!$A484, Scores!$F$2:$F$926, 0))</f>
        <v>256</v>
      </c>
      <c r="H484" s="1" t="str">
        <f>INDEX(Scores!$D$2:$D$926, MATCH('Next Gen'!$A484, Scores!$F$2:$F$926, 0))</f>
        <v>New</v>
      </c>
      <c r="I484" s="4">
        <f>INDEX(Scores!$E$2:$E$926, MATCH('Next Gen'!$A484, Scores!$F$2:$F$926, 0))</f>
        <v>46197</v>
      </c>
    </row>
    <row r="485" spans="1:9">
      <c r="A485" s="1">
        <v>287</v>
      </c>
      <c r="B485" s="1" t="s">
        <v>4</v>
      </c>
      <c r="C485" s="1">
        <v>8</v>
      </c>
      <c r="D485" s="1">
        <v>8</v>
      </c>
      <c r="E485" s="1">
        <v>8</v>
      </c>
      <c r="F485" s="1">
        <f>SUMIF(Scores!$F$2:$F$926, 'Next Gen'!$A485, INDEX(Scores!$I$2:$Q$926, 0, MATCH($B485, Scores!$I$1:$Q$1, 0)))</f>
        <v>16</v>
      </c>
      <c r="G485" s="1">
        <f>INDEX(Scores!$B$2:$B$926, MATCH('Next Gen'!$A485, Scores!$F$2:$F$926, 0))</f>
        <v>256</v>
      </c>
      <c r="H485" s="1" t="str">
        <f>INDEX(Scores!$D$2:$D$926, MATCH('Next Gen'!$A485, Scores!$F$2:$F$926, 0))</f>
        <v>New</v>
      </c>
      <c r="I485" s="4">
        <f>INDEX(Scores!$E$2:$E$926, MATCH('Next Gen'!$A485, Scores!$F$2:$F$926, 0))</f>
        <v>46197</v>
      </c>
    </row>
    <row r="486" spans="1:9">
      <c r="A486" s="1">
        <v>288</v>
      </c>
      <c r="B486" s="1" t="s">
        <v>5</v>
      </c>
      <c r="C486" s="1">
        <v>8</v>
      </c>
      <c r="D486" s="1">
        <v>7</v>
      </c>
      <c r="E486" s="1">
        <v>6</v>
      </c>
      <c r="F486" s="1">
        <f>SUMIF(Scores!$F$2:$F$926, 'Next Gen'!$A486, INDEX(Scores!$I$2:$Q$926, 0, MATCH($B486, Scores!$I$1:$Q$1, 0)))</f>
        <v>10</v>
      </c>
      <c r="G486" s="1">
        <f>INDEX(Scores!$B$2:$B$926, MATCH('Next Gen'!$A486, Scores!$F$2:$F$926, 0))</f>
        <v>256</v>
      </c>
      <c r="H486" s="1" t="str">
        <f>INDEX(Scores!$D$2:$D$926, MATCH('Next Gen'!$A486, Scores!$F$2:$F$926, 0))</f>
        <v>New</v>
      </c>
      <c r="I486" s="4">
        <f>INDEX(Scores!$E$2:$E$926, MATCH('Next Gen'!$A486, Scores!$F$2:$F$926, 0))</f>
        <v>46198</v>
      </c>
    </row>
    <row r="487" spans="1:9">
      <c r="A487" s="1">
        <v>288</v>
      </c>
      <c r="B487" s="1" t="s">
        <v>4</v>
      </c>
      <c r="C487" s="1">
        <v>8</v>
      </c>
      <c r="D487" s="1">
        <v>8</v>
      </c>
      <c r="E487" s="1">
        <v>8</v>
      </c>
      <c r="F487" s="1">
        <f>SUMIF(Scores!$F$2:$F$926, 'Next Gen'!$A487, INDEX(Scores!$I$2:$Q$926, 0, MATCH($B487, Scores!$I$1:$Q$1, 0)))</f>
        <v>19</v>
      </c>
      <c r="G487" s="1">
        <f>INDEX(Scores!$B$2:$B$926, MATCH('Next Gen'!$A487, Scores!$F$2:$F$926, 0))</f>
        <v>256</v>
      </c>
      <c r="H487" s="1" t="str">
        <f>INDEX(Scores!$D$2:$D$926, MATCH('Next Gen'!$A487, Scores!$F$2:$F$926, 0))</f>
        <v>New</v>
      </c>
      <c r="I487" s="4">
        <f>INDEX(Scores!$E$2:$E$926, MATCH('Next Gen'!$A487, Scores!$F$2:$F$926, 0))</f>
        <v>46198</v>
      </c>
    </row>
    <row r="488" spans="1:9">
      <c r="A488" s="1">
        <v>289</v>
      </c>
      <c r="B488" s="1" t="s">
        <v>5</v>
      </c>
      <c r="C488" s="1">
        <v>8</v>
      </c>
      <c r="D488" s="1">
        <v>6</v>
      </c>
      <c r="E488" s="1">
        <v>6</v>
      </c>
      <c r="F488" s="1">
        <f>SUMIF(Scores!$F$2:$F$926, 'Next Gen'!$A488, INDEX(Scores!$I$2:$Q$926, 0, MATCH($B488, Scores!$I$1:$Q$1, 0)))</f>
        <v>6</v>
      </c>
      <c r="G488" s="1">
        <f>INDEX(Scores!$B$2:$B$926, MATCH('Next Gen'!$A488, Scores!$F$2:$F$926, 0))</f>
        <v>256</v>
      </c>
      <c r="H488" s="1" t="str">
        <f>INDEX(Scores!$D$2:$D$926, MATCH('Next Gen'!$A488, Scores!$F$2:$F$926, 0))</f>
        <v>New</v>
      </c>
      <c r="I488" s="4">
        <f>INDEX(Scores!$E$2:$E$926, MATCH('Next Gen'!$A488, Scores!$F$2:$F$926, 0))</f>
        <v>46202</v>
      </c>
    </row>
    <row r="489" spans="1:9">
      <c r="A489" s="1">
        <v>289</v>
      </c>
      <c r="B489" s="1" t="s">
        <v>4</v>
      </c>
      <c r="C489" s="1">
        <v>8</v>
      </c>
      <c r="D489" s="1">
        <v>7</v>
      </c>
      <c r="E489" s="1">
        <v>7</v>
      </c>
      <c r="F489" s="1">
        <f>SUMIF(Scores!$F$2:$F$926, 'Next Gen'!$A489, INDEX(Scores!$I$2:$Q$926, 0, MATCH($B489, Scores!$I$1:$Q$1, 0)))</f>
        <v>14</v>
      </c>
      <c r="G489" s="1">
        <f>INDEX(Scores!$B$2:$B$926, MATCH('Next Gen'!$A489, Scores!$F$2:$F$926, 0))</f>
        <v>256</v>
      </c>
      <c r="H489" s="1" t="str">
        <f>INDEX(Scores!$D$2:$D$926, MATCH('Next Gen'!$A489, Scores!$F$2:$F$926, 0))</f>
        <v>New</v>
      </c>
      <c r="I489" s="4">
        <f>INDEX(Scores!$E$2:$E$926, MATCH('Next Gen'!$A489, Scores!$F$2:$F$926, 0))</f>
        <v>46202</v>
      </c>
    </row>
    <row r="490" spans="1:9">
      <c r="A490" s="1">
        <v>290</v>
      </c>
      <c r="B490" s="1" t="s">
        <v>5</v>
      </c>
      <c r="C490" s="1">
        <v>8</v>
      </c>
      <c r="D490" s="1">
        <v>7</v>
      </c>
      <c r="E490" s="1">
        <v>6</v>
      </c>
      <c r="F490" s="1">
        <f>SUMIF(Scores!$F$2:$F$926, 'Next Gen'!$A490, INDEX(Scores!$I$2:$Q$926, 0, MATCH($B490, Scores!$I$1:$Q$1, 0)))</f>
        <v>11</v>
      </c>
      <c r="G490" s="1">
        <f>INDEX(Scores!$B$2:$B$926, MATCH('Next Gen'!$A490, Scores!$F$2:$F$926, 0))</f>
        <v>256</v>
      </c>
      <c r="H490" s="1" t="str">
        <f>INDEX(Scores!$D$2:$D$926, MATCH('Next Gen'!$A490, Scores!$F$2:$F$926, 0))</f>
        <v>New</v>
      </c>
      <c r="I490" s="4">
        <f>INDEX(Scores!$E$2:$E$926, MATCH('Next Gen'!$A490, Scores!$F$2:$F$926, 0))</f>
        <v>46203</v>
      </c>
    </row>
    <row r="491" spans="1:9">
      <c r="A491" s="1">
        <v>290</v>
      </c>
      <c r="B491" s="1" t="s">
        <v>4</v>
      </c>
      <c r="C491" s="1">
        <v>8</v>
      </c>
      <c r="D491" s="1">
        <v>7</v>
      </c>
      <c r="E491" s="1">
        <v>7</v>
      </c>
      <c r="F491" s="1">
        <f>SUMIF(Scores!$F$2:$F$926, 'Next Gen'!$A491, INDEX(Scores!$I$2:$Q$926, 0, MATCH($B491, Scores!$I$1:$Q$1, 0)))</f>
        <v>16</v>
      </c>
      <c r="G491" s="1">
        <f>INDEX(Scores!$B$2:$B$926, MATCH('Next Gen'!$A491, Scores!$F$2:$F$926, 0))</f>
        <v>256</v>
      </c>
      <c r="H491" s="1" t="str">
        <f>INDEX(Scores!$D$2:$D$926, MATCH('Next Gen'!$A491, Scores!$F$2:$F$926, 0))</f>
        <v>New</v>
      </c>
      <c r="I491" s="4">
        <f>INDEX(Scores!$E$2:$E$926, MATCH('Next Gen'!$A491, Scores!$F$2:$F$926, 0))</f>
        <v>46203</v>
      </c>
    </row>
    <row r="492" spans="1:9">
      <c r="A492" s="1">
        <v>291</v>
      </c>
      <c r="B492" s="1" t="s">
        <v>5</v>
      </c>
      <c r="C492" s="1">
        <v>8</v>
      </c>
      <c r="D492" s="1">
        <v>7</v>
      </c>
      <c r="E492" s="1">
        <v>6</v>
      </c>
      <c r="F492" s="17">
        <f>SUMIF(Scores!$F$2:$F$926, 'Next Gen'!$A492, INDEX(Scores!$I$2:$Q$926, 0, MATCH($B492, Scores!$I$1:$Q$1, 0)))</f>
        <v>10</v>
      </c>
      <c r="G492" s="1">
        <f>INDEX(Scores!$B$2:$B$926, MATCH('Next Gen'!$A492, Scores!$F$2:$F$926, 0))</f>
        <v>256</v>
      </c>
      <c r="H492" s="17" t="str">
        <f>INDEX(Scores!$D$2:$D$926, MATCH('Next Gen'!$A492, Scores!$F$2:$F$926, 0))</f>
        <v>New</v>
      </c>
      <c r="I492" s="4">
        <f>INDEX(Scores!$E$2:$E$926, MATCH('Next Gen'!$A492, Scores!$F$2:$F$926, 0))</f>
        <v>46231</v>
      </c>
    </row>
    <row r="493" spans="1:9">
      <c r="A493" s="1">
        <v>291</v>
      </c>
      <c r="B493" s="1" t="s">
        <v>4</v>
      </c>
      <c r="C493" s="1">
        <v>8</v>
      </c>
      <c r="D493" s="1">
        <v>8</v>
      </c>
      <c r="E493" s="1">
        <v>8</v>
      </c>
      <c r="F493" s="17">
        <f>SUMIF(Scores!$F$2:$F$926, 'Next Gen'!$A493, INDEX(Scores!$I$2:$Q$926, 0, MATCH($B493, Scores!$I$1:$Q$1, 0)))</f>
        <v>17</v>
      </c>
      <c r="G493" s="1">
        <f>INDEX(Scores!$B$2:$B$926, MATCH('Next Gen'!$A493, Scores!$F$2:$F$926, 0))</f>
        <v>256</v>
      </c>
      <c r="H493" s="17" t="str">
        <f>INDEX(Scores!$D$2:$D$926, MATCH('Next Gen'!$A493, Scores!$F$2:$F$926, 0))</f>
        <v>New</v>
      </c>
      <c r="I493" s="4">
        <f>INDEX(Scores!$E$2:$E$926, MATCH('Next Gen'!$A493, Scores!$F$2:$F$926, 0))</f>
        <v>46231</v>
      </c>
    </row>
  </sheetData>
  <sortState xmlns:xlrd2="http://schemas.microsoft.com/office/spreadsheetml/2017/richdata2" ref="A2:E13">
    <sortCondition ref="A2:A13"/>
  </sortState>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23F6-7014-F549-8E53-1734BC9BBEC1}">
  <dimension ref="A1:D1"/>
  <sheetViews>
    <sheetView workbookViewId="0">
      <selection activeCell="G22" sqref="G22"/>
    </sheetView>
  </sheetViews>
  <sheetFormatPr baseColWidth="10" defaultRowHeight="16"/>
  <sheetData>
    <row r="1" spans="1:4">
      <c r="A1" t="s">
        <v>113</v>
      </c>
      <c r="D1"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EA2CD7-1BDF-1044-AD90-73F8FFD43A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Scores</vt:lpstr>
      <vt:lpstr>Games</vt:lpstr>
      <vt:lpstr>Records</vt:lpstr>
      <vt:lpstr>Clutch</vt:lpstr>
      <vt:lpstr>Next Gen</vt:lpstr>
      <vt:lpstr>Achievements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Skinner</dc:creator>
  <cp:lastModifiedBy>Caleb Skinner</cp:lastModifiedBy>
  <dcterms:created xsi:type="dcterms:W3CDTF">2025-03-27T14:58:36Z</dcterms:created>
  <dcterms:modified xsi:type="dcterms:W3CDTF">2026-07-28T21:19:09Z</dcterms:modified>
</cp:coreProperties>
</file>