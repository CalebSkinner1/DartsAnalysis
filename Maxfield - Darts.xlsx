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4097B1B7-25C7-8841-998B-02285CAFCF36}" xr6:coauthVersionLast="47" xr6:coauthVersionMax="47" xr10:uidLastSave="{00000000-0000-0000-0000-000000000000}"/>
  <bookViews>
    <workbookView xWindow="680" yWindow="660" windowWidth="29560" windowHeight="1732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Clutch!$A$1:$G$380</definedName>
    <definedName name="ExternalData_2" localSheetId="1" hidden="1">Games!$A$1:$J$652</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6" r:id="rId9"/>
    <pivotCache cacheId="3"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85" i="2" l="1"/>
  <c r="H485" i="2"/>
  <c r="G485" i="2"/>
  <c r="F485" i="2"/>
  <c r="I484" i="2"/>
  <c r="H484" i="2"/>
  <c r="G484" i="2"/>
  <c r="F484" i="2"/>
  <c r="F903" i="1"/>
  <c r="K123" i="8"/>
  <c r="K586" i="8"/>
  <c r="K587" i="8"/>
  <c r="K34" i="8"/>
  <c r="K631" i="8"/>
  <c r="K157" i="8"/>
  <c r="K447" i="8"/>
  <c r="L447" i="8" s="1"/>
  <c r="K448" i="8"/>
  <c r="L448" i="8" s="1"/>
  <c r="K632" i="8"/>
  <c r="K301" i="8"/>
  <c r="K124" i="8"/>
  <c r="K588" i="8"/>
  <c r="K503" i="8"/>
  <c r="L503" i="8" s="1"/>
  <c r="K158" i="8"/>
  <c r="K449" i="8"/>
  <c r="L449" i="8" s="1"/>
  <c r="K392" i="8"/>
  <c r="L392" i="8" s="1"/>
  <c r="K200" i="8"/>
  <c r="K345" i="8"/>
  <c r="K551" i="8"/>
  <c r="K201" i="8"/>
  <c r="K125" i="8"/>
  <c r="K450" i="8"/>
  <c r="L450" i="8" s="1"/>
  <c r="K346" i="8"/>
  <c r="L346" i="8" s="1"/>
  <c r="K589" i="8"/>
  <c r="L589" i="8" s="1"/>
  <c r="K55" i="8"/>
  <c r="K393" i="8"/>
  <c r="K347" i="8"/>
  <c r="K159" i="8"/>
  <c r="K504" i="8"/>
  <c r="L504" i="8" s="1"/>
  <c r="K505" i="8"/>
  <c r="L505" i="8" s="1"/>
  <c r="K126" i="8"/>
  <c r="K590" i="8"/>
  <c r="L590" i="8" s="1"/>
  <c r="K633" i="8"/>
  <c r="K127" i="8"/>
  <c r="K506" i="8"/>
  <c r="K394" i="8"/>
  <c r="K507" i="8"/>
  <c r="L507" i="8" s="1"/>
  <c r="K202" i="8"/>
  <c r="L202" i="8" s="1"/>
  <c r="K591" i="8"/>
  <c r="L591" i="8" s="1"/>
  <c r="K395" i="8"/>
  <c r="L395" i="8" s="1"/>
  <c r="K255" i="8"/>
  <c r="K592" i="8"/>
  <c r="K203" i="8"/>
  <c r="K451" i="8"/>
  <c r="K396" i="8"/>
  <c r="L396" i="8" s="1"/>
  <c r="K256" i="8"/>
  <c r="L256" i="8" s="1"/>
  <c r="K452" i="8"/>
  <c r="L452" i="8" s="1"/>
  <c r="K552" i="8"/>
  <c r="L552" i="8" s="1"/>
  <c r="K160" i="8"/>
  <c r="K302" i="8"/>
  <c r="K453" i="8"/>
  <c r="K634" i="8"/>
  <c r="K128" i="8"/>
  <c r="K553" i="8"/>
  <c r="L553" i="8" s="1"/>
  <c r="K161" i="8"/>
  <c r="K593" i="8"/>
  <c r="L593" i="8" s="1"/>
  <c r="K348" i="8"/>
  <c r="K508" i="8"/>
  <c r="K594" i="8"/>
  <c r="K94" i="8"/>
  <c r="K129" i="8"/>
  <c r="K162" i="8"/>
  <c r="K554" i="8"/>
  <c r="L554" i="8" s="1"/>
  <c r="K454" i="8"/>
  <c r="L454" i="8" s="1"/>
  <c r="K303" i="8"/>
  <c r="K455" i="8"/>
  <c r="K397" i="8"/>
  <c r="K163" i="8"/>
  <c r="K304" i="8"/>
  <c r="L304" i="8" s="1"/>
  <c r="K555" i="8"/>
  <c r="L555" i="8" s="1"/>
  <c r="K349" i="8"/>
  <c r="L349" i="8" s="1"/>
  <c r="K398" i="8"/>
  <c r="L398" i="8" s="1"/>
  <c r="K456" i="8"/>
  <c r="K399" i="8"/>
  <c r="K457" i="8"/>
  <c r="K400" i="8"/>
  <c r="K556" i="8"/>
  <c r="L556" i="8" s="1"/>
  <c r="K257" i="8"/>
  <c r="L257" i="8" s="1"/>
  <c r="K595" i="8"/>
  <c r="L595" i="8" s="1"/>
  <c r="K596" i="8"/>
  <c r="L596" i="8" s="1"/>
  <c r="K258" i="8"/>
  <c r="K557" i="8"/>
  <c r="K597" i="8"/>
  <c r="K558" i="8"/>
  <c r="K635" i="8"/>
  <c r="L635" i="8" s="1"/>
  <c r="K259" i="8"/>
  <c r="L259" i="8" s="1"/>
  <c r="K350" i="8"/>
  <c r="L350" i="8" s="1"/>
  <c r="K598" i="8"/>
  <c r="L598" i="8" s="1"/>
  <c r="K458" i="8"/>
  <c r="K204" i="8"/>
  <c r="K42" i="8"/>
  <c r="K351" i="8"/>
  <c r="K260" i="8"/>
  <c r="K352" i="8"/>
  <c r="L352" i="8" s="1"/>
  <c r="K459" i="8"/>
  <c r="L459" i="8" s="1"/>
  <c r="K559" i="8"/>
  <c r="L559" i="8" s="1"/>
  <c r="K401" i="8"/>
  <c r="K353" i="8"/>
  <c r="K261" i="8"/>
  <c r="K305" i="8"/>
  <c r="K460" i="8"/>
  <c r="L460" i="8" s="1"/>
  <c r="K306" i="8"/>
  <c r="L306" i="8" s="1"/>
  <c r="K402" i="8"/>
  <c r="L402" i="8" s="1"/>
  <c r="K560" i="8"/>
  <c r="L560" i="8" s="1"/>
  <c r="K307" i="8"/>
  <c r="K599" i="8"/>
  <c r="K636" i="8"/>
  <c r="K164" i="8"/>
  <c r="K561" i="8"/>
  <c r="L561" i="8" s="1"/>
  <c r="K509" i="8"/>
  <c r="L509" i="8" s="1"/>
  <c r="K600" i="8"/>
  <c r="L600" i="8" s="1"/>
  <c r="K510" i="8"/>
  <c r="L510" i="8" s="1"/>
  <c r="K461" i="8"/>
  <c r="K308" i="8"/>
  <c r="K462" i="8"/>
  <c r="K511" i="8"/>
  <c r="K403" i="8"/>
  <c r="L403" i="8" s="1"/>
  <c r="K354" i="8"/>
  <c r="L354" i="8" s="1"/>
  <c r="K309" i="8"/>
  <c r="L309" i="8" s="1"/>
  <c r="K165" i="8"/>
  <c r="K404" i="8"/>
  <c r="K166" i="8"/>
  <c r="K637" i="8"/>
  <c r="K355" i="8"/>
  <c r="K512" i="8"/>
  <c r="L512" i="8" s="1"/>
  <c r="K638" i="8"/>
  <c r="L638" i="8" s="1"/>
  <c r="K513" i="8"/>
  <c r="L513" i="8" s="1"/>
  <c r="K601" i="8"/>
  <c r="L601" i="8" s="1"/>
  <c r="K205" i="8"/>
  <c r="K310" i="8"/>
  <c r="K167" i="8"/>
  <c r="K514" i="8"/>
  <c r="K405" i="8"/>
  <c r="K311" i="8"/>
  <c r="L311" i="8" s="1"/>
  <c r="K639" i="8"/>
  <c r="L639" i="8" s="1"/>
  <c r="K515" i="8"/>
  <c r="L515" i="8" s="1"/>
  <c r="K206" i="8"/>
  <c r="K463" i="8"/>
  <c r="K95" i="8"/>
  <c r="K602" i="8"/>
  <c r="L602" i="8" s="1"/>
  <c r="K406" i="8"/>
  <c r="L406" i="8" s="1"/>
  <c r="K96" i="8"/>
  <c r="K75" i="8"/>
  <c r="K562" i="8"/>
  <c r="L562" i="8" s="1"/>
  <c r="K262" i="8"/>
  <c r="K563" i="8"/>
  <c r="K603" i="8"/>
  <c r="K207" i="8"/>
  <c r="K464" i="8"/>
  <c r="K208" i="8"/>
  <c r="L208" i="8" s="1"/>
  <c r="K312" i="8"/>
  <c r="L312" i="8" s="1"/>
  <c r="K313" i="8"/>
  <c r="L313" i="8" s="1"/>
  <c r="K516" i="8"/>
  <c r="K465" i="8"/>
  <c r="K356" i="8"/>
  <c r="K517" i="8"/>
  <c r="K130" i="8"/>
  <c r="K518" i="8"/>
  <c r="L518" i="8" s="1"/>
  <c r="K168" i="8"/>
  <c r="K604" i="8"/>
  <c r="L604" i="8" s="1"/>
  <c r="K466" i="8"/>
  <c r="K131" i="8"/>
  <c r="K407" i="8"/>
  <c r="K467" i="8"/>
  <c r="K209" i="8"/>
  <c r="L209" i="8" s="1"/>
  <c r="K314" i="8"/>
  <c r="L314" i="8" s="1"/>
  <c r="K76" i="8"/>
  <c r="K263" i="8"/>
  <c r="L263" i="8" s="1"/>
  <c r="K468" i="8"/>
  <c r="K605" i="8"/>
  <c r="K640" i="8"/>
  <c r="K564" i="8"/>
  <c r="L564" i="8" s="1"/>
  <c r="K169" i="8"/>
  <c r="K315" i="8"/>
  <c r="L315" i="8" s="1"/>
  <c r="K606" i="8"/>
  <c r="L606" i="8" s="1"/>
  <c r="K519" i="8"/>
  <c r="L519" i="8" s="1"/>
  <c r="K170" i="8"/>
  <c r="K264" i="8"/>
  <c r="K408" i="8"/>
  <c r="K641" i="8"/>
  <c r="K607" i="8"/>
  <c r="L607" i="8" s="1"/>
  <c r="K409" i="8"/>
  <c r="L409" i="8" s="1"/>
  <c r="K265" i="8"/>
  <c r="L265" i="8" s="1"/>
  <c r="K210" i="8"/>
  <c r="L210" i="8" s="1"/>
  <c r="K469" i="8"/>
  <c r="K316" i="8"/>
  <c r="K608" i="8"/>
  <c r="K609" i="8"/>
  <c r="L609" i="8" s="1"/>
  <c r="K410" i="8"/>
  <c r="L410" i="8" s="1"/>
  <c r="K97" i="8"/>
  <c r="K520" i="8"/>
  <c r="L520" i="8" s="1"/>
  <c r="K470" i="8"/>
  <c r="L470" i="8" s="1"/>
  <c r="K357" i="8"/>
  <c r="K642" i="8"/>
  <c r="K98" i="8"/>
  <c r="K411" i="8"/>
  <c r="L411" i="8" s="1"/>
  <c r="K565" i="8"/>
  <c r="L565" i="8" s="1"/>
  <c r="K99" i="8"/>
  <c r="K412" i="8"/>
  <c r="L412" i="8" s="1"/>
  <c r="K171" i="8"/>
  <c r="K413" i="8"/>
  <c r="K172" i="8"/>
  <c r="K358" i="8"/>
  <c r="K266" i="8"/>
  <c r="K471" i="8"/>
  <c r="K472" i="8"/>
  <c r="L472" i="8" s="1"/>
  <c r="K521" i="8"/>
  <c r="L521" i="8" s="1"/>
  <c r="K211" i="8"/>
  <c r="L211" i="8" s="1"/>
  <c r="K267" i="8"/>
  <c r="K566" i="8"/>
  <c r="K473" i="8"/>
  <c r="K567" i="8"/>
  <c r="L567" i="8" s="1"/>
  <c r="K568" i="8"/>
  <c r="L568" i="8" s="1"/>
  <c r="K610" i="8"/>
  <c r="L610" i="8" s="1"/>
  <c r="K317" i="8"/>
  <c r="L317" i="8" s="1"/>
  <c r="K132" i="8"/>
  <c r="K318" i="8"/>
  <c r="K522" i="8"/>
  <c r="K56" i="8"/>
  <c r="K611" i="8"/>
  <c r="K319" i="8"/>
  <c r="L319" i="8" s="1"/>
  <c r="K268" i="8"/>
  <c r="L268" i="8" s="1"/>
  <c r="K569" i="8"/>
  <c r="L569" i="8" s="1"/>
  <c r="K612" i="8"/>
  <c r="L612" i="8" s="1"/>
  <c r="K414" i="8"/>
  <c r="K523" i="8"/>
  <c r="K359" i="8"/>
  <c r="K415" i="8"/>
  <c r="K133" i="8"/>
  <c r="K570" i="8"/>
  <c r="L570" i="8" s="1"/>
  <c r="K524" i="8"/>
  <c r="L524" i="8" s="1"/>
  <c r="K525" i="8"/>
  <c r="L525" i="8" s="1"/>
  <c r="K320" i="8"/>
  <c r="K212" i="8"/>
  <c r="K416" i="8"/>
  <c r="K213" i="8"/>
  <c r="K321" i="8"/>
  <c r="L321" i="8" s="1"/>
  <c r="K214" i="8"/>
  <c r="L214" i="8" s="1"/>
  <c r="K360" i="8"/>
  <c r="L360" i="8" s="1"/>
  <c r="K269" i="8"/>
  <c r="L269" i="8" s="1"/>
  <c r="K613" i="8"/>
  <c r="K100" i="8"/>
  <c r="K417" i="8"/>
  <c r="K474" i="8"/>
  <c r="K614" i="8"/>
  <c r="L614" i="8" s="1"/>
  <c r="K526" i="8"/>
  <c r="L526" i="8" s="1"/>
  <c r="K615" i="8"/>
  <c r="L615" i="8" s="1"/>
  <c r="K527" i="8"/>
  <c r="L527" i="8" s="1"/>
  <c r="K571" i="8"/>
  <c r="K361" i="8"/>
  <c r="K418" i="8"/>
  <c r="K270" i="8"/>
  <c r="K362" i="8"/>
  <c r="L362" i="8" s="1"/>
  <c r="K419" i="8"/>
  <c r="L419" i="8" s="1"/>
  <c r="K271" i="8"/>
  <c r="L271" i="8" s="1"/>
  <c r="K420" i="8"/>
  <c r="L420" i="8" s="1"/>
  <c r="K528" i="8"/>
  <c r="K322" i="8"/>
  <c r="K475" i="8"/>
  <c r="K529" i="8"/>
  <c r="K616" i="8"/>
  <c r="L616" i="8" s="1"/>
  <c r="K476" i="8"/>
  <c r="L476" i="8" s="1"/>
  <c r="K363" i="8"/>
  <c r="L363" i="8" s="1"/>
  <c r="K101" i="8"/>
  <c r="K323" i="8"/>
  <c r="K643" i="8"/>
  <c r="K134" i="8"/>
  <c r="K617" i="8"/>
  <c r="K57" i="8"/>
  <c r="K173" i="8"/>
  <c r="K572" i="8"/>
  <c r="L572" i="8" s="1"/>
  <c r="K324" i="8"/>
  <c r="L324" i="8" s="1"/>
  <c r="K174" i="8"/>
  <c r="K58" i="8"/>
  <c r="K573" i="8"/>
  <c r="K215" i="8"/>
  <c r="K421" i="8"/>
  <c r="L421" i="8" s="1"/>
  <c r="K272" i="8"/>
  <c r="L272" i="8" s="1"/>
  <c r="K77" i="8"/>
  <c r="K102" i="8"/>
  <c r="K273" i="8"/>
  <c r="K175" i="8"/>
  <c r="K364" i="8"/>
  <c r="K325" i="8"/>
  <c r="K135" i="8"/>
  <c r="K136" i="8"/>
  <c r="K530" i="8"/>
  <c r="L530" i="8" s="1"/>
  <c r="K103" i="8"/>
  <c r="K574" i="8"/>
  <c r="K216" i="8"/>
  <c r="K176" i="8"/>
  <c r="K217" i="8"/>
  <c r="K422" i="8"/>
  <c r="L422" i="8" s="1"/>
  <c r="K575" i="8"/>
  <c r="L575" i="8" s="1"/>
  <c r="K137" i="8"/>
  <c r="K477" i="8"/>
  <c r="L477" i="8" s="1"/>
  <c r="K326" i="8"/>
  <c r="K576" i="8"/>
  <c r="K644" i="8"/>
  <c r="K327" i="8"/>
  <c r="K59" i="8"/>
  <c r="K645" i="8"/>
  <c r="L645" i="8" s="1"/>
  <c r="K618" i="8"/>
  <c r="L618" i="8" s="1"/>
  <c r="K218" i="8"/>
  <c r="L218" i="8" s="1"/>
  <c r="K328" i="8"/>
  <c r="K177" i="8"/>
  <c r="K478" i="8"/>
  <c r="K479" i="8"/>
  <c r="K178" i="8"/>
  <c r="K480" i="8"/>
  <c r="L480" i="8" s="1"/>
  <c r="K365" i="8"/>
  <c r="L365" i="8" s="1"/>
  <c r="K531" i="8"/>
  <c r="L531" i="8" s="1"/>
  <c r="K35" i="8"/>
  <c r="K646" i="8"/>
  <c r="K481" i="8"/>
  <c r="K219" i="8"/>
  <c r="L219" i="8" s="1"/>
  <c r="K423" i="8"/>
  <c r="L423" i="8" s="1"/>
  <c r="K220" i="8"/>
  <c r="L220" i="8" s="1"/>
  <c r="K619" i="8"/>
  <c r="L619" i="8" s="1"/>
  <c r="K78" i="8"/>
  <c r="K532" i="8"/>
  <c r="K533" i="8"/>
  <c r="K482" i="8"/>
  <c r="K483" i="8"/>
  <c r="L483" i="8" s="1"/>
  <c r="K424" i="8"/>
  <c r="L424" i="8" s="1"/>
  <c r="K577" i="8"/>
  <c r="L577" i="8" s="1"/>
  <c r="K274" i="8"/>
  <c r="L274" i="8" s="1"/>
  <c r="K60" i="8"/>
  <c r="K534" i="8"/>
  <c r="K61" i="8"/>
  <c r="K425" i="8"/>
  <c r="K366" i="8"/>
  <c r="K275" i="8"/>
  <c r="L275" i="8" s="1"/>
  <c r="K484" i="8"/>
  <c r="L484" i="8" s="1"/>
  <c r="K485" i="8"/>
  <c r="L485" i="8" s="1"/>
  <c r="K179" i="8"/>
  <c r="K535" i="8"/>
  <c r="K276" i="8"/>
  <c r="K26" i="8"/>
  <c r="K221" i="8"/>
  <c r="K578" i="8"/>
  <c r="L578" i="8" s="1"/>
  <c r="K426" i="8"/>
  <c r="L426" i="8" s="1"/>
  <c r="K486" i="8"/>
  <c r="L486" i="8" s="1"/>
  <c r="K620" i="8"/>
  <c r="L620" i="8" s="1"/>
  <c r="K222" i="8"/>
  <c r="K79" i="8"/>
  <c r="K536" i="8"/>
  <c r="K43" i="8"/>
  <c r="K487" i="8"/>
  <c r="L487" i="8" s="1"/>
  <c r="K537" i="8"/>
  <c r="L537" i="8" s="1"/>
  <c r="K621" i="8"/>
  <c r="L621" i="8" s="1"/>
  <c r="K427" i="8"/>
  <c r="L427" i="8" s="1"/>
  <c r="K488" i="8"/>
  <c r="K223" i="8"/>
  <c r="K428" i="8"/>
  <c r="K367" i="8"/>
  <c r="K224" i="8"/>
  <c r="L224" i="8" s="1"/>
  <c r="K138" i="8"/>
  <c r="K27" i="8"/>
  <c r="K368" i="8"/>
  <c r="L368" i="8" s="1"/>
  <c r="K139" i="8"/>
  <c r="K429" i="8"/>
  <c r="K489" i="8"/>
  <c r="K180" i="8"/>
  <c r="K430" i="8"/>
  <c r="L430" i="8" s="1"/>
  <c r="K579" i="8"/>
  <c r="L579" i="8" s="1"/>
  <c r="K225" i="8"/>
  <c r="L225" i="8" s="1"/>
  <c r="K622" i="8"/>
  <c r="L622" i="8" s="1"/>
  <c r="K80" i="8"/>
  <c r="K623" i="8"/>
  <c r="K490" i="8"/>
  <c r="K538" i="8"/>
  <c r="K369" i="8"/>
  <c r="L369" i="8" s="1"/>
  <c r="K647" i="8"/>
  <c r="L647" i="8" s="1"/>
  <c r="K104" i="8"/>
  <c r="K370" i="8"/>
  <c r="L370" i="8" s="1"/>
  <c r="K539" i="8"/>
  <c r="K624" i="8"/>
  <c r="K44" i="8"/>
  <c r="K625" i="8"/>
  <c r="K226" i="8"/>
  <c r="L226" i="8" s="1"/>
  <c r="K371" i="8"/>
  <c r="L371" i="8" s="1"/>
  <c r="K372" i="8"/>
  <c r="L372" i="8" s="1"/>
  <c r="K329" i="8"/>
  <c r="L329" i="8" s="1"/>
  <c r="K580" i="8"/>
  <c r="K491" i="8"/>
  <c r="L491" i="8" s="1"/>
  <c r="K492" i="8"/>
  <c r="K648" i="8"/>
  <c r="L648" i="8" s="1"/>
  <c r="K227" i="8"/>
  <c r="L227" i="8" s="1"/>
  <c r="K431" i="8"/>
  <c r="L431" i="8" s="1"/>
  <c r="K540" i="8"/>
  <c r="L540" i="8" s="1"/>
  <c r="K277" i="8"/>
  <c r="L277" i="8" s="1"/>
  <c r="K278" i="8"/>
  <c r="K581" i="8"/>
  <c r="K140" i="8"/>
  <c r="K541" i="8"/>
  <c r="K649" i="8"/>
  <c r="L649" i="8" s="1"/>
  <c r="K279" i="8"/>
  <c r="L279" i="8" s="1"/>
  <c r="K626" i="8"/>
  <c r="L626" i="8" s="1"/>
  <c r="K582" i="8"/>
  <c r="L582" i="8" s="1"/>
  <c r="K493" i="8"/>
  <c r="K228" i="8"/>
  <c r="K542" i="8"/>
  <c r="K432" i="8"/>
  <c r="L432" i="8" s="1"/>
  <c r="K373" i="8"/>
  <c r="L373" i="8" s="1"/>
  <c r="K627" i="8"/>
  <c r="L627" i="8" s="1"/>
  <c r="K105" i="8"/>
  <c r="K650" i="8"/>
  <c r="L650" i="8" s="1"/>
  <c r="K628" i="8"/>
  <c r="L628" i="8" s="1"/>
  <c r="K651" i="8"/>
  <c r="K433" i="8"/>
  <c r="K543" i="8"/>
  <c r="K494" i="8"/>
  <c r="L494" i="8" s="1"/>
  <c r="K629" i="8"/>
  <c r="L629" i="8" s="1"/>
  <c r="K280" i="8"/>
  <c r="L280" i="8" s="1"/>
  <c r="K374" i="8"/>
  <c r="L374" i="8" s="1"/>
  <c r="K544" i="8"/>
  <c r="K330" i="8"/>
  <c r="K229" i="8"/>
  <c r="K434" i="8"/>
  <c r="K583" i="8"/>
  <c r="L583" i="8" s="1"/>
  <c r="K375" i="8"/>
  <c r="L375" i="8" s="1"/>
  <c r="K545" i="8"/>
  <c r="L545" i="8" s="1"/>
  <c r="K435" i="8"/>
  <c r="L435" i="8" s="1"/>
  <c r="K281" i="8"/>
  <c r="K495" i="8"/>
  <c r="L495" i="8" s="1"/>
  <c r="K652" i="8"/>
  <c r="K496" i="8"/>
  <c r="K546" i="8"/>
  <c r="K436" i="8"/>
  <c r="L436" i="8" s="1"/>
  <c r="K547" i="8"/>
  <c r="L547" i="8" s="1"/>
  <c r="K282" i="8"/>
  <c r="L282" i="8" s="1"/>
  <c r="K584" i="8"/>
  <c r="L584" i="8" s="1"/>
  <c r="K141" i="8"/>
  <c r="K376" i="8"/>
  <c r="K181" i="8"/>
  <c r="K331" i="8"/>
  <c r="L331" i="8" s="1"/>
  <c r="K81" i="8"/>
  <c r="K497" i="8"/>
  <c r="L497" i="8" s="1"/>
  <c r="K283" i="8"/>
  <c r="L283" i="8" s="1"/>
  <c r="K377" i="8"/>
  <c r="K36" i="8"/>
  <c r="K378" i="8"/>
  <c r="K230" i="8"/>
  <c r="K437" i="8"/>
  <c r="L437" i="8" s="1"/>
  <c r="K438" i="8"/>
  <c r="L438" i="8" s="1"/>
  <c r="K332" i="8"/>
  <c r="L332" i="8" s="1"/>
  <c r="K284" i="8"/>
  <c r="L284" i="8" s="1"/>
  <c r="K231" i="8"/>
  <c r="K285" i="8"/>
  <c r="K182" i="8"/>
  <c r="K232" i="8"/>
  <c r="K333" i="8"/>
  <c r="L333" i="8" s="1"/>
  <c r="K379" i="8"/>
  <c r="L379" i="8" s="1"/>
  <c r="K439" i="8"/>
  <c r="L439" i="8" s="1"/>
  <c r="K82" i="8"/>
  <c r="K548" i="8"/>
  <c r="L548" i="8" s="1"/>
  <c r="K15" i="8"/>
  <c r="K142" i="8"/>
  <c r="K233" i="8"/>
  <c r="K37" i="8"/>
  <c r="K234" i="8"/>
  <c r="L234" i="8" s="1"/>
  <c r="K334" i="8"/>
  <c r="L334" i="8" s="1"/>
  <c r="K62" i="8"/>
  <c r="K335" i="8"/>
  <c r="K235" i="8"/>
  <c r="K380" i="8"/>
  <c r="K9" i="8"/>
  <c r="K106" i="8"/>
  <c r="K498" i="8"/>
  <c r="L498" i="8" s="1"/>
  <c r="K16" i="8"/>
  <c r="K83" i="8"/>
  <c r="K630" i="8"/>
  <c r="K17" i="8"/>
  <c r="K63" i="8"/>
  <c r="K286" i="8"/>
  <c r="K236" i="8"/>
  <c r="L236" i="8" s="1"/>
  <c r="K287" i="8"/>
  <c r="L287" i="8" s="1"/>
  <c r="K549" i="8"/>
  <c r="L549" i="8" s="1"/>
  <c r="K107" i="8"/>
  <c r="K237" i="8"/>
  <c r="K183" i="8"/>
  <c r="K108" i="8"/>
  <c r="K184" i="8"/>
  <c r="K238" i="8"/>
  <c r="L238" i="8" s="1"/>
  <c r="K45" i="8"/>
  <c r="K143" i="8"/>
  <c r="K28" i="8"/>
  <c r="K144" i="8"/>
  <c r="K185" i="8"/>
  <c r="K46" i="8"/>
  <c r="K239" i="8"/>
  <c r="L239" i="8" s="1"/>
  <c r="K64" i="8"/>
  <c r="K240" i="8"/>
  <c r="L240" i="8" s="1"/>
  <c r="K288" i="8"/>
  <c r="L288" i="8" s="1"/>
  <c r="K289" i="8"/>
  <c r="L289" i="8" s="1"/>
  <c r="K241" i="8"/>
  <c r="K65" i="8"/>
  <c r="K290" i="8"/>
  <c r="K29" i="8"/>
  <c r="K186" i="8"/>
  <c r="K109" i="8"/>
  <c r="K381" i="8"/>
  <c r="L381" i="8" s="1"/>
  <c r="K291" i="8"/>
  <c r="L291" i="8" s="1"/>
  <c r="K187" i="8"/>
  <c r="K38" i="8"/>
  <c r="K188" i="8"/>
  <c r="K292" i="8"/>
  <c r="K189" i="8"/>
  <c r="K293" i="8"/>
  <c r="L293" i="8" s="1"/>
  <c r="K382" i="8"/>
  <c r="L382" i="8" s="1"/>
  <c r="K66" i="8"/>
  <c r="K110" i="8"/>
  <c r="K111" i="8"/>
  <c r="K145" i="8"/>
  <c r="K67" i="8"/>
  <c r="K294" i="8"/>
  <c r="L294" i="8" s="1"/>
  <c r="K336" i="8"/>
  <c r="L336" i="8" s="1"/>
  <c r="K190" i="8"/>
  <c r="K440" i="8"/>
  <c r="L440" i="8" s="1"/>
  <c r="K112" i="8"/>
  <c r="K550" i="8"/>
  <c r="L550" i="8" s="1"/>
  <c r="K146" i="8"/>
  <c r="K113" i="8"/>
  <c r="K47" i="8"/>
  <c r="K147" i="8"/>
  <c r="K48" i="8"/>
  <c r="K191" i="8"/>
  <c r="K242" i="8"/>
  <c r="K192" i="8"/>
  <c r="K39" i="8"/>
  <c r="K337" i="8"/>
  <c r="K148" i="8"/>
  <c r="K383" i="8"/>
  <c r="L383" i="8" s="1"/>
  <c r="K338" i="8"/>
  <c r="L338" i="8" s="1"/>
  <c r="K243" i="8"/>
  <c r="L243" i="8" s="1"/>
  <c r="K295" i="8"/>
  <c r="K193" i="8"/>
  <c r="K84" i="8"/>
  <c r="K149" i="8"/>
  <c r="K244" i="8"/>
  <c r="L244" i="8" s="1"/>
  <c r="K441" i="8"/>
  <c r="L441" i="8" s="1"/>
  <c r="K49" i="8"/>
  <c r="K68" i="8"/>
  <c r="K194" i="8"/>
  <c r="K18" i="8"/>
  <c r="K10" i="8"/>
  <c r="K114" i="8"/>
  <c r="K245" i="8"/>
  <c r="L245" i="8" s="1"/>
  <c r="K296" i="8"/>
  <c r="L296" i="8" s="1"/>
  <c r="K85" i="8"/>
  <c r="K69" i="8"/>
  <c r="K339" i="8"/>
  <c r="K384" i="8"/>
  <c r="L384" i="8" s="1"/>
  <c r="K11" i="8"/>
  <c r="K385" i="8"/>
  <c r="K499" i="8"/>
  <c r="L499" i="8" s="1"/>
  <c r="K70" i="8"/>
  <c r="K195" i="8"/>
  <c r="K246" i="8"/>
  <c r="L246" i="8" s="1"/>
  <c r="K86" i="8"/>
  <c r="K50" i="8"/>
  <c r="K19" i="8"/>
  <c r="K71" i="8"/>
  <c r="K115" i="8"/>
  <c r="K87" i="8"/>
  <c r="K150" i="8"/>
  <c r="K340" i="8"/>
  <c r="L340" i="8" s="1"/>
  <c r="K386" i="8"/>
  <c r="K51" i="8"/>
  <c r="K387" i="8"/>
  <c r="K116" i="8"/>
  <c r="K52" i="8"/>
  <c r="K585" i="8"/>
  <c r="L585" i="8" s="1"/>
  <c r="K88" i="8"/>
  <c r="K40" i="8"/>
  <c r="K341" i="8"/>
  <c r="L341" i="8" s="1"/>
  <c r="K89" i="8"/>
  <c r="K151" i="8"/>
  <c r="K152" i="8"/>
  <c r="K442" i="8"/>
  <c r="L442" i="8" s="1"/>
  <c r="K12" i="8"/>
  <c r="K117" i="8"/>
  <c r="K342" i="8"/>
  <c r="L342" i="8" s="1"/>
  <c r="K297" i="8"/>
  <c r="K20" i="8"/>
  <c r="K247" i="8"/>
  <c r="K118" i="8"/>
  <c r="K13" i="8"/>
  <c r="K153" i="8"/>
  <c r="K298" i="8"/>
  <c r="L298" i="8" s="1"/>
  <c r="K154" i="8"/>
  <c r="K388" i="8"/>
  <c r="L388" i="8" s="1"/>
  <c r="K90" i="8"/>
  <c r="K155" i="8"/>
  <c r="K5" i="8"/>
  <c r="K53" i="8"/>
  <c r="K21" i="8"/>
  <c r="K443" i="8"/>
  <c r="L443" i="8" s="1"/>
  <c r="K2" i="8"/>
  <c r="K389" i="8"/>
  <c r="K91" i="8"/>
  <c r="K500" i="8"/>
  <c r="K6" i="8"/>
  <c r="K119" i="8"/>
  <c r="K343" i="8"/>
  <c r="L343" i="8" s="1"/>
  <c r="K92" i="8"/>
  <c r="K3" i="8"/>
  <c r="K41" i="8"/>
  <c r="K30" i="8"/>
  <c r="K196" i="8"/>
  <c r="K72" i="8"/>
  <c r="K248" i="8"/>
  <c r="L248" i="8" s="1"/>
  <c r="K54" i="8"/>
  <c r="K444" i="8"/>
  <c r="L444" i="8" s="1"/>
  <c r="K445" i="8"/>
  <c r="L445" i="8" s="1"/>
  <c r="K93" i="8"/>
  <c r="K249" i="8"/>
  <c r="L249" i="8" s="1"/>
  <c r="K390" i="8"/>
  <c r="K120" i="8"/>
  <c r="K156" i="8"/>
  <c r="K22" i="8"/>
  <c r="K501" i="8"/>
  <c r="L501" i="8" s="1"/>
  <c r="K31" i="8"/>
  <c r="K121" i="8"/>
  <c r="K502" i="8"/>
  <c r="K23" i="8"/>
  <c r="K299" i="8"/>
  <c r="K14" i="8"/>
  <c r="K73" i="8"/>
  <c r="K122" i="8"/>
  <c r="K197" i="8"/>
  <c r="K32" i="8"/>
  <c r="K250" i="8"/>
  <c r="K251" i="8"/>
  <c r="K74" i="8"/>
  <c r="K252" i="8"/>
  <c r="L252" i="8" s="1"/>
  <c r="K24" i="8"/>
  <c r="K198" i="8"/>
  <c r="K25" i="8"/>
  <c r="K446" i="8"/>
  <c r="K4" i="8"/>
  <c r="K253" i="8"/>
  <c r="K7" i="8"/>
  <c r="K300" i="8"/>
  <c r="L300" i="8" s="1"/>
  <c r="K8" i="8"/>
  <c r="K391" i="8"/>
  <c r="L391" i="8" s="1"/>
  <c r="K199" i="8"/>
  <c r="K344" i="8"/>
  <c r="L344" i="8" s="1"/>
  <c r="K33" i="8"/>
  <c r="K254" i="8"/>
  <c r="L586" i="8"/>
  <c r="L587" i="8"/>
  <c r="L631" i="8"/>
  <c r="L632" i="8"/>
  <c r="L301" i="8"/>
  <c r="L588" i="8"/>
  <c r="L200" i="8"/>
  <c r="L345" i="8"/>
  <c r="L551" i="8"/>
  <c r="L201" i="8"/>
  <c r="L393" i="8"/>
  <c r="L347" i="8"/>
  <c r="L633" i="8"/>
  <c r="L506" i="8"/>
  <c r="L394" i="8"/>
  <c r="L255" i="8"/>
  <c r="L592" i="8"/>
  <c r="L203" i="8"/>
  <c r="L451" i="8"/>
  <c r="L302" i="8"/>
  <c r="L453" i="8"/>
  <c r="L634" i="8"/>
  <c r="L348" i="8"/>
  <c r="L508" i="8"/>
  <c r="L594" i="8"/>
  <c r="L303" i="8"/>
  <c r="L455" i="8"/>
  <c r="L397" i="8"/>
  <c r="L456" i="8"/>
  <c r="L399" i="8"/>
  <c r="L457" i="8"/>
  <c r="L400" i="8"/>
  <c r="L258" i="8"/>
  <c r="L557" i="8"/>
  <c r="L597" i="8"/>
  <c r="L558" i="8"/>
  <c r="L458" i="8"/>
  <c r="L204" i="8"/>
  <c r="L351" i="8"/>
  <c r="L260" i="8"/>
  <c r="L401" i="8"/>
  <c r="L353" i="8"/>
  <c r="L261" i="8"/>
  <c r="L305" i="8"/>
  <c r="L307" i="8"/>
  <c r="L599" i="8"/>
  <c r="L636" i="8"/>
  <c r="L461" i="8"/>
  <c r="L308" i="8"/>
  <c r="L462" i="8"/>
  <c r="L511" i="8"/>
  <c r="L404" i="8"/>
  <c r="L637" i="8"/>
  <c r="L355" i="8"/>
  <c r="L205" i="8"/>
  <c r="L310" i="8"/>
  <c r="L514" i="8"/>
  <c r="L405" i="8"/>
  <c r="L206" i="8"/>
  <c r="L463" i="8"/>
  <c r="L262" i="8"/>
  <c r="L563" i="8"/>
  <c r="L603" i="8"/>
  <c r="L207" i="8"/>
  <c r="L464" i="8"/>
  <c r="L516" i="8"/>
  <c r="L465" i="8"/>
  <c r="L356" i="8"/>
  <c r="L517" i="8"/>
  <c r="L466" i="8"/>
  <c r="L407" i="8"/>
  <c r="L467" i="8"/>
  <c r="L468" i="8"/>
  <c r="L605" i="8"/>
  <c r="L640" i="8"/>
  <c r="L264" i="8"/>
  <c r="L408" i="8"/>
  <c r="L641" i="8"/>
  <c r="L469" i="8"/>
  <c r="L316" i="8"/>
  <c r="L608" i="8"/>
  <c r="L357" i="8"/>
  <c r="L642" i="8"/>
  <c r="L413" i="8"/>
  <c r="L358" i="8"/>
  <c r="L266" i="8"/>
  <c r="L471" i="8"/>
  <c r="L267" i="8"/>
  <c r="L566" i="8"/>
  <c r="L473" i="8"/>
  <c r="L318" i="8"/>
  <c r="L522" i="8"/>
  <c r="L611" i="8"/>
  <c r="L414" i="8"/>
  <c r="L523" i="8"/>
  <c r="L359" i="8"/>
  <c r="L415" i="8"/>
  <c r="L320" i="8"/>
  <c r="L212" i="8"/>
  <c r="L416" i="8"/>
  <c r="L213" i="8"/>
  <c r="L613" i="8"/>
  <c r="L417" i="8"/>
  <c r="L474" i="8"/>
  <c r="L571" i="8"/>
  <c r="L361" i="8"/>
  <c r="L418" i="8"/>
  <c r="L270" i="8"/>
  <c r="L528" i="8"/>
  <c r="L322" i="8"/>
  <c r="L475" i="8"/>
  <c r="L529" i="8"/>
  <c r="L323" i="8"/>
  <c r="L643" i="8"/>
  <c r="L617" i="8"/>
  <c r="L573" i="8"/>
  <c r="L215" i="8"/>
  <c r="L273" i="8"/>
  <c r="L364" i="8"/>
  <c r="L325" i="8"/>
  <c r="L574" i="8"/>
  <c r="L216" i="8"/>
  <c r="L217" i="8"/>
  <c r="L326" i="8"/>
  <c r="L576" i="8"/>
  <c r="L644" i="8"/>
  <c r="L327" i="8"/>
  <c r="L328" i="8"/>
  <c r="L478" i="8"/>
  <c r="L479" i="8"/>
  <c r="L646" i="8"/>
  <c r="L481" i="8"/>
  <c r="L532" i="8"/>
  <c r="L533" i="8"/>
  <c r="L482" i="8"/>
  <c r="L534" i="8"/>
  <c r="L425" i="8"/>
  <c r="L366" i="8"/>
  <c r="L535" i="8"/>
  <c r="L276" i="8"/>
  <c r="L221" i="8"/>
  <c r="L222" i="8"/>
  <c r="L536" i="8"/>
  <c r="L488" i="8"/>
  <c r="L223" i="8"/>
  <c r="L428" i="8"/>
  <c r="L367" i="8"/>
  <c r="L429" i="8"/>
  <c r="L489" i="8"/>
  <c r="L623" i="8"/>
  <c r="L490" i="8"/>
  <c r="L538" i="8"/>
  <c r="L539" i="8"/>
  <c r="L624" i="8"/>
  <c r="L625" i="8"/>
  <c r="L580" i="8"/>
  <c r="L492" i="8"/>
  <c r="L278" i="8"/>
  <c r="L581" i="8"/>
  <c r="L541" i="8"/>
  <c r="L493" i="8"/>
  <c r="L228" i="8"/>
  <c r="L542" i="8"/>
  <c r="L651" i="8"/>
  <c r="L433" i="8"/>
  <c r="L543" i="8"/>
  <c r="L544" i="8"/>
  <c r="L330" i="8"/>
  <c r="L229" i="8"/>
  <c r="L434" i="8"/>
  <c r="L281" i="8"/>
  <c r="L652" i="8"/>
  <c r="L496" i="8"/>
  <c r="L546" i="8"/>
  <c r="L376" i="8"/>
  <c r="L377" i="8"/>
  <c r="L378" i="8"/>
  <c r="L230" i="8"/>
  <c r="L231" i="8"/>
  <c r="L285" i="8"/>
  <c r="L232" i="8"/>
  <c r="L233" i="8"/>
  <c r="L335" i="8"/>
  <c r="L235" i="8"/>
  <c r="L380" i="8"/>
  <c r="L630" i="8"/>
  <c r="L286" i="8"/>
  <c r="L237" i="8"/>
  <c r="L241" i="8"/>
  <c r="L290" i="8"/>
  <c r="L292" i="8"/>
  <c r="L242" i="8"/>
  <c r="L337" i="8"/>
  <c r="L295" i="8"/>
  <c r="L339" i="8"/>
  <c r="L385" i="8"/>
  <c r="L386" i="8"/>
  <c r="L387" i="8"/>
  <c r="L297" i="8"/>
  <c r="L247" i="8"/>
  <c r="L389" i="8"/>
  <c r="L500" i="8"/>
  <c r="L390" i="8"/>
  <c r="L502" i="8"/>
  <c r="L299" i="8"/>
  <c r="L250" i="8"/>
  <c r="L251" i="8"/>
  <c r="L446" i="8"/>
  <c r="L253" i="8"/>
  <c r="L254" i="8"/>
  <c r="F851" i="1"/>
  <c r="F855" i="1" s="1"/>
  <c r="F859" i="1" s="1"/>
  <c r="F863" i="1" s="1"/>
  <c r="F867" i="1" s="1"/>
  <c r="F871" i="1" s="1"/>
  <c r="F875" i="1" s="1"/>
  <c r="F879" i="1" s="1"/>
  <c r="F883" i="1" s="1"/>
  <c r="F887" i="1" s="1"/>
  <c r="F891" i="1" s="1"/>
  <c r="F895" i="1" s="1"/>
  <c r="F899" i="1" s="1"/>
  <c r="F904"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90" i="1" s="1"/>
  <c r="F894" i="1" s="1"/>
  <c r="F898" i="1" s="1"/>
  <c r="F902"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885" i="1" s="1"/>
  <c r="F889" i="1" s="1"/>
  <c r="F893" i="1" s="1"/>
  <c r="F897" i="1" s="1"/>
  <c r="F901" i="1" s="1"/>
  <c r="F906"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884" i="1" s="1"/>
  <c r="F888" i="1" s="1"/>
  <c r="F892" i="1" s="1"/>
  <c r="F896" i="1" s="1"/>
  <c r="F900" i="1" s="1"/>
  <c r="F905"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2" i="8" l="1"/>
  <c r="L3" i="8"/>
  <c r="F8" i="1"/>
  <c r="G141" i="1"/>
  <c r="G142" i="1"/>
  <c r="G145" i="1" s="1"/>
  <c r="G148" i="1" s="1"/>
  <c r="G151" i="1" s="1"/>
  <c r="G154" i="1" s="1"/>
  <c r="G157" i="1" s="1"/>
  <c r="G160" i="1" s="1"/>
  <c r="G163" i="1" s="1"/>
  <c r="G166" i="1" s="1"/>
  <c r="G169" i="1" s="1"/>
  <c r="G172" i="1" s="1"/>
  <c r="G175" i="1" s="1"/>
  <c r="G180" i="1" s="1"/>
  <c r="G183" i="1" s="1"/>
  <c r="G186" i="1" s="1"/>
  <c r="G189" i="1" s="1"/>
  <c r="G192" i="1" s="1"/>
  <c r="G195" i="1" s="1"/>
  <c r="L4" i="8" l="1"/>
  <c r="F11" i="1"/>
  <c r="G144" i="1"/>
  <c r="F14" i="1" l="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H483" i="2" l="1"/>
  <c r="H482" i="2"/>
  <c r="G483" i="2"/>
  <c r="I483" i="2"/>
  <c r="G482" i="2"/>
  <c r="I482" i="2"/>
  <c r="F482" i="2"/>
  <c r="F483" i="2"/>
  <c r="G481" i="2"/>
  <c r="F481" i="2"/>
  <c r="I481" i="2"/>
  <c r="H480" i="2"/>
  <c r="I480" i="2"/>
  <c r="G480" i="2"/>
  <c r="H481" i="2"/>
  <c r="F480" i="2"/>
  <c r="I479" i="2"/>
  <c r="H478" i="2"/>
  <c r="F478" i="2"/>
  <c r="G478" i="2"/>
  <c r="I478" i="2"/>
  <c r="F479" i="2"/>
  <c r="G479" i="2"/>
  <c r="H479" i="2"/>
  <c r="H477" i="2"/>
  <c r="F477" i="2"/>
  <c r="G477" i="2"/>
  <c r="I477" i="2"/>
  <c r="F476" i="2"/>
  <c r="H476" i="2"/>
  <c r="G476" i="2"/>
  <c r="I476" i="2"/>
  <c r="H475" i="2"/>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5" i="8" l="1"/>
  <c r="L6" i="8"/>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 r="L192" i="8" s="1"/>
  <c r="L193" i="8" s="1"/>
  <c r="L194" i="8" s="1"/>
  <c r="L195" i="8" s="1"/>
  <c r="L196" i="8" s="1"/>
  <c r="L197" i="8" s="1"/>
  <c r="L198" i="8" s="1"/>
  <c r="L199"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<sst xmlns="http://schemas.openxmlformats.org/spreadsheetml/2006/main" count="15127" uniqueCount="125">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</sst>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8">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906"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85"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916:Q922"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7">
      <pivotArea outline="0" collapsedLevelsAreSubtotals="1" fieldPosition="0">
        <references count="1">
          <reference field="4294967294" count="3" selected="0">
            <x v="1"/>
            <x v="2"/>
            <x v="3"/>
          </reference>
        </references>
      </pivotArea>
    </format>
    <format dxfId="66">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2">
      <pivotArea grandRow="1" outline="0" collapsedLevelsAreSubtotals="1" fieldPosition="0"/>
    </format>
    <format dxfId="41">
      <pivotArea type="all" dataOnly="0" outline="0" fieldPosition="0"/>
    </format>
    <format dxfId="40">
      <pivotArea outline="0" collapsedLevelsAreSubtotals="1" fieldPosition="0"/>
    </format>
    <format dxfId="39">
      <pivotArea type="origin" dataOnly="0" labelOnly="1" outline="0" fieldPosition="0"/>
    </format>
    <format dxfId="38">
      <pivotArea field="8" type="button" dataOnly="0" labelOnly="1" outline="0"/>
    </format>
    <format dxfId="37">
      <pivotArea type="topRight" dataOnly="0" labelOnly="1" outline="0" fieldPosition="0"/>
    </format>
    <format dxfId="36">
      <pivotArea field="5" type="button" dataOnly="0" labelOnly="1" outline="0" axis="axisRow" fieldPosition="0"/>
    </format>
    <format dxfId="35">
      <pivotArea dataOnly="0" labelOnly="1" grandRow="1" outline="0" fieldPosition="0"/>
    </format>
    <format dxfId="34">
      <pivotArea dataOnly="0" labelOnly="1" grandCol="1" outline="0" fieldPosition="0"/>
    </format>
    <format dxfId="33">
      <pivotArea outline="0" fieldPosition="0">
        <references count="1">
          <reference field="4294967294" count="1">
            <x v="4"/>
          </reference>
        </references>
      </pivotArea>
    </format>
    <format dxfId="32">
      <pivotArea field="5" grandRow="1" outline="0" collapsedLevelsAreSubtotals="1" axis="axisRow" fieldPosition="0">
        <references count="1">
          <reference field="4294967294" count="4" selected="0">
            <x v="0"/>
            <x v="1"/>
            <x v="2"/>
            <x v="3"/>
          </reference>
        </references>
      </pivotArea>
    </format>
    <format dxfId="31">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1">
      <pivotArea outline="0" collapsedLevelsAreSubtotals="1" fieldPosition="0"/>
    </format>
    <format dxfId="2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5">
      <pivotArea collapsedLevelsAreSubtotals="1" fieldPosition="0">
        <references count="1">
          <reference field="1" count="0"/>
        </references>
      </pivotArea>
    </format>
    <format dxfId="14">
      <pivotArea grandRow="1" outline="0" collapsedLevelsAreSubtotals="1" fieldPosition="0"/>
    </format>
    <format dxfId="13">
      <pivotArea outline="0" collapsedLevelsAreSubtotals="1" fieldPosition="0">
        <references count="1">
          <reference field="4294967294" count="1" selected="0">
            <x v="0"/>
          </reference>
        </references>
      </pivotArea>
    </format>
    <format dxfId="12">
      <pivotArea collapsedLevelsAreSubtotals="1" fieldPosition="0">
        <references count="2">
          <reference field="4294967294" count="1" selected="0">
            <x v="4"/>
          </reference>
          <reference field="1" count="1">
            <x v="2"/>
          </reference>
        </references>
      </pivotArea>
    </format>
    <format dxfId="11">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906" totalsRowShown="0" headerRowDxfId="65" dataDxfId="64">
  <autoFilter ref="A1:Q906" xr:uid="{3EE34D67-BE40-8D4B-95B5-0F0DFCFF4EA9}"/>
  <tableColumns count="17">
    <tableColumn id="1" xr3:uid="{7C780070-9569-444B-A52F-0E8A91DB4571}" name="Angle" dataDxfId="63"/>
    <tableColumn id="2" xr3:uid="{6A2455D2-C0D1-3E47-9573-5467348A28F5}" name="Height" dataDxfId="62"/>
    <tableColumn id="3" xr3:uid="{DA8AD22B-CF46-8840-B3B1-48A8E02DEC4B}" name="Base" dataDxfId="61"/>
    <tableColumn id="17" xr3:uid="{3DA43E27-B6FC-9245-9E8C-B6DC53ED0031}" name="Board" dataDxfId="60"/>
    <tableColumn id="4" xr3:uid="{7E03E195-D8E2-0B4F-993C-AAC3DF4EBC08}" name="Date" dataDxfId="59"/>
    <tableColumn id="5" xr3:uid="{F7F2F77E-EE84-B641-8C64-31EBC9070D52}" name="Game" dataDxfId="58"/>
    <tableColumn id="6" xr3:uid="{691400A5-6CD9-9446-8CC7-4233F227B2FC}" name="Round" dataDxfId="57"/>
    <tableColumn id="7" xr3:uid="{1BE729AE-2EF6-714E-B023-F1EDE2BF6C33}" name="Order" dataDxfId="56"/>
    <tableColumn id="8" xr3:uid="{6280802B-E757-EE4B-B78B-AB2BB71DA3E8}" name="Caleb" dataDxfId="55"/>
    <tableColumn id="9" xr3:uid="{B2FDBB7B-BC0A-FF48-88E9-DEF8AD89C969}" name="Joshua" dataDxfId="54"/>
    <tableColumn id="10" xr3:uid="{24BB2AD0-EA70-6D47-9444-711C42BCE2FA}" name="Quadri" dataDxfId="53"/>
    <tableColumn id="11" xr3:uid="{5EAE6BA3-1F0A-D84C-BF2F-C2A46CFC3B12}" name="Daniel" dataDxfId="52"/>
    <tableColumn id="12" xr3:uid="{606EF966-D561-C044-8724-F11E8C2B7DF5}" name="Qianzi" dataDxfId="51"/>
    <tableColumn id="13" xr3:uid="{78D43E8A-2491-0F45-8325-E27E0225D2FB}" name="Kenny" dataDxfId="50"/>
    <tableColumn id="14" xr3:uid="{D5746033-B648-5342-B871-FD2AEE569884}" name="Veronica" dataDxfId="49"/>
    <tableColumn id="15" xr3:uid="{47C8A8BE-FA7C-E54D-AC50-182CBB0BA96E}" name="Joseph" dataDxfId="48"/>
    <tableColumn id="16" xr3:uid="{6A33B394-FCF9-AB4D-8C89-6181853B3C19}" name="Theo" dataDxfId="4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52" tableType="queryTable" totalsRowShown="0">
  <autoFilter ref="A1:L652" xr:uid="{3CB8CFD9-9202-8242-84BC-458DE09FCB8C}"/>
  <sortState xmlns:xlrd2="http://schemas.microsoft.com/office/spreadsheetml/2017/richdata2" ref="A2:L652">
    <sortCondition descending="1" ref="I1:I65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6"/>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5"/>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4">
      <calculatedColumnFormula>IF(Convert_to_Games[[#This Row],[Total Score]]&gt;9, 1, 0)</calculatedColumnFormula>
    </tableColumn>
    <tableColumn id="12" xr3:uid="{2DB36319-2246-2949-ADA3-3B3EF1AD6AB1}" uniqueName="12" name="Cons DD" queryTableFieldId="12" dataDxfId="43">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30"/>
    <tableColumn id="21" xr3:uid="{22C5B617-50BF-5A4C-BCE7-7B0F304CDB3B}" uniqueName="21" name="Height" queryTableFieldId="27" dataDxfId="29"/>
    <tableColumn id="22" xr3:uid="{867A08EA-841B-B247-A1A4-86374B3A978E}" uniqueName="22" name="Base" queryTableFieldId="28" dataDxfId="28"/>
    <tableColumn id="23" xr3:uid="{AA2ED284-0375-2D4B-B83F-104F2F7B07AB}" uniqueName="23" name="Date" queryTableFieldId="29" dataDxfId="27"/>
    <tableColumn id="5" xr3:uid="{6CAA3F5B-38FA-E440-A2F1-FD07A10C811E}" uniqueName="5" name="Game" queryTableFieldId="5" dataDxfId="26"/>
    <tableColumn id="7" xr3:uid="{C17F23AC-5D89-C444-A571-19F212BFDD14}" uniqueName="7" name="Player" queryTableFieldId="7" dataDxfId="25"/>
    <tableColumn id="24" xr3:uid="{E2F44691-A1C0-594F-B2C4-5A3AB7D435C0}" uniqueName="24" name="Order" queryTableFieldId="30" dataDxfId="24"/>
    <tableColumn id="8" xr3:uid="{68A2AB44-814C-1043-BA37-46781F0478E0}" uniqueName="8" name="Total Score" queryTableFieldId="8" dataDxfId="23"/>
    <tableColumn id="18" xr3:uid="{381C7789-A459-DF41-80C5-43D1A1FC2682}" uniqueName="18" name="Opponent" queryTableFieldId="18" dataDxfId="22"/>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80" tableType="queryTable" totalsRowShown="0">
  <autoFilter ref="A1:G380" xr:uid="{D54126C3-8990-364F-BA6C-3806227A5B79}"/>
  <tableColumns count="7">
    <tableColumn id="1" xr3:uid="{FDD4F858-D393-324D-84BF-CD3B409FBAFA}" uniqueName="1" name="Date" queryTableFieldId="44" dataDxfId="19"/>
    <tableColumn id="5" xr3:uid="{3AEF0C2A-171A-E34E-B768-433A13FB4E37}" uniqueName="5" name="Game" queryTableFieldId="5" dataDxfId="18"/>
    <tableColumn id="42" xr3:uid="{91D4345F-5F6B-B24D-AB9B-3ECD24B076AC}" uniqueName="42" name="First" queryTableFieldId="42"/>
    <tableColumn id="36" xr3:uid="{433F6587-E8F9-FA4B-AAFB-AB40D8BBA849}" uniqueName="36" name="Player" queryTableFieldId="36" dataDxfId="17"/>
    <tableColumn id="39" xr3:uid="{07E1D177-6892-EE4C-AF32-98459843688F}" uniqueName="39" name="Round" queryTableFieldId="39" dataDxfId="16"/>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85" totalsRowShown="0" headerRowDxfId="10" dataDxfId="9">
  <autoFilter ref="A1:I485" xr:uid="{8B569EA1-E2C9-D64D-AF25-61C683C3B5B5}"/>
  <sortState xmlns:xlrd2="http://schemas.microsoft.com/office/spreadsheetml/2017/richdata2" ref="A2:I296">
    <sortCondition ref="A1:A296"/>
  </sortState>
  <tableColumns count="9">
    <tableColumn id="1" xr3:uid="{5E8EE448-9E87-474C-B835-6E8E0C2100CD}" name="Game" dataDxfId="8"/>
    <tableColumn id="2" xr3:uid="{A0B5F730-7123-434E-B3B9-C6F76D57243B}" name="Player" dataDxfId="7"/>
    <tableColumn id="3" xr3:uid="{D590819C-6132-B546-B069-A15A49C9563F}" name="Throws" dataDxfId="6"/>
    <tableColumn id="4" xr3:uid="{AADA594A-8275-A145-B557-7ED752B4D10E}" name="Board Hits" dataDxfId="5"/>
    <tableColumn id="5" xr3:uid="{6AF822F4-B356-0845-B08E-9310F961753C}" name="Land" dataDxfId="4"/>
    <tableColumn id="6" xr3:uid="{F4CD669D-5DA7-9840-9560-C06CE12795A8}" name="Points" dataDxfId="3">
      <calculatedColumnFormula>SUMIF(Scores!$F$2:$F$910, 'Next Gen'!$A2, INDEX(Scores!$I$2:$Q$910, 0, MATCH($B2, Scores!$I$1:$Q$1, 0)))</calculatedColumnFormula>
    </tableColumn>
    <tableColumn id="7" xr3:uid="{E1D45752-B283-7044-A69E-B797A489B2F0}" name="Height" dataDxfId="2">
      <calculatedColumnFormula>INDEX(Scores!$B$2:$B$910, MATCH('Next Gen'!$A2, Scores!$F$2:$F$910, 0))</calculatedColumnFormula>
    </tableColumn>
    <tableColumn id="9" xr3:uid="{F9AE027A-C994-C447-BD26-EB9478D1820F}" name="Board" dataDxfId="1">
      <calculatedColumnFormula>INDEX(Scores!$D$2:$D$910, MATCH('Next Gen'!$A2, Scores!$F$2:$F$910, 0))</calculatedColumnFormula>
    </tableColumn>
    <tableColumn id="8" xr3:uid="{A55A80CE-B43A-9641-B9D6-DEC71D585B97}" name="Date" dataDxfId="0">
      <calculatedColumnFormula>INDEX(Scores!$E$2:$E$910, MATCH('Next Gen'!$A2, Scores!$F$2:$F$910,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63"/>
  <sheetViews>
    <sheetView workbookViewId="0">
      <pane ySplit="1" topLeftCell="A895" activePane="bottomLeft" state="frozen"/>
      <selection pane="bottomLeft" activeCell="E913" sqref="E913"/>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90"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17">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17">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17">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17">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17">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17">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17">
      <c r="A887" s="1" t="s">
        <v>25</v>
      </c>
      <c r="B887" s="1">
        <v>256</v>
      </c>
      <c r="C887" s="1" t="s">
        <v>116</v>
      </c>
      <c r="D887" s="1" t="s">
        <v>124</v>
      </c>
      <c r="E887" s="4">
        <v>46132</v>
      </c>
      <c r="F887" s="2">
        <f t="shared" si="28"/>
        <v>283</v>
      </c>
      <c r="G887" s="2">
        <v>1</v>
      </c>
      <c r="H887" s="1" t="s">
        <v>11</v>
      </c>
      <c r="I887" s="1">
        <v>5</v>
      </c>
      <c r="J887" s="1">
        <v>3</v>
      </c>
      <c r="K887" s="2"/>
      <c r="L887" s="2"/>
      <c r="M887" s="2"/>
      <c r="N887" s="2"/>
      <c r="O887" s="2"/>
      <c r="P887" s="2"/>
      <c r="Q887" s="2"/>
    </row>
    <row r="888" spans="1:17">
      <c r="A888" s="1" t="s">
        <v>25</v>
      </c>
      <c r="B888" s="1">
        <v>256</v>
      </c>
      <c r="C888" s="1" t="s">
        <v>116</v>
      </c>
      <c r="D888" s="1" t="s">
        <v>124</v>
      </c>
      <c r="E888" s="4">
        <v>46132</v>
      </c>
      <c r="F888" s="2">
        <f t="shared" si="28"/>
        <v>283</v>
      </c>
      <c r="G888" s="2">
        <v>2</v>
      </c>
      <c r="H888" s="1" t="s">
        <v>11</v>
      </c>
      <c r="I888" s="1">
        <v>5</v>
      </c>
      <c r="J888" s="1">
        <v>0</v>
      </c>
      <c r="K888" s="2"/>
      <c r="L888" s="2"/>
      <c r="M888" s="2"/>
      <c r="N888" s="2"/>
      <c r="O888" s="2"/>
      <c r="P888" s="2"/>
      <c r="Q888" s="2"/>
    </row>
    <row r="889" spans="1:17">
      <c r="A889" s="1" t="s">
        <v>25</v>
      </c>
      <c r="B889" s="1">
        <v>256</v>
      </c>
      <c r="C889" s="1" t="s">
        <v>116</v>
      </c>
      <c r="D889" s="1" t="s">
        <v>124</v>
      </c>
      <c r="E889" s="4">
        <v>46132</v>
      </c>
      <c r="F889" s="2">
        <f t="shared" si="28"/>
        <v>283</v>
      </c>
      <c r="G889" s="2">
        <v>3</v>
      </c>
      <c r="H889" s="1" t="s">
        <v>11</v>
      </c>
      <c r="I889" s="1">
        <v>4</v>
      </c>
      <c r="J889" s="1">
        <v>0</v>
      </c>
      <c r="K889" s="2"/>
      <c r="L889" s="2"/>
      <c r="M889" s="2"/>
      <c r="N889" s="2"/>
      <c r="O889" s="2"/>
      <c r="P889" s="2"/>
      <c r="Q889" s="2"/>
    </row>
    <row r="890" spans="1:17">
      <c r="A890" s="1" t="s">
        <v>25</v>
      </c>
      <c r="B890" s="1">
        <v>256</v>
      </c>
      <c r="C890" s="1" t="s">
        <v>116</v>
      </c>
      <c r="D890" s="1" t="s">
        <v>124</v>
      </c>
      <c r="E890" s="4">
        <v>46132</v>
      </c>
      <c r="F890" s="2">
        <f t="shared" si="28"/>
        <v>283</v>
      </c>
      <c r="G890" s="2">
        <v>4</v>
      </c>
      <c r="H890" s="1" t="s">
        <v>11</v>
      </c>
      <c r="I890" s="1">
        <v>6</v>
      </c>
      <c r="J890" s="1">
        <v>3</v>
      </c>
      <c r="K890" s="2"/>
      <c r="L890" s="2"/>
      <c r="M890" s="2"/>
      <c r="N890" s="2"/>
      <c r="O890" s="2"/>
      <c r="P890" s="2"/>
      <c r="Q890" s="2"/>
    </row>
    <row r="891" spans="1:17">
      <c r="A891" s="1" t="s">
        <v>25</v>
      </c>
      <c r="B891" s="1">
        <v>256</v>
      </c>
      <c r="C891" s="1" t="s">
        <v>116</v>
      </c>
      <c r="D891" s="1" t="s">
        <v>124</v>
      </c>
      <c r="E891" s="4">
        <v>46148</v>
      </c>
      <c r="F891" s="2">
        <f t="shared" ref="F891:F903" si="29">F887+1</f>
        <v>284</v>
      </c>
      <c r="G891" s="2">
        <v>1</v>
      </c>
      <c r="H891" s="1" t="s">
        <v>11</v>
      </c>
      <c r="I891" s="1">
        <v>2</v>
      </c>
      <c r="J891" s="1">
        <v>1</v>
      </c>
      <c r="K891" s="2"/>
      <c r="L891" s="2"/>
      <c r="M891" s="2"/>
      <c r="N891" s="2"/>
      <c r="O891" s="2"/>
      <c r="P891" s="2"/>
      <c r="Q891" s="2"/>
    </row>
    <row r="892" spans="1:17">
      <c r="A892" s="1" t="s">
        <v>25</v>
      </c>
      <c r="B892" s="1">
        <v>256</v>
      </c>
      <c r="C892" s="1" t="s">
        <v>116</v>
      </c>
      <c r="D892" s="1" t="s">
        <v>124</v>
      </c>
      <c r="E892" s="4">
        <v>46148</v>
      </c>
      <c r="F892" s="2">
        <f t="shared" si="29"/>
        <v>284</v>
      </c>
      <c r="G892" s="2">
        <v>2</v>
      </c>
      <c r="H892" s="1" t="s">
        <v>11</v>
      </c>
      <c r="I892" s="1">
        <v>3</v>
      </c>
      <c r="J892" s="1">
        <v>1</v>
      </c>
      <c r="K892" s="2"/>
      <c r="L892" s="2"/>
      <c r="M892" s="2"/>
      <c r="N892" s="2"/>
      <c r="O892" s="2"/>
      <c r="P892" s="2"/>
      <c r="Q892" s="2"/>
    </row>
    <row r="893" spans="1:17">
      <c r="A893" s="1" t="s">
        <v>25</v>
      </c>
      <c r="B893" s="1">
        <v>256</v>
      </c>
      <c r="C893" s="1" t="s">
        <v>116</v>
      </c>
      <c r="D893" s="1" t="s">
        <v>124</v>
      </c>
      <c r="E893" s="4">
        <v>46148</v>
      </c>
      <c r="F893" s="2">
        <f t="shared" si="29"/>
        <v>284</v>
      </c>
      <c r="G893" s="2">
        <v>3</v>
      </c>
      <c r="H893" s="1" t="s">
        <v>11</v>
      </c>
      <c r="I893" s="1">
        <v>2</v>
      </c>
      <c r="J893" s="1">
        <v>0</v>
      </c>
      <c r="K893" s="2"/>
      <c r="L893" s="2"/>
      <c r="M893" s="2"/>
      <c r="N893" s="2"/>
      <c r="O893" s="2"/>
      <c r="P893" s="2"/>
      <c r="Q893" s="2"/>
    </row>
    <row r="894" spans="1:17">
      <c r="A894" s="1" t="s">
        <v>25</v>
      </c>
      <c r="B894" s="1">
        <v>256</v>
      </c>
      <c r="C894" s="1" t="s">
        <v>116</v>
      </c>
      <c r="D894" s="1" t="s">
        <v>124</v>
      </c>
      <c r="E894" s="4">
        <v>46148</v>
      </c>
      <c r="F894" s="2">
        <f t="shared" si="29"/>
        <v>284</v>
      </c>
      <c r="G894" s="2">
        <v>4</v>
      </c>
      <c r="H894" s="1" t="s">
        <v>11</v>
      </c>
      <c r="I894" s="1">
        <v>3</v>
      </c>
      <c r="J894" s="1">
        <v>5</v>
      </c>
      <c r="K894" s="2"/>
      <c r="L894" s="2"/>
      <c r="M894" s="2"/>
      <c r="N894" s="2"/>
      <c r="O894" s="2"/>
      <c r="P894" s="2"/>
      <c r="Q894" s="2"/>
    </row>
    <row r="895" spans="1:17">
      <c r="A895" s="1" t="s">
        <v>25</v>
      </c>
      <c r="B895" s="1">
        <v>256</v>
      </c>
      <c r="C895" s="1" t="s">
        <v>116</v>
      </c>
      <c r="D895" s="1" t="s">
        <v>124</v>
      </c>
      <c r="E895" s="4">
        <v>46154</v>
      </c>
      <c r="F895" s="2">
        <f t="shared" si="29"/>
        <v>285</v>
      </c>
      <c r="G895" s="2">
        <v>1</v>
      </c>
      <c r="H895" s="1" t="s">
        <v>11</v>
      </c>
      <c r="I895" s="1">
        <v>5</v>
      </c>
      <c r="J895" s="1">
        <v>4</v>
      </c>
      <c r="K895" s="2"/>
      <c r="L895" s="2"/>
      <c r="M895" s="2"/>
      <c r="N895" s="2"/>
      <c r="O895" s="2"/>
      <c r="P895" s="2"/>
      <c r="Q895" s="2"/>
    </row>
    <row r="896" spans="1:17">
      <c r="A896" s="1" t="s">
        <v>25</v>
      </c>
      <c r="B896" s="1">
        <v>256</v>
      </c>
      <c r="C896" s="1" t="s">
        <v>116</v>
      </c>
      <c r="D896" s="1" t="s">
        <v>124</v>
      </c>
      <c r="E896" s="4">
        <v>46154</v>
      </c>
      <c r="F896" s="2">
        <f t="shared" si="29"/>
        <v>285</v>
      </c>
      <c r="G896" s="2">
        <v>2</v>
      </c>
      <c r="H896" s="1" t="s">
        <v>11</v>
      </c>
      <c r="I896" s="1">
        <v>3</v>
      </c>
      <c r="J896" s="1">
        <v>4</v>
      </c>
      <c r="K896" s="2"/>
      <c r="L896" s="2"/>
      <c r="M896" s="2"/>
      <c r="N896" s="2"/>
      <c r="O896" s="2"/>
      <c r="P896" s="2"/>
      <c r="Q896" s="2"/>
    </row>
    <row r="897" spans="1:28">
      <c r="A897" s="1" t="s">
        <v>25</v>
      </c>
      <c r="B897" s="1">
        <v>256</v>
      </c>
      <c r="C897" s="1" t="s">
        <v>116</v>
      </c>
      <c r="D897" s="1" t="s">
        <v>124</v>
      </c>
      <c r="E897" s="4">
        <v>46154</v>
      </c>
      <c r="F897" s="2">
        <f t="shared" si="29"/>
        <v>285</v>
      </c>
      <c r="G897" s="2">
        <v>3</v>
      </c>
      <c r="H897" s="1" t="s">
        <v>11</v>
      </c>
      <c r="I897" s="1">
        <v>4</v>
      </c>
      <c r="J897" s="1">
        <v>1</v>
      </c>
      <c r="K897" s="2"/>
      <c r="L897" s="2"/>
      <c r="M897" s="2"/>
      <c r="N897" s="2"/>
      <c r="O897" s="2"/>
      <c r="P897" s="2"/>
      <c r="Q897" s="2"/>
    </row>
    <row r="898" spans="1:28">
      <c r="A898" s="1" t="s">
        <v>25</v>
      </c>
      <c r="B898" s="1">
        <v>256</v>
      </c>
      <c r="C898" s="1" t="s">
        <v>116</v>
      </c>
      <c r="D898" s="1" t="s">
        <v>124</v>
      </c>
      <c r="E898" s="4">
        <v>46154</v>
      </c>
      <c r="F898" s="2">
        <f t="shared" si="29"/>
        <v>285</v>
      </c>
      <c r="G898" s="2">
        <v>4</v>
      </c>
      <c r="H898" s="1" t="s">
        <v>11</v>
      </c>
      <c r="I898" s="1">
        <v>5</v>
      </c>
      <c r="J898" s="1">
        <v>0</v>
      </c>
      <c r="K898" s="2"/>
      <c r="L898" s="2"/>
      <c r="M898" s="2"/>
      <c r="N898" s="2"/>
      <c r="O898" s="2"/>
      <c r="P898" s="2"/>
      <c r="Q898" s="2"/>
    </row>
    <row r="899" spans="1:28">
      <c r="A899" s="1" t="s">
        <v>25</v>
      </c>
      <c r="B899" s="1">
        <v>256</v>
      </c>
      <c r="C899" s="1" t="s">
        <v>116</v>
      </c>
      <c r="D899" s="1" t="s">
        <v>124</v>
      </c>
      <c r="E899" s="4">
        <v>46156</v>
      </c>
      <c r="F899" s="2">
        <f t="shared" si="29"/>
        <v>286</v>
      </c>
      <c r="G899" s="2">
        <v>1</v>
      </c>
      <c r="H899" s="1" t="s">
        <v>9</v>
      </c>
      <c r="I899" s="1">
        <v>4</v>
      </c>
      <c r="J899" s="1">
        <v>1</v>
      </c>
      <c r="K899" s="2"/>
      <c r="L899" s="2"/>
      <c r="M899" s="2"/>
      <c r="N899" s="2"/>
      <c r="O899" s="2"/>
      <c r="P899" s="2"/>
      <c r="Q899" s="2"/>
    </row>
    <row r="900" spans="1:28">
      <c r="A900" s="1" t="s">
        <v>25</v>
      </c>
      <c r="B900" s="1">
        <v>256</v>
      </c>
      <c r="C900" s="1" t="s">
        <v>116</v>
      </c>
      <c r="D900" s="1" t="s">
        <v>124</v>
      </c>
      <c r="E900" s="4">
        <v>46156</v>
      </c>
      <c r="F900" s="2">
        <f t="shared" si="29"/>
        <v>286</v>
      </c>
      <c r="G900" s="2">
        <v>2</v>
      </c>
      <c r="H900" s="1" t="s">
        <v>9</v>
      </c>
      <c r="I900" s="1">
        <v>5</v>
      </c>
      <c r="J900" s="1">
        <v>1</v>
      </c>
      <c r="K900" s="2"/>
      <c r="L900" s="2"/>
      <c r="M900" s="2"/>
      <c r="N900" s="2"/>
      <c r="O900" s="2"/>
      <c r="P900" s="2"/>
      <c r="Q900" s="2"/>
    </row>
    <row r="901" spans="1:28">
      <c r="A901" s="1" t="s">
        <v>25</v>
      </c>
      <c r="B901" s="1">
        <v>256</v>
      </c>
      <c r="C901" s="1" t="s">
        <v>116</v>
      </c>
      <c r="D901" s="1" t="s">
        <v>124</v>
      </c>
      <c r="E901" s="4">
        <v>46156</v>
      </c>
      <c r="F901" s="2">
        <f t="shared" si="29"/>
        <v>286</v>
      </c>
      <c r="G901" s="2">
        <v>3</v>
      </c>
      <c r="H901" s="1" t="s">
        <v>9</v>
      </c>
      <c r="I901" s="1">
        <v>4</v>
      </c>
      <c r="J901" s="1">
        <v>3</v>
      </c>
      <c r="K901" s="2"/>
      <c r="L901" s="2"/>
      <c r="M901" s="2"/>
      <c r="N901" s="2"/>
      <c r="O901" s="2"/>
      <c r="P901" s="2"/>
      <c r="Q901" s="2"/>
    </row>
    <row r="902" spans="1:28">
      <c r="A902" s="1" t="s">
        <v>25</v>
      </c>
      <c r="B902" s="1">
        <v>256</v>
      </c>
      <c r="C902" s="1" t="s">
        <v>116</v>
      </c>
      <c r="D902" s="1" t="s">
        <v>124</v>
      </c>
      <c r="E902" s="4">
        <v>46156</v>
      </c>
      <c r="F902" s="2">
        <f t="shared" si="29"/>
        <v>286</v>
      </c>
      <c r="G902" s="2">
        <v>4</v>
      </c>
      <c r="H902" s="1" t="s">
        <v>9</v>
      </c>
      <c r="I902" s="1">
        <v>5</v>
      </c>
      <c r="J902" s="1">
        <v>5</v>
      </c>
      <c r="K902" s="2"/>
      <c r="L902" s="2"/>
      <c r="M902" s="2"/>
      <c r="N902" s="2"/>
      <c r="O902" s="2"/>
      <c r="P902" s="2"/>
      <c r="Q902" s="2"/>
    </row>
    <row r="903" spans="1:28">
      <c r="A903" s="1" t="s">
        <v>25</v>
      </c>
      <c r="B903" s="1">
        <v>256</v>
      </c>
      <c r="C903" s="1" t="s">
        <v>116</v>
      </c>
      <c r="D903" s="1" t="s">
        <v>124</v>
      </c>
      <c r="E903" s="4">
        <v>46197</v>
      </c>
      <c r="F903" s="15">
        <f t="shared" si="29"/>
        <v>287</v>
      </c>
      <c r="G903" s="2">
        <v>1</v>
      </c>
      <c r="H903" s="1" t="s">
        <v>9</v>
      </c>
      <c r="I903" s="1">
        <v>3</v>
      </c>
      <c r="J903" s="1">
        <v>3</v>
      </c>
      <c r="K903" s="2"/>
      <c r="L903" s="2"/>
      <c r="M903" s="2"/>
      <c r="N903" s="2"/>
      <c r="O903" s="2"/>
      <c r="P903" s="2"/>
      <c r="Q903" s="2"/>
    </row>
    <row r="904" spans="1:28">
      <c r="A904" s="1" t="s">
        <v>25</v>
      </c>
      <c r="B904" s="1">
        <v>256</v>
      </c>
      <c r="C904" s="1" t="s">
        <v>116</v>
      </c>
      <c r="D904" s="1" t="s">
        <v>124</v>
      </c>
      <c r="E904" s="4">
        <v>46197</v>
      </c>
      <c r="F904" s="2">
        <f>F899+1</f>
        <v>287</v>
      </c>
      <c r="G904" s="2">
        <v>2</v>
      </c>
      <c r="H904" s="1" t="s">
        <v>9</v>
      </c>
      <c r="I904" s="1">
        <v>4</v>
      </c>
      <c r="J904" s="1">
        <v>0</v>
      </c>
      <c r="K904" s="2"/>
      <c r="L904" s="2"/>
      <c r="M904" s="2"/>
      <c r="N904" s="2"/>
      <c r="O904" s="2"/>
      <c r="P904" s="2"/>
      <c r="Q904" s="2"/>
    </row>
    <row r="905" spans="1:28">
      <c r="A905" s="1" t="s">
        <v>25</v>
      </c>
      <c r="B905" s="1">
        <v>256</v>
      </c>
      <c r="C905" s="1" t="s">
        <v>116</v>
      </c>
      <c r="D905" s="1" t="s">
        <v>124</v>
      </c>
      <c r="E905" s="4">
        <v>46197</v>
      </c>
      <c r="F905" s="2">
        <f>F900+1</f>
        <v>287</v>
      </c>
      <c r="G905" s="2">
        <v>3</v>
      </c>
      <c r="H905" s="1" t="s">
        <v>9</v>
      </c>
      <c r="I905" s="1">
        <v>5</v>
      </c>
      <c r="J905" s="1">
        <v>6</v>
      </c>
      <c r="K905" s="2"/>
      <c r="L905" s="2"/>
      <c r="M905" s="2"/>
      <c r="N905" s="2"/>
      <c r="O905" s="2"/>
      <c r="P905" s="2"/>
      <c r="Q905" s="2"/>
    </row>
    <row r="906" spans="1:28">
      <c r="A906" s="1" t="s">
        <v>25</v>
      </c>
      <c r="B906" s="1">
        <v>256</v>
      </c>
      <c r="C906" s="1" t="s">
        <v>116</v>
      </c>
      <c r="D906" s="1" t="s">
        <v>124</v>
      </c>
      <c r="E906" s="4">
        <v>46197</v>
      </c>
      <c r="F906" s="2">
        <f>F901+1</f>
        <v>287</v>
      </c>
      <c r="G906" s="2">
        <v>4</v>
      </c>
      <c r="H906" s="1" t="s">
        <v>9</v>
      </c>
      <c r="I906" s="1">
        <v>4</v>
      </c>
      <c r="J906" s="1">
        <v>4</v>
      </c>
      <c r="K906" s="2"/>
      <c r="L906" s="2"/>
      <c r="M906" s="2"/>
      <c r="N906" s="2"/>
      <c r="O906" s="2"/>
      <c r="P906" s="2"/>
      <c r="Q906" s="2"/>
    </row>
    <row r="907" spans="1:28">
      <c r="E907" s="4"/>
      <c r="F907" s="2"/>
      <c r="G907" s="2"/>
      <c r="K907" s="2"/>
      <c r="L907" s="2"/>
      <c r="M907" s="2"/>
      <c r="N907" s="2"/>
      <c r="O907" s="2"/>
      <c r="P907" s="2"/>
      <c r="Q907" s="2"/>
    </row>
    <row r="908" spans="1:28">
      <c r="E908" s="4"/>
      <c r="F908" s="2"/>
      <c r="G908" s="2"/>
      <c r="K908" s="2"/>
      <c r="L908" s="2"/>
      <c r="M908" s="2"/>
      <c r="N908" s="2"/>
      <c r="O908" s="2"/>
      <c r="P908" s="2"/>
      <c r="Q908" s="2"/>
    </row>
    <row r="909" spans="1:28">
      <c r="E909" s="4"/>
      <c r="F909" s="2"/>
      <c r="G909" s="2"/>
      <c r="K909" s="2"/>
      <c r="L909" s="2"/>
      <c r="M909" s="2"/>
      <c r="N909" s="2"/>
      <c r="O909" s="2"/>
      <c r="P909" s="2"/>
      <c r="Q909" s="2"/>
    </row>
    <row r="910" spans="1:28">
      <c r="G910" s="2"/>
    </row>
    <row r="911" spans="1:28">
      <c r="R911"/>
      <c r="S911"/>
      <c r="T911"/>
      <c r="U911"/>
      <c r="V911"/>
      <c r="W911"/>
      <c r="X911"/>
      <c r="Y911"/>
      <c r="Z911"/>
      <c r="AA911"/>
      <c r="AB911"/>
    </row>
    <row r="912" spans="1:28">
      <c r="H912" s="5" t="s">
        <v>90</v>
      </c>
      <c r="I912" t="s">
        <v>25</v>
      </c>
      <c r="R912"/>
      <c r="S912"/>
      <c r="T912"/>
      <c r="U912"/>
      <c r="V912"/>
      <c r="W912"/>
      <c r="X912"/>
      <c r="Y912"/>
      <c r="Z912"/>
      <c r="AA912"/>
      <c r="AB912"/>
    </row>
    <row r="913" spans="1:28">
      <c r="H913" s="5" t="s">
        <v>63</v>
      </c>
      <c r="I913" t="s">
        <v>20</v>
      </c>
      <c r="R913"/>
      <c r="S913"/>
      <c r="T913"/>
      <c r="U913"/>
      <c r="V913"/>
      <c r="W913"/>
      <c r="X913"/>
      <c r="Y913"/>
      <c r="Z913"/>
      <c r="AA913"/>
      <c r="AB913"/>
    </row>
    <row r="914" spans="1:28">
      <c r="H914" s="5" t="s">
        <v>91</v>
      </c>
      <c r="I914" t="s">
        <v>16</v>
      </c>
      <c r="R914"/>
      <c r="S914"/>
      <c r="T914"/>
      <c r="U914"/>
      <c r="V914"/>
      <c r="W914"/>
      <c r="X914"/>
      <c r="Y914"/>
      <c r="Z914"/>
      <c r="AA914"/>
      <c r="AB914"/>
    </row>
    <row r="915" spans="1:28">
      <c r="R915"/>
      <c r="S915"/>
      <c r="T915"/>
      <c r="U915"/>
      <c r="V915"/>
      <c r="W915"/>
      <c r="X915"/>
    </row>
    <row r="916" spans="1:28">
      <c r="H916" s="5" t="s">
        <v>2</v>
      </c>
      <c r="I916" t="s">
        <v>46</v>
      </c>
      <c r="J916" t="s">
        <v>47</v>
      </c>
      <c r="K916" t="s">
        <v>48</v>
      </c>
      <c r="L916" t="s">
        <v>49</v>
      </c>
      <c r="M916" t="s">
        <v>50</v>
      </c>
      <c r="N916" t="s">
        <v>51</v>
      </c>
      <c r="O916" t="s">
        <v>52</v>
      </c>
      <c r="P916" t="s">
        <v>101</v>
      </c>
      <c r="Q916" t="s">
        <v>120</v>
      </c>
      <c r="R916"/>
      <c r="S916"/>
      <c r="T916"/>
      <c r="U916"/>
      <c r="V916"/>
      <c r="W916"/>
      <c r="X916"/>
      <c r="Y916"/>
    </row>
    <row r="917" spans="1:28">
      <c r="H917" s="6">
        <v>1</v>
      </c>
      <c r="I917" s="7">
        <v>2.5849056603773586</v>
      </c>
      <c r="J917" s="7">
        <v>1.3738317757009346</v>
      </c>
      <c r="K917" s="7">
        <v>1.5384615384615385</v>
      </c>
      <c r="L917" s="7">
        <v>0.69230769230769229</v>
      </c>
      <c r="M917" s="7"/>
      <c r="N917">
        <v>0</v>
      </c>
      <c r="O917" s="7">
        <v>1</v>
      </c>
      <c r="P917" s="7">
        <v>1.0666666666666667</v>
      </c>
      <c r="Q917"/>
      <c r="R917" s="6"/>
      <c r="S917"/>
      <c r="T917"/>
      <c r="U917"/>
      <c r="V917"/>
      <c r="W917"/>
      <c r="X917"/>
      <c r="Y917"/>
    </row>
    <row r="918" spans="1:28">
      <c r="H918" s="6">
        <v>2</v>
      </c>
      <c r="I918" s="7">
        <v>2.3773584905660377</v>
      </c>
      <c r="J918" s="7">
        <v>1.7757009345794392</v>
      </c>
      <c r="K918" s="7">
        <v>0.84615384615384615</v>
      </c>
      <c r="L918" s="7">
        <v>1.3846153846153846</v>
      </c>
      <c r="M918" s="7"/>
      <c r="N918">
        <v>0</v>
      </c>
      <c r="O918" s="7">
        <v>1</v>
      </c>
      <c r="P918" s="7">
        <v>1.2333333333333334</v>
      </c>
      <c r="Q918"/>
      <c r="R918" s="6"/>
      <c r="S918"/>
      <c r="T918"/>
      <c r="U918"/>
      <c r="V918"/>
      <c r="W918"/>
      <c r="X918"/>
      <c r="Y918"/>
    </row>
    <row r="919" spans="1:28">
      <c r="H919" s="6">
        <v>3</v>
      </c>
      <c r="I919" s="7">
        <v>2.8018867924528301</v>
      </c>
      <c r="J919" s="7">
        <v>1.7102803738317758</v>
      </c>
      <c r="K919" s="7">
        <v>1.2692307692307692</v>
      </c>
      <c r="L919" s="7">
        <v>1.3076923076923077</v>
      </c>
      <c r="M919" s="7"/>
      <c r="N919">
        <v>0</v>
      </c>
      <c r="O919" s="7">
        <v>0</v>
      </c>
      <c r="P919" s="7">
        <v>1.2</v>
      </c>
      <c r="Q919"/>
      <c r="R919" s="6"/>
      <c r="S919"/>
      <c r="T919"/>
      <c r="U919"/>
      <c r="V919"/>
      <c r="W919"/>
      <c r="X919"/>
      <c r="Y919"/>
    </row>
    <row r="920" spans="1:28">
      <c r="A920"/>
      <c r="B920"/>
      <c r="C920"/>
      <c r="D920"/>
      <c r="E920"/>
      <c r="F920"/>
      <c r="G920"/>
      <c r="H920" s="6" t="s">
        <v>82</v>
      </c>
      <c r="I920" s="7">
        <v>2.7142857142857144</v>
      </c>
      <c r="J920" s="7">
        <v>2.5</v>
      </c>
      <c r="K920" s="7">
        <v>3</v>
      </c>
      <c r="L920" s="7"/>
      <c r="M920" s="7"/>
      <c r="N920"/>
      <c r="O920" s="7"/>
      <c r="P920" s="7">
        <v>0.5</v>
      </c>
      <c r="Q920"/>
      <c r="R920" s="6"/>
      <c r="S920"/>
      <c r="T920"/>
      <c r="U920"/>
      <c r="V920"/>
      <c r="W920"/>
      <c r="X920"/>
      <c r="Y920"/>
    </row>
    <row r="921" spans="1:28">
      <c r="A921"/>
      <c r="B921"/>
      <c r="C921"/>
      <c r="D921"/>
      <c r="E921"/>
      <c r="F921"/>
      <c r="G921"/>
      <c r="H921" s="6" t="s">
        <v>83</v>
      </c>
      <c r="I921" s="7">
        <v>5</v>
      </c>
      <c r="J921" s="7">
        <v>2</v>
      </c>
      <c r="K921" s="7">
        <v>1</v>
      </c>
      <c r="L921" s="7"/>
      <c r="M921" s="7"/>
      <c r="N921"/>
      <c r="O921" s="7"/>
      <c r="P921" s="7"/>
      <c r="Q921"/>
      <c r="R921" s="6"/>
      <c r="S921"/>
      <c r="T921"/>
      <c r="U921"/>
      <c r="V921"/>
      <c r="W921"/>
      <c r="X921"/>
      <c r="Y921"/>
    </row>
    <row r="922" spans="1:28">
      <c r="A922"/>
      <c r="B922"/>
      <c r="C922"/>
      <c r="D922"/>
      <c r="E922"/>
      <c r="F922"/>
      <c r="G922"/>
      <c r="H922" s="6" t="s">
        <v>38</v>
      </c>
      <c r="I922" s="7">
        <v>2.5981595092024539</v>
      </c>
      <c r="J922" s="7">
        <v>1.6486486486486487</v>
      </c>
      <c r="K922" s="7">
        <v>1.2375</v>
      </c>
      <c r="L922" s="7">
        <v>1.1282051282051282</v>
      </c>
      <c r="M922" s="7"/>
      <c r="N922">
        <v>0</v>
      </c>
      <c r="O922" s="7">
        <v>0.66666666666666663</v>
      </c>
      <c r="P922" s="7">
        <v>1.1521739130434783</v>
      </c>
      <c r="Q922"/>
      <c r="R922" s="6"/>
      <c r="S922"/>
      <c r="T922"/>
      <c r="U922"/>
      <c r="V922"/>
      <c r="W922"/>
      <c r="X922"/>
      <c r="Y922"/>
    </row>
    <row r="923" spans="1:28">
      <c r="A923"/>
      <c r="B923"/>
      <c r="C923"/>
      <c r="D923"/>
      <c r="E923"/>
      <c r="F923"/>
      <c r="G923"/>
      <c r="H923"/>
      <c r="I923"/>
      <c r="J923"/>
      <c r="K923"/>
      <c r="L923"/>
      <c r="M923"/>
      <c r="N923"/>
      <c r="O923"/>
      <c r="P923"/>
      <c r="Q923"/>
      <c r="R923"/>
      <c r="S923"/>
      <c r="T923"/>
      <c r="U923"/>
      <c r="V923"/>
      <c r="W923"/>
      <c r="X923"/>
    </row>
    <row r="924" spans="1:28">
      <c r="A924"/>
      <c r="B924"/>
      <c r="C924"/>
      <c r="D924"/>
      <c r="E924"/>
      <c r="F924"/>
      <c r="G924"/>
      <c r="H924"/>
      <c r="I924"/>
      <c r="J924"/>
      <c r="K924"/>
      <c r="L924"/>
      <c r="M924"/>
      <c r="N924"/>
      <c r="O924"/>
      <c r="P924"/>
      <c r="Q924"/>
      <c r="R924"/>
      <c r="S924"/>
      <c r="T924"/>
      <c r="U924"/>
      <c r="V924"/>
      <c r="W924"/>
      <c r="X924"/>
    </row>
    <row r="925" spans="1:28">
      <c r="A925"/>
      <c r="B925"/>
      <c r="C925"/>
      <c r="D925"/>
      <c r="E925"/>
      <c r="F925"/>
      <c r="G925"/>
      <c r="H925"/>
      <c r="I925"/>
      <c r="J925"/>
      <c r="K925"/>
      <c r="L925"/>
      <c r="M925"/>
      <c r="N925"/>
      <c r="O925"/>
      <c r="P925"/>
      <c r="Q925"/>
      <c r="R925"/>
      <c r="S925"/>
    </row>
    <row r="926" spans="1:28">
      <c r="A926"/>
      <c r="B926"/>
      <c r="C926"/>
      <c r="D926"/>
      <c r="E926"/>
      <c r="F926"/>
      <c r="G926"/>
      <c r="H926"/>
      <c r="I926"/>
      <c r="J926"/>
      <c r="K926"/>
      <c r="L926"/>
      <c r="M926"/>
      <c r="N926"/>
      <c r="O926"/>
      <c r="P926"/>
      <c r="Q926"/>
      <c r="R926"/>
      <c r="S926"/>
    </row>
    <row r="927" spans="1:28">
      <c r="A927"/>
      <c r="B927"/>
      <c r="C927"/>
      <c r="D927"/>
      <c r="E927"/>
      <c r="F927"/>
      <c r="G927"/>
      <c r="H927"/>
      <c r="I927"/>
      <c r="J927"/>
      <c r="K927"/>
      <c r="L927"/>
      <c r="M927"/>
      <c r="N927"/>
      <c r="O927"/>
      <c r="P927"/>
      <c r="Q927"/>
      <c r="R927"/>
      <c r="S927"/>
    </row>
    <row r="928" spans="1:28">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c r="S939"/>
    </row>
    <row r="940" spans="1:19">
      <c r="A940"/>
      <c r="B940"/>
      <c r="C940"/>
      <c r="D940"/>
      <c r="E940"/>
      <c r="F940"/>
      <c r="G940"/>
      <c r="H940"/>
      <c r="I940"/>
      <c r="J940"/>
      <c r="K940"/>
      <c r="L940"/>
      <c r="M940"/>
      <c r="N940"/>
      <c r="O940"/>
      <c r="P940"/>
      <c r="Q940"/>
      <c r="R940"/>
      <c r="S940"/>
    </row>
    <row r="941" spans="1:19">
      <c r="A941"/>
      <c r="B941"/>
      <c r="C941"/>
      <c r="D941"/>
      <c r="E941"/>
      <c r="F941"/>
      <c r="G941"/>
      <c r="H941"/>
      <c r="I941"/>
      <c r="J941"/>
      <c r="K941"/>
      <c r="L941"/>
      <c r="M941"/>
      <c r="N941"/>
      <c r="O941"/>
      <c r="P941"/>
      <c r="Q941"/>
      <c r="R941"/>
      <c r="S941"/>
    </row>
    <row r="942" spans="1:19">
      <c r="A942"/>
      <c r="B942"/>
      <c r="C942"/>
      <c r="D942"/>
      <c r="E942"/>
      <c r="F942"/>
      <c r="G942"/>
      <c r="H942"/>
      <c r="I942"/>
      <c r="J942"/>
      <c r="K942"/>
      <c r="L942"/>
      <c r="M942"/>
      <c r="N942"/>
      <c r="O942"/>
      <c r="P942"/>
      <c r="Q942"/>
      <c r="R942"/>
      <c r="S942"/>
    </row>
    <row r="943" spans="1:19">
      <c r="A943"/>
      <c r="B943"/>
      <c r="C943"/>
      <c r="D943"/>
      <c r="E943"/>
      <c r="F943"/>
      <c r="G943"/>
      <c r="H943"/>
      <c r="I943"/>
      <c r="J943"/>
      <c r="K943"/>
      <c r="L943"/>
      <c r="M943"/>
      <c r="N943"/>
      <c r="O943"/>
      <c r="P943"/>
      <c r="Q943"/>
      <c r="R943"/>
      <c r="S943"/>
    </row>
    <row r="944" spans="1:19">
      <c r="A944"/>
      <c r="B944"/>
      <c r="C944"/>
      <c r="D944"/>
      <c r="E944"/>
      <c r="F944"/>
      <c r="G944"/>
      <c r="H944"/>
      <c r="I944"/>
      <c r="J944"/>
      <c r="K944"/>
      <c r="L944"/>
      <c r="M944"/>
      <c r="N944"/>
      <c r="O944"/>
      <c r="P944"/>
      <c r="Q944"/>
      <c r="R944"/>
      <c r="S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c r="S947"/>
    </row>
    <row r="948" spans="1:19">
      <c r="A948"/>
      <c r="B948"/>
      <c r="C948"/>
      <c r="D948"/>
      <c r="E948"/>
      <c r="F948"/>
      <c r="G948"/>
      <c r="H948"/>
      <c r="I948"/>
      <c r="J948"/>
      <c r="K948"/>
      <c r="L948"/>
      <c r="M948"/>
      <c r="N948"/>
      <c r="O948"/>
      <c r="P948"/>
      <c r="Q948"/>
      <c r="R948"/>
      <c r="S948"/>
    </row>
    <row r="949" spans="1:19">
      <c r="A949"/>
      <c r="B949"/>
      <c r="C949"/>
      <c r="D949"/>
      <c r="E949"/>
      <c r="F949"/>
      <c r="G949"/>
      <c r="H949"/>
      <c r="I949"/>
      <c r="J949"/>
      <c r="K949"/>
      <c r="L949"/>
      <c r="M949"/>
      <c r="N949"/>
      <c r="O949"/>
      <c r="P949"/>
      <c r="Q949"/>
      <c r="R949"/>
      <c r="S949"/>
    </row>
    <row r="950" spans="1:19">
      <c r="A950"/>
      <c r="B950"/>
      <c r="C950"/>
      <c r="D950"/>
      <c r="E950"/>
      <c r="F950"/>
      <c r="G950"/>
      <c r="H950"/>
      <c r="I950"/>
      <c r="J950"/>
      <c r="K950"/>
      <c r="L950"/>
      <c r="M950"/>
      <c r="N950"/>
      <c r="O950"/>
      <c r="P950"/>
      <c r="Q950"/>
      <c r="R950"/>
      <c r="S950"/>
    </row>
    <row r="951" spans="1:19">
      <c r="A951"/>
      <c r="B951"/>
      <c r="C951"/>
      <c r="D951"/>
      <c r="E951"/>
      <c r="F951"/>
      <c r="G951"/>
      <c r="H951"/>
      <c r="I951"/>
      <c r="J951"/>
      <c r="K951"/>
      <c r="L951"/>
      <c r="M951"/>
      <c r="N951"/>
      <c r="O951"/>
      <c r="P951"/>
      <c r="Q951"/>
      <c r="R951"/>
      <c r="S951"/>
    </row>
    <row r="952" spans="1:19">
      <c r="A952"/>
      <c r="B952"/>
      <c r="C952"/>
      <c r="D952"/>
      <c r="E952"/>
      <c r="F952"/>
      <c r="G952"/>
      <c r="H952"/>
      <c r="I952"/>
      <c r="J952"/>
      <c r="K952"/>
      <c r="L952"/>
      <c r="M952"/>
      <c r="N952"/>
      <c r="O952"/>
      <c r="P952"/>
      <c r="Q952"/>
      <c r="R952"/>
      <c r="S952"/>
    </row>
    <row r="953" spans="1:19">
      <c r="A953"/>
      <c r="B953"/>
      <c r="C953"/>
      <c r="D953"/>
      <c r="E953"/>
      <c r="F953"/>
      <c r="G953"/>
      <c r="H953"/>
      <c r="I953"/>
      <c r="J953"/>
      <c r="K953"/>
      <c r="L953"/>
      <c r="M953"/>
      <c r="N953"/>
      <c r="O953"/>
      <c r="P953"/>
      <c r="Q953"/>
      <c r="R953"/>
      <c r="S953"/>
    </row>
    <row r="954" spans="1:19">
      <c r="A954"/>
      <c r="B954"/>
      <c r="C954"/>
      <c r="D954"/>
      <c r="E954"/>
      <c r="F954"/>
      <c r="G954"/>
      <c r="H954"/>
      <c r="I954"/>
      <c r="J954"/>
      <c r="K954"/>
      <c r="L954"/>
      <c r="M954"/>
      <c r="N954"/>
      <c r="O954"/>
      <c r="P954"/>
      <c r="Q954"/>
      <c r="R954"/>
      <c r="S954"/>
    </row>
    <row r="955" spans="1:19">
      <c r="A955"/>
      <c r="B955"/>
      <c r="C955"/>
      <c r="D955"/>
      <c r="E955"/>
      <c r="F955"/>
      <c r="G955"/>
      <c r="H955"/>
      <c r="I955"/>
      <c r="J955"/>
      <c r="K955"/>
      <c r="L955"/>
      <c r="M955"/>
      <c r="N955"/>
      <c r="O955"/>
      <c r="P955"/>
      <c r="Q955"/>
      <c r="R955"/>
      <c r="S955"/>
    </row>
    <row r="956" spans="1:19">
      <c r="A956"/>
      <c r="B956"/>
      <c r="C956"/>
      <c r="D956"/>
      <c r="E956"/>
      <c r="F956"/>
      <c r="G956"/>
      <c r="H956"/>
      <c r="I956"/>
      <c r="J956"/>
      <c r="K956"/>
      <c r="L956"/>
      <c r="M956"/>
      <c r="N956"/>
      <c r="O956"/>
      <c r="P956"/>
      <c r="Q956"/>
      <c r="R956"/>
      <c r="S956"/>
    </row>
    <row r="957" spans="1:19">
      <c r="A957"/>
      <c r="B957"/>
      <c r="C957"/>
      <c r="D957"/>
      <c r="E957"/>
      <c r="F957"/>
      <c r="G957"/>
      <c r="H957"/>
      <c r="I957"/>
      <c r="J957"/>
      <c r="K957"/>
      <c r="L957"/>
      <c r="M957"/>
      <c r="N957"/>
      <c r="O957"/>
      <c r="P957"/>
      <c r="Q957"/>
      <c r="R957"/>
      <c r="S957"/>
    </row>
    <row r="958" spans="1:19">
      <c r="A958"/>
      <c r="B958"/>
      <c r="C958"/>
      <c r="D958"/>
      <c r="E958"/>
      <c r="F958"/>
      <c r="G958"/>
      <c r="H958"/>
      <c r="I958"/>
      <c r="J958"/>
      <c r="K958"/>
      <c r="L958"/>
      <c r="M958"/>
      <c r="N958"/>
      <c r="O958"/>
      <c r="P958"/>
      <c r="Q958"/>
      <c r="R958"/>
      <c r="S958"/>
    </row>
    <row r="959" spans="1:19">
      <c r="A959"/>
      <c r="B959"/>
      <c r="C959"/>
      <c r="D959"/>
      <c r="E959"/>
      <c r="F959"/>
      <c r="G959"/>
      <c r="H959"/>
      <c r="I959"/>
      <c r="J959"/>
      <c r="K959"/>
      <c r="L959"/>
      <c r="M959"/>
      <c r="N959"/>
      <c r="O959"/>
      <c r="P959"/>
      <c r="Q959"/>
      <c r="R959"/>
      <c r="S959"/>
    </row>
    <row r="960" spans="1:19">
      <c r="A960"/>
      <c r="B960"/>
      <c r="C960"/>
      <c r="D960"/>
      <c r="E960"/>
      <c r="F960"/>
      <c r="G960"/>
      <c r="H960"/>
      <c r="I960"/>
      <c r="J960"/>
      <c r="K960"/>
      <c r="L960"/>
      <c r="M960"/>
      <c r="N960"/>
      <c r="O960"/>
      <c r="P960"/>
      <c r="Q960"/>
      <c r="R960"/>
      <c r="S960"/>
    </row>
    <row r="961" spans="1:19">
      <c r="A961"/>
      <c r="B961"/>
      <c r="C961"/>
      <c r="D961"/>
      <c r="E961"/>
      <c r="F961"/>
      <c r="G961"/>
      <c r="H961"/>
      <c r="I961"/>
      <c r="J961"/>
      <c r="K961"/>
      <c r="L961"/>
      <c r="M961"/>
      <c r="N961"/>
      <c r="O961"/>
      <c r="P961"/>
      <c r="Q961"/>
      <c r="R961"/>
      <c r="S961"/>
    </row>
    <row r="962" spans="1:19">
      <c r="A962"/>
      <c r="B962"/>
      <c r="C962"/>
      <c r="D962"/>
      <c r="E962"/>
      <c r="F962"/>
      <c r="G962"/>
      <c r="H962"/>
      <c r="I962"/>
      <c r="J962"/>
      <c r="K962"/>
      <c r="L962"/>
      <c r="M962"/>
      <c r="N962"/>
      <c r="O962"/>
      <c r="P962"/>
      <c r="Q962"/>
      <c r="R962"/>
      <c r="S962"/>
    </row>
    <row r="963" spans="1:19">
      <c r="A963"/>
      <c r="B963"/>
      <c r="C963"/>
      <c r="D963"/>
      <c r="E963"/>
      <c r="F963"/>
      <c r="G963"/>
      <c r="H963"/>
      <c r="I963"/>
      <c r="J963"/>
      <c r="K963"/>
      <c r="L963"/>
      <c r="M963"/>
      <c r="N963"/>
      <c r="O963"/>
      <c r="P963"/>
      <c r="Q963"/>
      <c r="R963"/>
      <c r="S963"/>
    </row>
    <row r="964" spans="1:19">
      <c r="A964"/>
      <c r="B964"/>
      <c r="C964"/>
      <c r="D964"/>
      <c r="E964"/>
      <c r="F964"/>
      <c r="G964"/>
      <c r="H964"/>
      <c r="I964"/>
      <c r="J964"/>
      <c r="K964"/>
      <c r="L964"/>
      <c r="M964"/>
      <c r="N964"/>
      <c r="O964"/>
      <c r="P964"/>
      <c r="Q964"/>
      <c r="R964"/>
      <c r="S964"/>
    </row>
    <row r="965" spans="1:19">
      <c r="A965"/>
      <c r="B965"/>
      <c r="C965"/>
      <c r="D965"/>
      <c r="E965"/>
      <c r="F965"/>
      <c r="G965"/>
      <c r="H965"/>
      <c r="I965"/>
      <c r="J965"/>
      <c r="K965"/>
      <c r="L965"/>
      <c r="M965"/>
      <c r="N965"/>
      <c r="O965"/>
      <c r="P965"/>
      <c r="Q965"/>
      <c r="R965"/>
      <c r="S965"/>
    </row>
    <row r="966" spans="1:19">
      <c r="A966"/>
      <c r="B966"/>
      <c r="C966"/>
      <c r="D966"/>
      <c r="E966"/>
      <c r="F966"/>
      <c r="G966"/>
      <c r="H966"/>
      <c r="I966"/>
      <c r="J966"/>
      <c r="K966"/>
      <c r="L966"/>
      <c r="M966"/>
      <c r="N966"/>
      <c r="O966"/>
      <c r="P966"/>
      <c r="Q966"/>
      <c r="R966"/>
      <c r="S966"/>
    </row>
    <row r="967" spans="1:19">
      <c r="A967"/>
      <c r="B967"/>
      <c r="C967"/>
      <c r="D967"/>
      <c r="E967"/>
      <c r="F967"/>
      <c r="G967"/>
      <c r="H967"/>
      <c r="I967"/>
      <c r="J967"/>
      <c r="K967"/>
      <c r="L967"/>
      <c r="M967"/>
      <c r="N967"/>
      <c r="O967"/>
      <c r="P967"/>
      <c r="Q967"/>
      <c r="R967"/>
      <c r="S967"/>
    </row>
    <row r="968" spans="1:19">
      <c r="A968"/>
      <c r="B968"/>
      <c r="C968"/>
      <c r="D968"/>
      <c r="E968"/>
      <c r="F968"/>
      <c r="G968"/>
      <c r="H968"/>
      <c r="I968"/>
      <c r="J968"/>
      <c r="K968"/>
      <c r="L968"/>
      <c r="M968"/>
      <c r="N968"/>
      <c r="O968"/>
      <c r="P968"/>
      <c r="Q968"/>
      <c r="R968"/>
      <c r="S968"/>
    </row>
    <row r="969" spans="1:19">
      <c r="A969"/>
      <c r="B969"/>
      <c r="C969"/>
      <c r="D969"/>
      <c r="E969"/>
      <c r="F969"/>
      <c r="G969"/>
      <c r="H969"/>
      <c r="I969"/>
      <c r="J969"/>
      <c r="K969"/>
      <c r="L969"/>
      <c r="M969"/>
      <c r="N969"/>
      <c r="O969"/>
      <c r="P969"/>
      <c r="Q969"/>
      <c r="R969"/>
      <c r="S969"/>
    </row>
    <row r="970" spans="1:19">
      <c r="A970"/>
      <c r="B970"/>
      <c r="C970"/>
      <c r="D970"/>
      <c r="E970"/>
      <c r="F970"/>
      <c r="G970"/>
      <c r="H970"/>
      <c r="I970"/>
      <c r="J970"/>
      <c r="K970"/>
      <c r="L970"/>
      <c r="M970"/>
      <c r="N970"/>
      <c r="O970"/>
      <c r="P970"/>
      <c r="Q970"/>
      <c r="R970"/>
    </row>
    <row r="971" spans="1:19">
      <c r="A971"/>
      <c r="B971"/>
      <c r="C971"/>
      <c r="D971"/>
      <c r="E971"/>
      <c r="F971"/>
      <c r="G971"/>
      <c r="H971"/>
      <c r="I971"/>
      <c r="J971"/>
      <c r="K971"/>
      <c r="L971"/>
      <c r="M971"/>
      <c r="N971"/>
      <c r="O971"/>
      <c r="P971"/>
      <c r="Q971"/>
      <c r="R971"/>
    </row>
    <row r="972" spans="1:19">
      <c r="A972"/>
      <c r="B972"/>
      <c r="C972"/>
      <c r="D972"/>
      <c r="E972"/>
      <c r="F972"/>
      <c r="G972"/>
      <c r="H972"/>
      <c r="I972"/>
      <c r="J972"/>
      <c r="K972"/>
      <c r="L972"/>
      <c r="M972"/>
      <c r="N972"/>
      <c r="O972"/>
      <c r="P972"/>
      <c r="Q972"/>
      <c r="R972"/>
    </row>
    <row r="973" spans="1:19">
      <c r="A973"/>
      <c r="B973"/>
      <c r="C973"/>
      <c r="D973"/>
      <c r="E973"/>
      <c r="F973"/>
      <c r="G973"/>
      <c r="H973"/>
      <c r="I973"/>
      <c r="J973"/>
      <c r="K973"/>
      <c r="L973"/>
      <c r="M973"/>
      <c r="N973"/>
      <c r="O973"/>
      <c r="P973"/>
      <c r="Q973"/>
      <c r="R973"/>
    </row>
    <row r="974" spans="1:19">
      <c r="A974"/>
      <c r="B974"/>
      <c r="C974"/>
      <c r="D974"/>
      <c r="E974"/>
      <c r="F974"/>
      <c r="G974"/>
      <c r="H974"/>
      <c r="I974"/>
      <c r="J974"/>
      <c r="K974"/>
      <c r="L974"/>
      <c r="M974"/>
      <c r="N974"/>
      <c r="O974"/>
      <c r="P974"/>
      <c r="Q974"/>
      <c r="R974"/>
    </row>
    <row r="975" spans="1:19">
      <c r="A975"/>
      <c r="B975"/>
      <c r="C975"/>
      <c r="D975"/>
      <c r="E975"/>
      <c r="F975"/>
      <c r="G975"/>
      <c r="H975"/>
      <c r="I975"/>
      <c r="J975"/>
      <c r="K975"/>
      <c r="L975"/>
      <c r="M975"/>
      <c r="N975"/>
      <c r="O975"/>
      <c r="P975"/>
      <c r="Q975"/>
      <c r="R975"/>
    </row>
    <row r="976" spans="1:19">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8">
      <c r="A1121"/>
      <c r="B1121"/>
      <c r="C1121"/>
      <c r="D1121"/>
      <c r="E1121"/>
      <c r="F1121"/>
      <c r="G1121"/>
      <c r="H1121"/>
      <c r="I1121"/>
      <c r="J1121"/>
      <c r="K1121"/>
      <c r="L1121"/>
      <c r="M1121"/>
      <c r="N1121"/>
      <c r="O1121"/>
      <c r="P1121"/>
      <c r="Q1121"/>
      <c r="R1121"/>
    </row>
    <row r="1122" spans="1:18">
      <c r="A1122"/>
      <c r="B1122"/>
      <c r="C1122"/>
      <c r="D1122"/>
      <c r="E1122"/>
      <c r="F1122"/>
      <c r="G1122"/>
      <c r="H1122"/>
      <c r="I1122"/>
      <c r="J1122"/>
      <c r="K1122"/>
      <c r="L1122"/>
      <c r="M1122"/>
      <c r="N1122"/>
      <c r="O1122"/>
      <c r="P1122"/>
      <c r="Q1122"/>
      <c r="R1122"/>
    </row>
    <row r="1123" spans="1:18">
      <c r="A1123"/>
      <c r="B1123"/>
      <c r="C1123"/>
      <c r="D1123"/>
      <c r="E1123"/>
      <c r="F1123"/>
      <c r="G1123"/>
      <c r="H1123"/>
      <c r="I1123"/>
      <c r="J1123"/>
      <c r="K1123"/>
      <c r="L1123"/>
      <c r="M1123"/>
      <c r="N1123"/>
      <c r="O1123"/>
      <c r="P1123"/>
      <c r="Q1123"/>
      <c r="R1123"/>
    </row>
    <row r="1124" spans="1:18">
      <c r="A1124"/>
      <c r="B1124"/>
      <c r="C1124"/>
      <c r="D1124"/>
      <c r="E1124"/>
      <c r="F1124"/>
      <c r="G1124"/>
      <c r="H1124"/>
      <c r="I1124"/>
      <c r="J1124"/>
      <c r="K1124"/>
      <c r="L1124"/>
      <c r="M1124"/>
      <c r="N1124"/>
      <c r="O1124"/>
      <c r="P1124"/>
      <c r="Q1124"/>
      <c r="R1124"/>
    </row>
    <row r="1125" spans="1:18">
      <c r="A1125"/>
      <c r="B1125"/>
      <c r="C1125"/>
      <c r="D1125"/>
      <c r="E1125"/>
      <c r="F1125"/>
      <c r="G1125"/>
      <c r="H1125"/>
      <c r="I1125"/>
      <c r="J1125"/>
      <c r="K1125"/>
      <c r="L1125"/>
      <c r="M1125"/>
      <c r="N1125"/>
      <c r="O1125"/>
      <c r="P1125"/>
      <c r="Q1125"/>
      <c r="R1125"/>
    </row>
    <row r="1126" spans="1:18">
      <c r="A1126"/>
      <c r="B1126"/>
      <c r="C1126"/>
      <c r="D1126"/>
      <c r="E1126"/>
      <c r="F1126"/>
      <c r="G1126"/>
      <c r="H1126"/>
      <c r="I1126"/>
      <c r="J1126"/>
      <c r="K1126"/>
      <c r="L1126"/>
      <c r="M1126"/>
      <c r="N1126"/>
      <c r="O1126"/>
      <c r="P1126"/>
      <c r="Q1126"/>
      <c r="R1126"/>
    </row>
    <row r="1127" spans="1:18">
      <c r="A1127"/>
      <c r="B1127"/>
      <c r="C1127"/>
      <c r="D1127"/>
      <c r="E1127"/>
      <c r="F1127"/>
      <c r="G1127"/>
      <c r="H1127"/>
      <c r="I1127"/>
      <c r="J1127"/>
      <c r="K1127"/>
      <c r="L1127"/>
      <c r="M1127"/>
      <c r="N1127"/>
      <c r="O1127"/>
      <c r="P1127"/>
      <c r="Q1127"/>
      <c r="R1127"/>
    </row>
    <row r="1128" spans="1:18">
      <c r="A1128"/>
      <c r="B1128"/>
      <c r="C1128"/>
      <c r="D1128"/>
      <c r="E1128"/>
      <c r="F1128"/>
      <c r="G1128"/>
      <c r="H1128"/>
      <c r="I1128"/>
      <c r="J1128"/>
      <c r="K1128"/>
      <c r="L1128"/>
      <c r="M1128"/>
      <c r="N1128"/>
      <c r="O1128"/>
      <c r="P1128"/>
      <c r="Q1128"/>
      <c r="R1128"/>
    </row>
    <row r="1129" spans="1:18">
      <c r="A1129"/>
      <c r="B1129"/>
      <c r="C1129"/>
      <c r="D1129"/>
      <c r="E1129"/>
      <c r="F1129"/>
      <c r="G1129"/>
      <c r="H1129"/>
      <c r="I1129"/>
      <c r="J1129"/>
      <c r="K1129"/>
      <c r="L1129"/>
      <c r="M1129"/>
      <c r="N1129"/>
      <c r="O1129"/>
      <c r="P1129"/>
      <c r="Q1129"/>
      <c r="R1129"/>
    </row>
    <row r="1130" spans="1:18">
      <c r="A1130"/>
      <c r="B1130"/>
      <c r="C1130"/>
      <c r="D1130"/>
      <c r="E1130"/>
      <c r="F1130"/>
      <c r="G1130"/>
      <c r="H1130"/>
      <c r="I1130"/>
      <c r="J1130"/>
      <c r="K1130"/>
      <c r="L1130"/>
      <c r="M1130"/>
      <c r="N1130"/>
      <c r="O1130"/>
      <c r="P1130"/>
      <c r="Q1130"/>
      <c r="R1130"/>
    </row>
    <row r="1131" spans="1:18">
      <c r="A1131"/>
      <c r="B1131"/>
      <c r="C1131"/>
      <c r="D1131"/>
      <c r="E1131"/>
      <c r="F1131"/>
      <c r="G1131"/>
      <c r="H1131"/>
      <c r="I1131"/>
      <c r="J1131"/>
      <c r="K1131"/>
      <c r="L1131"/>
      <c r="M1131"/>
      <c r="N1131"/>
      <c r="O1131"/>
      <c r="P1131"/>
      <c r="Q1131"/>
      <c r="R1131"/>
    </row>
    <row r="1132" spans="1:18">
      <c r="A1132"/>
      <c r="B1132"/>
      <c r="C1132"/>
      <c r="D1132"/>
      <c r="E1132"/>
      <c r="F1132"/>
      <c r="G1132"/>
      <c r="H1132"/>
      <c r="I1132"/>
      <c r="J1132"/>
      <c r="K1132"/>
      <c r="L1132"/>
      <c r="M1132"/>
      <c r="N1132"/>
      <c r="O1132"/>
      <c r="P1132"/>
      <c r="Q1132"/>
      <c r="R1132"/>
    </row>
    <row r="1133" spans="1:18">
      <c r="A1133"/>
      <c r="B1133"/>
      <c r="C1133"/>
      <c r="D1133"/>
      <c r="E1133"/>
      <c r="F1133"/>
      <c r="G1133"/>
      <c r="H1133"/>
      <c r="I1133"/>
      <c r="J1133"/>
      <c r="K1133"/>
      <c r="L1133"/>
      <c r="M1133"/>
      <c r="N1133"/>
      <c r="O1133"/>
      <c r="P1133"/>
      <c r="Q1133"/>
      <c r="R1133"/>
    </row>
    <row r="1134" spans="1:18">
      <c r="A1134"/>
      <c r="B1134"/>
      <c r="C1134"/>
      <c r="D1134"/>
      <c r="E1134"/>
      <c r="F1134"/>
      <c r="G1134"/>
      <c r="H1134"/>
      <c r="I1134"/>
      <c r="J1134"/>
      <c r="K1134"/>
      <c r="L1134"/>
      <c r="M1134"/>
      <c r="N1134"/>
      <c r="O1134"/>
      <c r="P1134"/>
      <c r="Q1134"/>
      <c r="R1134"/>
    </row>
    <row r="1135" spans="1:18">
      <c r="A1135"/>
      <c r="B1135"/>
      <c r="C1135"/>
      <c r="D1135"/>
      <c r="E1135"/>
      <c r="F1135"/>
      <c r="G1135"/>
      <c r="H1135"/>
      <c r="I1135"/>
      <c r="J1135"/>
      <c r="K1135"/>
      <c r="L1135"/>
      <c r="M1135"/>
      <c r="N1135"/>
      <c r="O1135"/>
      <c r="P1135"/>
      <c r="Q1135"/>
      <c r="R1135"/>
    </row>
    <row r="1136" spans="1:18">
      <c r="A1136"/>
      <c r="B1136"/>
      <c r="C1136"/>
      <c r="D1136"/>
      <c r="E1136"/>
      <c r="F1136"/>
      <c r="G1136"/>
      <c r="H1136"/>
      <c r="I1136"/>
      <c r="J1136"/>
      <c r="K1136"/>
      <c r="L1136"/>
      <c r="M1136"/>
      <c r="N1136"/>
      <c r="O1136"/>
      <c r="P1136"/>
      <c r="Q1136"/>
      <c r="R1136"/>
    </row>
    <row r="1137" spans="1:18">
      <c r="A1137"/>
      <c r="B1137"/>
      <c r="C1137"/>
      <c r="D1137"/>
      <c r="E1137"/>
      <c r="F1137"/>
      <c r="G1137"/>
      <c r="H1137"/>
      <c r="I1137"/>
      <c r="J1137"/>
      <c r="K1137"/>
      <c r="L1137"/>
      <c r="M1137"/>
      <c r="N1137"/>
      <c r="O1137"/>
      <c r="P1137"/>
      <c r="Q1137"/>
      <c r="R1137"/>
    </row>
    <row r="1138" spans="1:18">
      <c r="A1138"/>
      <c r="B1138"/>
      <c r="C1138"/>
      <c r="D1138"/>
      <c r="E1138"/>
      <c r="F1138"/>
      <c r="G1138"/>
      <c r="H1138"/>
      <c r="I1138"/>
      <c r="J1138"/>
      <c r="K1138"/>
      <c r="L1138"/>
      <c r="M1138"/>
      <c r="N1138"/>
      <c r="O1138"/>
      <c r="P1138"/>
      <c r="Q1138"/>
      <c r="R1138"/>
    </row>
    <row r="1139" spans="1:18">
      <c r="A1139"/>
      <c r="B1139"/>
      <c r="C1139"/>
      <c r="D1139"/>
      <c r="E1139"/>
      <c r="F1139"/>
      <c r="G1139"/>
      <c r="H1139"/>
      <c r="I1139"/>
      <c r="J1139"/>
      <c r="K1139"/>
      <c r="L1139"/>
      <c r="M1139"/>
      <c r="N1139"/>
      <c r="O1139"/>
      <c r="P1139"/>
      <c r="Q1139"/>
      <c r="R1139"/>
    </row>
    <row r="1140" spans="1:18">
      <c r="A1140"/>
      <c r="B1140"/>
      <c r="C1140"/>
      <c r="D1140"/>
      <c r="E1140"/>
      <c r="F1140"/>
      <c r="G1140"/>
      <c r="H1140"/>
      <c r="I1140"/>
      <c r="J1140"/>
      <c r="K1140"/>
      <c r="L1140"/>
      <c r="M1140"/>
      <c r="N1140"/>
      <c r="O1140"/>
      <c r="P1140"/>
      <c r="Q1140"/>
      <c r="R1140"/>
    </row>
    <row r="1141" spans="1:18">
      <c r="A1141"/>
      <c r="B1141"/>
      <c r="C1141"/>
      <c r="D1141"/>
      <c r="E1141"/>
      <c r="F1141"/>
      <c r="G1141"/>
      <c r="H1141"/>
      <c r="I1141"/>
      <c r="J1141"/>
      <c r="K1141"/>
      <c r="L1141"/>
      <c r="M1141"/>
      <c r="N1141"/>
      <c r="O1141"/>
      <c r="P1141"/>
      <c r="Q1141"/>
      <c r="R1141"/>
    </row>
    <row r="1142" spans="1:18">
      <c r="A1142"/>
      <c r="B1142"/>
      <c r="C1142"/>
      <c r="D1142"/>
      <c r="E1142"/>
      <c r="F1142"/>
      <c r="G1142"/>
      <c r="H1142"/>
      <c r="I1142"/>
      <c r="J1142"/>
      <c r="K1142"/>
      <c r="L1142"/>
      <c r="M1142"/>
      <c r="N1142"/>
      <c r="O1142"/>
      <c r="P1142"/>
      <c r="Q1142"/>
      <c r="R1142"/>
    </row>
    <row r="1143" spans="1:18">
      <c r="A1143"/>
      <c r="B1143"/>
      <c r="C1143"/>
      <c r="D1143"/>
      <c r="E1143"/>
      <c r="F1143"/>
      <c r="G1143"/>
      <c r="H1143"/>
      <c r="I1143"/>
      <c r="J1143"/>
      <c r="K1143"/>
      <c r="L1143"/>
      <c r="M1143"/>
      <c r="N1143"/>
      <c r="O1143"/>
      <c r="P1143"/>
      <c r="Q1143"/>
      <c r="R1143"/>
    </row>
    <row r="1144" spans="1:18">
      <c r="A1144"/>
      <c r="B1144"/>
      <c r="C1144"/>
      <c r="D1144"/>
      <c r="E1144"/>
      <c r="F1144"/>
      <c r="G1144"/>
      <c r="H1144"/>
      <c r="I1144"/>
      <c r="J1144"/>
      <c r="K1144"/>
      <c r="L1144"/>
      <c r="M1144"/>
      <c r="N1144"/>
      <c r="O1144"/>
      <c r="P1144"/>
      <c r="Q1144"/>
    </row>
    <row r="1145" spans="1:18">
      <c r="A1145"/>
      <c r="B1145"/>
      <c r="C1145"/>
      <c r="D1145"/>
      <c r="E1145"/>
      <c r="F1145"/>
      <c r="G1145"/>
      <c r="H1145"/>
      <c r="I1145"/>
      <c r="J1145"/>
      <c r="K1145"/>
      <c r="L1145"/>
      <c r="M1145"/>
      <c r="N1145"/>
      <c r="O1145"/>
      <c r="P1145"/>
      <c r="Q1145"/>
    </row>
    <row r="1146" spans="1:18">
      <c r="A1146"/>
      <c r="B1146"/>
      <c r="C1146"/>
      <c r="D1146"/>
      <c r="E1146"/>
      <c r="F1146"/>
      <c r="G1146"/>
      <c r="H1146"/>
      <c r="I1146"/>
      <c r="J1146"/>
      <c r="K1146"/>
      <c r="L1146"/>
      <c r="M1146"/>
      <c r="N1146"/>
      <c r="O1146"/>
      <c r="P1146"/>
      <c r="Q1146"/>
    </row>
    <row r="1147" spans="1:18">
      <c r="A1147"/>
      <c r="B1147"/>
      <c r="C1147"/>
      <c r="D1147"/>
      <c r="E1147"/>
      <c r="F1147"/>
      <c r="G1147"/>
      <c r="H1147"/>
      <c r="I1147"/>
      <c r="J1147"/>
      <c r="K1147"/>
      <c r="L1147"/>
    </row>
    <row r="1148" spans="1:18">
      <c r="A1148"/>
      <c r="B1148"/>
      <c r="C1148"/>
      <c r="D1148"/>
      <c r="E1148"/>
      <c r="F1148"/>
      <c r="G1148"/>
      <c r="H1148"/>
      <c r="I1148"/>
      <c r="J1148"/>
      <c r="K1148"/>
      <c r="L1148"/>
    </row>
    <row r="1149" spans="1:18">
      <c r="A1149"/>
      <c r="B1149"/>
      <c r="C1149"/>
      <c r="D1149"/>
      <c r="E1149"/>
      <c r="F1149"/>
      <c r="G1149"/>
      <c r="H1149"/>
      <c r="I1149"/>
      <c r="J1149"/>
      <c r="K1149"/>
      <c r="L1149"/>
    </row>
    <row r="1150" spans="1:18">
      <c r="A1150"/>
      <c r="B1150"/>
      <c r="C1150"/>
      <c r="D1150"/>
      <c r="E1150"/>
      <c r="F1150"/>
      <c r="G1150"/>
      <c r="H1150"/>
      <c r="I1150"/>
      <c r="J1150"/>
      <c r="K1150"/>
      <c r="L1150"/>
    </row>
    <row r="1151" spans="1:18">
      <c r="A1151"/>
      <c r="B1151"/>
      <c r="C1151"/>
      <c r="D1151"/>
      <c r="E1151"/>
      <c r="F1151"/>
      <c r="G1151"/>
      <c r="H1151"/>
      <c r="I1151"/>
      <c r="J1151"/>
      <c r="K1151"/>
      <c r="L1151"/>
    </row>
    <row r="1152" spans="1:18">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c r="H1225"/>
      <c r="I1225"/>
      <c r="J1225"/>
      <c r="K1225"/>
      <c r="L1225"/>
    </row>
    <row r="1226" spans="1:12">
      <c r="A1226"/>
      <c r="B1226"/>
      <c r="C1226"/>
      <c r="D1226"/>
      <c r="E1226"/>
      <c r="F1226"/>
      <c r="G1226"/>
      <c r="H1226"/>
      <c r="I1226"/>
      <c r="J1226"/>
      <c r="K1226"/>
      <c r="L1226"/>
    </row>
    <row r="1227" spans="1:12">
      <c r="A1227"/>
      <c r="B1227"/>
      <c r="C1227"/>
      <c r="D1227"/>
      <c r="E1227"/>
      <c r="F1227"/>
      <c r="G1227"/>
      <c r="H1227"/>
      <c r="I1227"/>
      <c r="J1227"/>
      <c r="K1227"/>
      <c r="L1227"/>
    </row>
    <row r="1228" spans="1:12">
      <c r="A1228"/>
      <c r="B1228"/>
      <c r="C1228"/>
      <c r="D1228"/>
      <c r="E1228"/>
      <c r="F1228"/>
      <c r="G1228"/>
      <c r="H1228"/>
      <c r="I1228"/>
      <c r="J1228"/>
      <c r="K1228"/>
      <c r="L1228"/>
    </row>
    <row r="1229" spans="1:12">
      <c r="A1229"/>
      <c r="B1229"/>
      <c r="C1229"/>
      <c r="D1229"/>
      <c r="E1229"/>
      <c r="F1229"/>
      <c r="G1229"/>
      <c r="H1229"/>
      <c r="I1229"/>
      <c r="J1229"/>
      <c r="K1229"/>
      <c r="L1229"/>
    </row>
    <row r="1230" spans="1:12">
      <c r="A1230"/>
      <c r="B1230"/>
      <c r="C1230"/>
      <c r="D1230"/>
      <c r="E1230"/>
      <c r="F1230"/>
      <c r="G1230"/>
      <c r="H1230"/>
      <c r="I1230"/>
      <c r="J1230"/>
      <c r="K1230"/>
      <c r="L1230"/>
    </row>
    <row r="1231" spans="1:12">
      <c r="A1231"/>
      <c r="B1231"/>
      <c r="C1231"/>
      <c r="D1231"/>
      <c r="E1231"/>
      <c r="F1231"/>
      <c r="G1231"/>
      <c r="H1231"/>
      <c r="I1231"/>
      <c r="J1231"/>
      <c r="K1231"/>
      <c r="L1231"/>
    </row>
    <row r="1232" spans="1:12">
      <c r="A1232"/>
      <c r="B1232"/>
      <c r="C1232"/>
      <c r="D1232"/>
      <c r="E1232"/>
      <c r="F1232"/>
      <c r="G1232"/>
      <c r="H1232"/>
      <c r="I1232"/>
      <c r="J1232"/>
      <c r="K1232"/>
      <c r="L1232"/>
    </row>
    <row r="1233" spans="1:12">
      <c r="A1233"/>
      <c r="B1233"/>
      <c r="C1233"/>
      <c r="D1233"/>
      <c r="E1233"/>
      <c r="F1233"/>
      <c r="G1233"/>
      <c r="H1233"/>
      <c r="I1233"/>
      <c r="J1233"/>
      <c r="K1233"/>
      <c r="L1233"/>
    </row>
    <row r="1234" spans="1:12">
      <c r="A1234"/>
      <c r="B1234"/>
      <c r="C1234"/>
      <c r="D1234"/>
      <c r="E1234"/>
      <c r="F1234"/>
      <c r="G1234"/>
      <c r="H1234"/>
      <c r="I1234"/>
      <c r="J1234"/>
      <c r="K1234"/>
      <c r="L1234"/>
    </row>
    <row r="1235" spans="1:12">
      <c r="A1235"/>
      <c r="B1235"/>
      <c r="C1235"/>
      <c r="D1235"/>
      <c r="E1235"/>
      <c r="F1235"/>
      <c r="G1235"/>
      <c r="H1235"/>
      <c r="I1235"/>
      <c r="J1235"/>
      <c r="K1235"/>
      <c r="L1235"/>
    </row>
    <row r="1236" spans="1:12">
      <c r="A1236"/>
      <c r="B1236"/>
      <c r="C1236"/>
      <c r="D1236"/>
      <c r="E1236"/>
      <c r="F1236"/>
      <c r="G1236"/>
      <c r="H1236"/>
      <c r="I1236"/>
      <c r="J1236"/>
      <c r="K1236"/>
      <c r="L1236"/>
    </row>
    <row r="1237" spans="1:12">
      <c r="A1237"/>
      <c r="B1237"/>
      <c r="C1237"/>
      <c r="D1237"/>
      <c r="E1237"/>
      <c r="F1237"/>
      <c r="G1237"/>
      <c r="H1237"/>
      <c r="I1237"/>
      <c r="J1237"/>
      <c r="K1237"/>
      <c r="L1237"/>
    </row>
    <row r="1238" spans="1:12">
      <c r="A1238"/>
      <c r="B1238"/>
      <c r="C1238"/>
      <c r="D1238"/>
      <c r="E1238"/>
      <c r="F1238"/>
      <c r="G1238"/>
      <c r="H1238"/>
      <c r="I1238"/>
      <c r="J1238"/>
      <c r="K1238"/>
      <c r="L1238"/>
    </row>
    <row r="1239" spans="1:12">
      <c r="A1239"/>
      <c r="B1239"/>
      <c r="C1239"/>
      <c r="D1239"/>
      <c r="E1239"/>
      <c r="F1239"/>
      <c r="G1239"/>
      <c r="H1239"/>
      <c r="I1239"/>
      <c r="J1239"/>
      <c r="K1239"/>
      <c r="L1239"/>
    </row>
    <row r="1240" spans="1:12">
      <c r="A1240"/>
      <c r="B1240"/>
      <c r="C1240"/>
      <c r="D1240"/>
      <c r="E1240"/>
      <c r="F1240"/>
      <c r="G1240"/>
      <c r="H1240"/>
      <c r="I1240"/>
      <c r="J1240"/>
      <c r="K1240"/>
      <c r="L1240"/>
    </row>
    <row r="1241" spans="1:12">
      <c r="A1241"/>
      <c r="B1241"/>
      <c r="C1241"/>
      <c r="D1241"/>
      <c r="E1241"/>
      <c r="F1241"/>
      <c r="G1241"/>
      <c r="H1241"/>
      <c r="I1241"/>
      <c r="J1241"/>
      <c r="K1241"/>
      <c r="L1241"/>
    </row>
    <row r="1242" spans="1:12">
      <c r="A1242"/>
      <c r="B1242"/>
      <c r="C1242"/>
      <c r="D1242"/>
      <c r="E1242"/>
      <c r="F1242"/>
      <c r="G1242"/>
      <c r="H1242"/>
      <c r="I1242"/>
      <c r="J1242"/>
      <c r="K1242"/>
      <c r="L1242"/>
    </row>
    <row r="1243" spans="1:12">
      <c r="A1243"/>
      <c r="B1243"/>
      <c r="C1243"/>
      <c r="D1243"/>
      <c r="E1243"/>
      <c r="F1243"/>
      <c r="G1243"/>
      <c r="H1243"/>
      <c r="I1243"/>
      <c r="J1243"/>
      <c r="K1243"/>
      <c r="L1243"/>
    </row>
    <row r="1244" spans="1:12">
      <c r="A1244"/>
      <c r="B1244"/>
      <c r="C1244"/>
      <c r="D1244"/>
      <c r="E1244"/>
      <c r="F1244"/>
      <c r="G1244"/>
      <c r="H1244"/>
      <c r="I1244"/>
      <c r="J1244"/>
      <c r="K1244"/>
      <c r="L1244"/>
    </row>
    <row r="1245" spans="1:12">
      <c r="A1245"/>
      <c r="B1245"/>
      <c r="C1245"/>
      <c r="D1245"/>
      <c r="E1245"/>
      <c r="F1245"/>
      <c r="G1245"/>
      <c r="H1245"/>
      <c r="I1245"/>
      <c r="J1245"/>
      <c r="K1245"/>
      <c r="L1245"/>
    </row>
    <row r="1246" spans="1:12">
      <c r="A1246"/>
      <c r="B1246"/>
      <c r="C1246"/>
      <c r="D1246"/>
      <c r="E1246"/>
      <c r="F1246"/>
      <c r="G1246"/>
      <c r="H1246"/>
      <c r="I1246"/>
      <c r="J1246"/>
      <c r="K1246"/>
      <c r="L1246"/>
    </row>
    <row r="1247" spans="1:12">
      <c r="A1247"/>
      <c r="B1247"/>
      <c r="C1247"/>
      <c r="D1247"/>
      <c r="E1247"/>
      <c r="F1247"/>
      <c r="G1247"/>
      <c r="H1247"/>
      <c r="I1247"/>
      <c r="J1247"/>
      <c r="K1247"/>
      <c r="L1247"/>
    </row>
    <row r="1248" spans="1:12">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row r="1441" spans="1:7">
      <c r="A1441"/>
      <c r="B1441"/>
      <c r="C1441"/>
      <c r="D1441"/>
      <c r="E1441"/>
      <c r="F1441"/>
      <c r="G1441"/>
    </row>
    <row r="1442" spans="1:7">
      <c r="A1442"/>
      <c r="B1442"/>
      <c r="C1442"/>
      <c r="D1442"/>
      <c r="E1442"/>
      <c r="F1442"/>
      <c r="G1442"/>
    </row>
    <row r="1443" spans="1:7">
      <c r="A1443"/>
      <c r="B1443"/>
      <c r="C1443"/>
      <c r="D1443"/>
      <c r="E1443"/>
      <c r="F1443"/>
      <c r="G1443"/>
    </row>
    <row r="1444" spans="1:7">
      <c r="A1444"/>
      <c r="B1444"/>
      <c r="C1444"/>
      <c r="D1444"/>
      <c r="E1444"/>
      <c r="F1444"/>
      <c r="G1444"/>
    </row>
    <row r="1445" spans="1:7">
      <c r="A1445"/>
      <c r="B1445"/>
      <c r="C1445"/>
      <c r="D1445"/>
      <c r="E1445"/>
      <c r="F1445"/>
      <c r="G1445"/>
    </row>
    <row r="1446" spans="1:7">
      <c r="A1446"/>
      <c r="B1446"/>
      <c r="C1446"/>
      <c r="D1446"/>
      <c r="E1446"/>
      <c r="F1446"/>
      <c r="G1446"/>
    </row>
    <row r="1447" spans="1:7">
      <c r="A1447"/>
      <c r="B1447"/>
      <c r="C1447"/>
      <c r="D1447"/>
      <c r="E1447"/>
      <c r="F1447"/>
      <c r="G1447"/>
    </row>
    <row r="1448" spans="1:7">
      <c r="A1448"/>
      <c r="B1448"/>
      <c r="C1448"/>
      <c r="D1448"/>
      <c r="E1448"/>
      <c r="F1448"/>
      <c r="G1448"/>
    </row>
    <row r="1449" spans="1:7">
      <c r="A1449"/>
      <c r="B1449"/>
      <c r="C1449"/>
      <c r="D1449"/>
      <c r="E1449"/>
      <c r="F1449"/>
      <c r="G1449"/>
    </row>
    <row r="1450" spans="1:7">
      <c r="A1450"/>
      <c r="B1450"/>
      <c r="C1450"/>
      <c r="D1450"/>
      <c r="E1450"/>
      <c r="F1450"/>
      <c r="G1450"/>
    </row>
    <row r="1451" spans="1:7">
      <c r="A1451"/>
      <c r="B1451"/>
      <c r="C1451"/>
      <c r="D1451"/>
      <c r="E1451"/>
      <c r="F1451"/>
      <c r="G1451"/>
    </row>
    <row r="1452" spans="1:7">
      <c r="A1452"/>
      <c r="B1452"/>
      <c r="C1452"/>
      <c r="D1452"/>
      <c r="E1452"/>
      <c r="F1452"/>
      <c r="G1452"/>
    </row>
    <row r="1453" spans="1:7">
      <c r="A1453"/>
      <c r="B1453"/>
      <c r="C1453"/>
      <c r="D1453"/>
      <c r="E1453"/>
      <c r="F1453"/>
      <c r="G1453"/>
    </row>
    <row r="1454" spans="1:7">
      <c r="A1454"/>
      <c r="B1454"/>
      <c r="C1454"/>
      <c r="D1454"/>
      <c r="E1454"/>
      <c r="F1454"/>
      <c r="G1454"/>
    </row>
    <row r="1455" spans="1:7">
      <c r="A1455"/>
      <c r="B1455"/>
      <c r="C1455"/>
      <c r="D1455"/>
      <c r="E1455"/>
      <c r="F1455"/>
      <c r="G1455"/>
    </row>
    <row r="1456" spans="1:7">
      <c r="A1456"/>
      <c r="B1456"/>
      <c r="C1456"/>
      <c r="D1456"/>
      <c r="E1456"/>
      <c r="F1456"/>
      <c r="G1456"/>
    </row>
    <row r="1457" spans="1:7">
      <c r="A1457"/>
      <c r="B1457"/>
      <c r="C1457"/>
      <c r="D1457"/>
      <c r="E1457"/>
      <c r="F1457"/>
      <c r="G1457"/>
    </row>
    <row r="1458" spans="1:7">
      <c r="A1458"/>
      <c r="B1458"/>
      <c r="C1458"/>
      <c r="D1458"/>
      <c r="E1458"/>
      <c r="F1458"/>
      <c r="G1458"/>
    </row>
    <row r="1459" spans="1:7">
      <c r="A1459"/>
      <c r="B1459"/>
      <c r="C1459"/>
      <c r="D1459"/>
      <c r="E1459"/>
      <c r="F1459"/>
      <c r="G1459"/>
    </row>
    <row r="1460" spans="1:7">
      <c r="A1460"/>
      <c r="B1460"/>
      <c r="C1460"/>
      <c r="D1460"/>
      <c r="E1460"/>
      <c r="F1460"/>
      <c r="G1460"/>
    </row>
    <row r="1461" spans="1:7">
      <c r="A1461"/>
      <c r="B1461"/>
      <c r="C1461"/>
      <c r="D1461"/>
      <c r="E1461"/>
      <c r="F1461"/>
      <c r="G1461"/>
    </row>
    <row r="1462" spans="1:7">
      <c r="A1462"/>
      <c r="B1462"/>
      <c r="C1462"/>
      <c r="D1462"/>
      <c r="E1462"/>
      <c r="F1462"/>
      <c r="G1462"/>
    </row>
    <row r="1463" spans="1:7">
      <c r="A1463"/>
      <c r="B1463"/>
      <c r="C1463"/>
      <c r="D1463"/>
      <c r="E1463"/>
      <c r="F1463"/>
      <c r="G1463"/>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52"/>
  <sheetViews>
    <sheetView workbookViewId="0">
      <selection activeCell="O15" sqref="O1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t="s">
        <v>4</v>
      </c>
      <c r="I2">
        <v>21</v>
      </c>
      <c r="J2">
        <v>1</v>
      </c>
      <c r="K2">
        <f>IF(Convert_to_Games[[#This Row],[Total Score]]&gt;9, 1, 0)</f>
        <v>1</v>
      </c>
      <c r="L2">
        <f>IF(Convert_to_Games[[#This Row],[DD]]=0, 0, IF(L1 = "Cons DD", Convert_to_Games[[#This Row],[DD]], L1+L1))</f>
        <v>1</v>
      </c>
    </row>
    <row r="3" spans="1:12">
      <c r="A3" t="s">
        <v>25</v>
      </c>
      <c r="B3">
        <v>256</v>
      </c>
      <c r="C3" t="s">
        <v>116</v>
      </c>
      <c r="D3" s="9">
        <v>46078</v>
      </c>
      <c r="E3">
        <v>266</v>
      </c>
      <c r="F3" t="s">
        <v>11</v>
      </c>
      <c r="G3">
        <v>3</v>
      </c>
      <c r="H3" t="s">
        <v>4</v>
      </c>
      <c r="I3">
        <v>21</v>
      </c>
      <c r="J3">
        <v>1</v>
      </c>
      <c r="K3">
        <f>IF(Convert_to_Games[[#This Row],[Total Score]]&gt;9, 1, 0)</f>
        <v>1</v>
      </c>
      <c r="L3">
        <f>IF(Convert_to_Games[[#This Row],[DD]]=0, 0, IF(L2 = "Cons DD", Convert_to_Games[[#This Row],[DD]], L2+L2))</f>
        <v>2</v>
      </c>
    </row>
    <row r="4" spans="1:12">
      <c r="A4" t="s">
        <v>25</v>
      </c>
      <c r="B4">
        <v>256</v>
      </c>
      <c r="C4" t="s">
        <v>116</v>
      </c>
      <c r="D4" s="9">
        <v>46122</v>
      </c>
      <c r="E4">
        <v>281</v>
      </c>
      <c r="F4" t="s">
        <v>9</v>
      </c>
      <c r="G4">
        <v>4</v>
      </c>
      <c r="H4" t="s">
        <v>4</v>
      </c>
      <c r="I4">
        <v>21</v>
      </c>
      <c r="J4">
        <v>1</v>
      </c>
      <c r="K4">
        <f>IF(Convert_to_Games[[#This Row],[Total Score]]&gt;9, 1, 0)</f>
        <v>1</v>
      </c>
      <c r="L4">
        <f>IF(Convert_to_Games[[#This Row],[DD]]=0, 0, IF(L3 = "Cons DD", Convert_to_Games[[#This Row],[DD]], L3+L3))</f>
        <v>4</v>
      </c>
    </row>
    <row r="5" spans="1:12">
      <c r="A5" t="s">
        <v>25</v>
      </c>
      <c r="B5">
        <v>256</v>
      </c>
      <c r="C5" t="s">
        <v>116</v>
      </c>
      <c r="D5" s="9">
        <v>46058</v>
      </c>
      <c r="E5">
        <v>260</v>
      </c>
      <c r="F5" t="s">
        <v>9</v>
      </c>
      <c r="G5">
        <v>4</v>
      </c>
      <c r="H5" t="s">
        <v>4</v>
      </c>
      <c r="I5">
        <v>20</v>
      </c>
      <c r="J5">
        <v>1</v>
      </c>
      <c r="K5">
        <f>IF(Convert_to_Games[[#This Row],[Total Score]]&gt;9, 1, 0)</f>
        <v>1</v>
      </c>
      <c r="L5">
        <f>IF(Convert_to_Games[[#This Row],[DD]]=0, 0, IF(L4 = "Cons DD", Convert_to_Games[[#This Row],[DD]], L4+L4))</f>
        <v>8</v>
      </c>
    </row>
    <row r="6" spans="1:12">
      <c r="A6" t="s">
        <v>25</v>
      </c>
      <c r="B6">
        <v>256</v>
      </c>
      <c r="C6" t="s">
        <v>116</v>
      </c>
      <c r="D6" s="9">
        <v>46073</v>
      </c>
      <c r="E6">
        <v>264</v>
      </c>
      <c r="F6" t="s">
        <v>11</v>
      </c>
      <c r="G6">
        <v>3</v>
      </c>
      <c r="H6" t="s">
        <v>4</v>
      </c>
      <c r="I6">
        <v>20</v>
      </c>
      <c r="J6">
        <v>1</v>
      </c>
      <c r="K6">
        <f>IF(Convert_to_Games[[#This Row],[Total Score]]&gt;9, 1, 0)</f>
        <v>1</v>
      </c>
      <c r="L6">
        <f>IF(Convert_to_Games[[#This Row],[DD]]=0, 0, IF(L5 = "Cons DD", Convert_to_Games[[#This Row],[DD]], L5+L5))</f>
        <v>16</v>
      </c>
    </row>
    <row r="7" spans="1:12">
      <c r="A7" t="s">
        <v>25</v>
      </c>
      <c r="B7">
        <v>256</v>
      </c>
      <c r="C7" t="s">
        <v>116</v>
      </c>
      <c r="D7" s="9">
        <v>46127</v>
      </c>
      <c r="E7">
        <v>282</v>
      </c>
      <c r="F7" t="s">
        <v>11</v>
      </c>
      <c r="G7">
        <v>4</v>
      </c>
      <c r="H7" t="s">
        <v>4</v>
      </c>
      <c r="I7">
        <v>20</v>
      </c>
      <c r="J7">
        <v>1</v>
      </c>
      <c r="K7">
        <f>IF(Convert_to_Games[[#This Row],[Total Score]]&gt;9, 1, 0)</f>
        <v>1</v>
      </c>
      <c r="L7">
        <f>IF(Convert_to_Games[[#This Row],[DD]]=0, 0, IF(L6 = "Cons DD", Convert_to_Games[[#This Row],[DD]], L6+L6))</f>
        <v>32</v>
      </c>
    </row>
    <row r="8" spans="1:12">
      <c r="A8" t="s">
        <v>25</v>
      </c>
      <c r="B8">
        <v>256</v>
      </c>
      <c r="C8" t="s">
        <v>116</v>
      </c>
      <c r="D8" s="9">
        <v>46132</v>
      </c>
      <c r="E8">
        <v>283</v>
      </c>
      <c r="F8" t="s">
        <v>11</v>
      </c>
      <c r="G8">
        <v>4</v>
      </c>
      <c r="H8" t="s">
        <v>4</v>
      </c>
      <c r="I8">
        <v>20</v>
      </c>
      <c r="J8">
        <v>1</v>
      </c>
      <c r="K8">
        <f>IF(Convert_to_Games[[#This Row],[Total Score]]&gt;9, 1, 0)</f>
        <v>1</v>
      </c>
      <c r="L8">
        <f>IF(Convert_to_Games[[#This Row],[DD]]=0, 0, IF(L7 = "Cons DD", Convert_to_Games[[#This Row],[DD]], L7+L7))</f>
        <v>64</v>
      </c>
    </row>
    <row r="9" spans="1:12">
      <c r="A9" t="s">
        <v>25</v>
      </c>
      <c r="B9">
        <v>256</v>
      </c>
      <c r="C9" t="s">
        <v>116</v>
      </c>
      <c r="D9" s="9">
        <v>45881</v>
      </c>
      <c r="E9">
        <v>202</v>
      </c>
      <c r="F9" t="s">
        <v>13</v>
      </c>
      <c r="G9">
        <v>3</v>
      </c>
      <c r="H9" t="s">
        <v>4</v>
      </c>
      <c r="I9">
        <v>19</v>
      </c>
      <c r="J9">
        <v>1</v>
      </c>
      <c r="K9">
        <f>IF(Convert_to_Games[[#This Row],[Total Score]]&gt;9, 1, 0)</f>
        <v>1</v>
      </c>
      <c r="L9">
        <f>IF(Convert_to_Games[[#This Row],[DD]]=0, 0, IF(L8 = "Cons DD", Convert_to_Games[[#This Row],[DD]], L8+L8))</f>
        <v>128</v>
      </c>
    </row>
    <row r="10" spans="1:12">
      <c r="A10" t="s">
        <v>25</v>
      </c>
      <c r="B10">
        <v>256</v>
      </c>
      <c r="C10" t="s">
        <v>116</v>
      </c>
      <c r="D10" s="9">
        <v>45961</v>
      </c>
      <c r="E10">
        <v>238</v>
      </c>
      <c r="F10" t="s">
        <v>9</v>
      </c>
      <c r="G10">
        <v>3</v>
      </c>
      <c r="H10" t="s">
        <v>4</v>
      </c>
      <c r="I10">
        <v>19</v>
      </c>
      <c r="J10">
        <v>1</v>
      </c>
      <c r="K10">
        <f>IF(Convert_to_Games[[#This Row],[Total Score]]&gt;9, 1, 0)</f>
        <v>1</v>
      </c>
      <c r="L10">
        <f>IF(Convert_to_Games[[#This Row],[DD]]=0, 0, IF(L9 = "Cons DD", Convert_to_Games[[#This Row],[DD]], L9+L9))</f>
        <v>256</v>
      </c>
    </row>
    <row r="11" spans="1:12">
      <c r="A11" t="s">
        <v>25</v>
      </c>
      <c r="B11">
        <v>256</v>
      </c>
      <c r="C11" t="s">
        <v>116</v>
      </c>
      <c r="D11" s="9">
        <v>45979</v>
      </c>
      <c r="E11">
        <v>241</v>
      </c>
      <c r="F11" t="s">
        <v>118</v>
      </c>
      <c r="G11">
        <v>3</v>
      </c>
      <c r="H11" t="s">
        <v>4</v>
      </c>
      <c r="I11">
        <v>19</v>
      </c>
      <c r="J11">
        <v>1</v>
      </c>
      <c r="K11">
        <f>IF(Convert_to_Games[[#This Row],[Total Score]]&gt;9, 1, 0)</f>
        <v>1</v>
      </c>
      <c r="L11">
        <f>IF(Convert_to_Games[[#This Row],[DD]]=0, 0, IF(L10 = "Cons DD", Convert_to_Games[[#This Row],[DD]], L10+L10))</f>
        <v>512</v>
      </c>
    </row>
    <row r="12" spans="1:12">
      <c r="A12" t="s">
        <v>25</v>
      </c>
      <c r="B12">
        <v>256</v>
      </c>
      <c r="C12" t="s">
        <v>116</v>
      </c>
      <c r="D12" s="9">
        <v>46034</v>
      </c>
      <c r="E12">
        <v>253</v>
      </c>
      <c r="F12" t="s">
        <v>9</v>
      </c>
      <c r="G12">
        <v>3</v>
      </c>
      <c r="H12" t="s">
        <v>4</v>
      </c>
      <c r="I12">
        <v>19</v>
      </c>
      <c r="J12">
        <v>1</v>
      </c>
      <c r="K12">
        <f>IF(Convert_to_Games[[#This Row],[Total Score]]&gt;9, 1, 0)</f>
        <v>1</v>
      </c>
      <c r="L12">
        <f>IF(Convert_to_Games[[#This Row],[DD]]=0, 0, IF(L11 = "Cons DD", Convert_to_Games[[#This Row],[DD]], L11+L11))</f>
        <v>1024</v>
      </c>
    </row>
    <row r="13" spans="1:12">
      <c r="A13" t="s">
        <v>25</v>
      </c>
      <c r="B13">
        <v>256</v>
      </c>
      <c r="C13" t="s">
        <v>116</v>
      </c>
      <c r="D13" s="9">
        <v>46044</v>
      </c>
      <c r="E13">
        <v>256</v>
      </c>
      <c r="F13" t="s">
        <v>9</v>
      </c>
      <c r="G13">
        <v>4</v>
      </c>
      <c r="H13" t="s">
        <v>5</v>
      </c>
      <c r="I13">
        <v>19</v>
      </c>
      <c r="J13">
        <v>1</v>
      </c>
      <c r="K13">
        <f>IF(Convert_to_Games[[#This Row],[Total Score]]&gt;9, 1, 0)</f>
        <v>1</v>
      </c>
      <c r="L13">
        <f>IF(Convert_to_Games[[#This Row],[DD]]=0, 0, IF(L12 = "Cons DD", Convert_to_Games[[#This Row],[DD]], L12+L12))</f>
        <v>2048</v>
      </c>
    </row>
    <row r="14" spans="1:12">
      <c r="A14" t="s">
        <v>25</v>
      </c>
      <c r="B14">
        <v>256</v>
      </c>
      <c r="C14" t="s">
        <v>116</v>
      </c>
      <c r="D14" s="9">
        <v>46094</v>
      </c>
      <c r="E14">
        <v>275</v>
      </c>
      <c r="F14" t="s">
        <v>11</v>
      </c>
      <c r="G14">
        <v>4</v>
      </c>
      <c r="H14" t="s">
        <v>4</v>
      </c>
      <c r="I14">
        <v>19</v>
      </c>
      <c r="J14">
        <v>1</v>
      </c>
      <c r="K14">
        <f>IF(Convert_to_Games[[#This Row],[Total Score]]&gt;9, 1, 0)</f>
        <v>1</v>
      </c>
      <c r="L14">
        <f>IF(Convert_to_Games[[#This Row],[DD]]=0, 0, IF(L13 = "Cons DD", Convert_to_Games[[#This Row],[DD]], L13+L13))</f>
        <v>4096</v>
      </c>
    </row>
    <row r="15" spans="1:12">
      <c r="A15" t="s">
        <v>25</v>
      </c>
      <c r="B15" t="s">
        <v>20</v>
      </c>
      <c r="C15" t="s">
        <v>116</v>
      </c>
      <c r="D15" s="9">
        <v>45875</v>
      </c>
      <c r="E15">
        <v>197</v>
      </c>
      <c r="F15" t="s">
        <v>11</v>
      </c>
      <c r="G15">
        <v>3</v>
      </c>
      <c r="H15" t="s">
        <v>4</v>
      </c>
      <c r="I15">
        <v>18</v>
      </c>
      <c r="J15">
        <v>1</v>
      </c>
      <c r="K15">
        <f>IF(Convert_to_Games[[#This Row],[Total Score]]&gt;9, 1, 0)</f>
        <v>1</v>
      </c>
      <c r="L15">
        <f>IF(Convert_to_Games[[#This Row],[DD]]=0, 0, IF(L14 = "Cons DD", Convert_to_Games[[#This Row],[DD]], L14+L14))</f>
        <v>8192</v>
      </c>
    </row>
    <row r="16" spans="1:12">
      <c r="A16" t="s">
        <v>25</v>
      </c>
      <c r="B16">
        <v>256</v>
      </c>
      <c r="C16" t="s">
        <v>116</v>
      </c>
      <c r="D16" s="9">
        <v>45881</v>
      </c>
      <c r="E16">
        <v>203</v>
      </c>
      <c r="F16" t="s">
        <v>117</v>
      </c>
      <c r="G16">
        <v>3</v>
      </c>
      <c r="H16" t="s">
        <v>4</v>
      </c>
      <c r="I16">
        <v>18</v>
      </c>
      <c r="J16">
        <v>1</v>
      </c>
      <c r="K16">
        <f>IF(Convert_to_Games[[#This Row],[Total Score]]&gt;9, 1, 0)</f>
        <v>1</v>
      </c>
      <c r="L16">
        <f>IF(Convert_to_Games[[#This Row],[DD]]=0, 0, IF(L15 = "Cons DD", Convert_to_Games[[#This Row],[DD]], L15+L15))</f>
        <v>16384</v>
      </c>
    </row>
    <row r="17" spans="1:12">
      <c r="A17" t="s">
        <v>25</v>
      </c>
      <c r="B17">
        <v>256</v>
      </c>
      <c r="C17" t="s">
        <v>116</v>
      </c>
      <c r="D17" s="9">
        <v>45882</v>
      </c>
      <c r="E17">
        <v>204</v>
      </c>
      <c r="F17" t="s">
        <v>11</v>
      </c>
      <c r="G17">
        <v>4</v>
      </c>
      <c r="H17" t="s">
        <v>4</v>
      </c>
      <c r="I17">
        <v>18</v>
      </c>
      <c r="J17">
        <v>1</v>
      </c>
      <c r="K17">
        <f>IF(Convert_to_Games[[#This Row],[Total Score]]&gt;9, 1, 0)</f>
        <v>1</v>
      </c>
      <c r="L17">
        <f>IF(Convert_to_Games[[#This Row],[DD]]=0, 0, IF(L16 = "Cons DD", Convert_to_Games[[#This Row],[DD]], L16+L16))</f>
        <v>32768</v>
      </c>
    </row>
    <row r="18" spans="1:12">
      <c r="A18" t="s">
        <v>25</v>
      </c>
      <c r="B18">
        <v>256</v>
      </c>
      <c r="C18" t="s">
        <v>116</v>
      </c>
      <c r="D18" s="9">
        <v>45959</v>
      </c>
      <c r="E18">
        <v>237</v>
      </c>
      <c r="F18" t="s">
        <v>11</v>
      </c>
      <c r="G18">
        <v>3</v>
      </c>
      <c r="H18" t="s">
        <v>5</v>
      </c>
      <c r="I18">
        <v>18</v>
      </c>
      <c r="J18">
        <v>1</v>
      </c>
      <c r="K18">
        <f>IF(Convert_to_Games[[#This Row],[Total Score]]&gt;9, 1, 0)</f>
        <v>1</v>
      </c>
      <c r="L18">
        <f>IF(Convert_to_Games[[#This Row],[DD]]=0, 0, IF(L17 = "Cons DD", Convert_to_Games[[#This Row],[DD]], L17+L17))</f>
        <v>65536</v>
      </c>
    </row>
    <row r="19" spans="1:12">
      <c r="A19" t="s">
        <v>25</v>
      </c>
      <c r="B19">
        <v>256</v>
      </c>
      <c r="C19" t="s">
        <v>116</v>
      </c>
      <c r="D19" s="9">
        <v>45992</v>
      </c>
      <c r="E19">
        <v>244</v>
      </c>
      <c r="F19" t="s">
        <v>11</v>
      </c>
      <c r="G19">
        <v>5</v>
      </c>
      <c r="H19" t="s">
        <v>5</v>
      </c>
      <c r="I19">
        <v>18</v>
      </c>
      <c r="J19">
        <v>1</v>
      </c>
      <c r="K19">
        <f>IF(Convert_to_Games[[#This Row],[Total Score]]&gt;9, 1, 0)</f>
        <v>1</v>
      </c>
      <c r="L19">
        <f>IF(Convert_to_Games[[#This Row],[DD]]=0, 0, IF(L18 = "Cons DD", Convert_to_Games[[#This Row],[DD]], L18+L18))</f>
        <v>131072</v>
      </c>
    </row>
    <row r="20" spans="1:12">
      <c r="A20" t="s">
        <v>25</v>
      </c>
      <c r="B20">
        <v>256</v>
      </c>
      <c r="C20" t="s">
        <v>116</v>
      </c>
      <c r="D20" s="9">
        <v>46036</v>
      </c>
      <c r="E20">
        <v>255</v>
      </c>
      <c r="F20" t="s">
        <v>11</v>
      </c>
      <c r="G20">
        <v>3</v>
      </c>
      <c r="H20" t="s">
        <v>4</v>
      </c>
      <c r="I20">
        <v>18</v>
      </c>
      <c r="J20">
        <v>1</v>
      </c>
      <c r="K20">
        <f>IF(Convert_to_Games[[#This Row],[Total Score]]&gt;9, 1, 0)</f>
        <v>1</v>
      </c>
      <c r="L20">
        <f>IF(Convert_to_Games[[#This Row],[DD]]=0, 0, IF(L19 = "Cons DD", Convert_to_Games[[#This Row],[DD]], L19+L19))</f>
        <v>262144</v>
      </c>
    </row>
    <row r="21" spans="1:12">
      <c r="A21" t="s">
        <v>25</v>
      </c>
      <c r="B21">
        <v>256</v>
      </c>
      <c r="C21" t="s">
        <v>116</v>
      </c>
      <c r="D21" s="9">
        <v>46059</v>
      </c>
      <c r="E21">
        <v>261</v>
      </c>
      <c r="F21" t="s">
        <v>9</v>
      </c>
      <c r="G21">
        <v>3</v>
      </c>
      <c r="H21" t="s">
        <v>4</v>
      </c>
      <c r="I21">
        <v>18</v>
      </c>
      <c r="J21">
        <v>1</v>
      </c>
      <c r="K21">
        <f>IF(Convert_to_Games[[#This Row],[Total Score]]&gt;9, 1, 0)</f>
        <v>1</v>
      </c>
      <c r="L21">
        <f>IF(Convert_to_Games[[#This Row],[DD]]=0, 0, IF(L20 = "Cons DD", Convert_to_Games[[#This Row],[DD]], L20+L20))</f>
        <v>524288</v>
      </c>
    </row>
    <row r="22" spans="1:12">
      <c r="A22" t="s">
        <v>25</v>
      </c>
      <c r="B22">
        <v>256</v>
      </c>
      <c r="C22" t="s">
        <v>116</v>
      </c>
      <c r="D22" s="9">
        <v>46091</v>
      </c>
      <c r="E22">
        <v>272</v>
      </c>
      <c r="F22" t="s">
        <v>9</v>
      </c>
      <c r="G22">
        <v>3</v>
      </c>
      <c r="H22" t="s">
        <v>4</v>
      </c>
      <c r="I22">
        <v>18</v>
      </c>
      <c r="J22">
        <v>1</v>
      </c>
      <c r="K22">
        <f>IF(Convert_to_Games[[#This Row],[Total Score]]&gt;9, 1, 0)</f>
        <v>1</v>
      </c>
      <c r="L22">
        <f>IF(Convert_to_Games[[#This Row],[DD]]=0, 0, IF(L21 = "Cons DD", Convert_to_Games[[#This Row],[DD]], L21+L21))</f>
        <v>1048576</v>
      </c>
    </row>
    <row r="23" spans="1:12">
      <c r="A23" t="s">
        <v>25</v>
      </c>
      <c r="B23">
        <v>256</v>
      </c>
      <c r="C23" t="s">
        <v>116</v>
      </c>
      <c r="D23" s="9">
        <v>46093</v>
      </c>
      <c r="E23">
        <v>274</v>
      </c>
      <c r="F23" t="s">
        <v>9</v>
      </c>
      <c r="G23">
        <v>4</v>
      </c>
      <c r="H23" t="s">
        <v>4</v>
      </c>
      <c r="I23">
        <v>18</v>
      </c>
      <c r="J23">
        <v>1</v>
      </c>
      <c r="K23">
        <f>IF(Convert_to_Games[[#This Row],[Total Score]]&gt;9, 1, 0)</f>
        <v>1</v>
      </c>
      <c r="L23">
        <f>IF(Convert_to_Games[[#This Row],[DD]]=0, 0, IF(L22 = "Cons DD", Convert_to_Games[[#This Row],[DD]], L22+L22))</f>
        <v>2097152</v>
      </c>
    </row>
    <row r="24" spans="1:12">
      <c r="A24" t="s">
        <v>25</v>
      </c>
      <c r="B24">
        <v>256</v>
      </c>
      <c r="C24" t="s">
        <v>116</v>
      </c>
      <c r="D24" s="9">
        <v>46114</v>
      </c>
      <c r="E24">
        <v>279</v>
      </c>
      <c r="F24" t="s">
        <v>9</v>
      </c>
      <c r="G24">
        <v>4</v>
      </c>
      <c r="H24" t="s">
        <v>4</v>
      </c>
      <c r="I24">
        <v>18</v>
      </c>
      <c r="J24">
        <v>1</v>
      </c>
      <c r="K24">
        <f>IF(Convert_to_Games[[#This Row],[Total Score]]&gt;9, 1, 0)</f>
        <v>1</v>
      </c>
      <c r="L24">
        <f>IF(Convert_to_Games[[#This Row],[DD]]=0, 0, IF(L23 = "Cons DD", Convert_to_Games[[#This Row],[DD]], L23+L23))</f>
        <v>4194304</v>
      </c>
    </row>
    <row r="25" spans="1:12">
      <c r="A25" t="s">
        <v>25</v>
      </c>
      <c r="B25">
        <v>256</v>
      </c>
      <c r="C25" t="s">
        <v>116</v>
      </c>
      <c r="D25" s="9">
        <v>46121</v>
      </c>
      <c r="E25">
        <v>280</v>
      </c>
      <c r="F25" t="s">
        <v>11</v>
      </c>
      <c r="G25">
        <v>4</v>
      </c>
      <c r="H25" t="s">
        <v>4</v>
      </c>
      <c r="I25">
        <v>18</v>
      </c>
      <c r="J25">
        <v>1</v>
      </c>
      <c r="K25">
        <f>IF(Convert_to_Games[[#This Row],[Total Score]]&gt;9, 1, 0)</f>
        <v>1</v>
      </c>
      <c r="L25">
        <f>IF(Convert_to_Games[[#This Row],[DD]]=0, 0, IF(L24 = "Cons DD", Convert_to_Games[[#This Row],[DD]], L24+L24))</f>
        <v>8388608</v>
      </c>
    </row>
    <row r="26" spans="1:12">
      <c r="A26" t="s">
        <v>25</v>
      </c>
      <c r="B26" t="s">
        <v>20</v>
      </c>
      <c r="C26" t="s">
        <v>16</v>
      </c>
      <c r="D26" s="9">
        <v>45840</v>
      </c>
      <c r="E26">
        <v>144</v>
      </c>
      <c r="F26" t="s">
        <v>8</v>
      </c>
      <c r="G26">
        <v>3</v>
      </c>
      <c r="H26" t="s">
        <v>4</v>
      </c>
      <c r="I26">
        <v>17</v>
      </c>
      <c r="J26">
        <v>1</v>
      </c>
      <c r="K26">
        <f>IF(Convert_to_Games[[#This Row],[Total Score]]&gt;9, 1, 0)</f>
        <v>1</v>
      </c>
      <c r="L26">
        <f>IF(Convert_to_Games[[#This Row],[DD]]=0, 0, IF(L25 = "Cons DD", Convert_to_Games[[#This Row],[DD]], L25+L25))</f>
        <v>16777216</v>
      </c>
    </row>
    <row r="27" spans="1:12">
      <c r="A27" t="s">
        <v>25</v>
      </c>
      <c r="B27" t="s">
        <v>20</v>
      </c>
      <c r="C27" t="s">
        <v>16</v>
      </c>
      <c r="D27" s="9">
        <v>45846</v>
      </c>
      <c r="E27">
        <v>151</v>
      </c>
      <c r="F27" t="s">
        <v>103</v>
      </c>
      <c r="G27">
        <v>3</v>
      </c>
      <c r="H27" t="s">
        <v>4</v>
      </c>
      <c r="I27">
        <v>17</v>
      </c>
      <c r="J27">
        <v>1</v>
      </c>
      <c r="K27">
        <f>IF(Convert_to_Games[[#This Row],[Total Score]]&gt;9, 1, 0)</f>
        <v>1</v>
      </c>
      <c r="L27">
        <f>IF(Convert_to_Games[[#This Row],[DD]]=0, 0, IF(L26 = "Cons DD", Convert_to_Games[[#This Row],[DD]], L26+L26))</f>
        <v>33554432</v>
      </c>
    </row>
    <row r="28" spans="1:12">
      <c r="A28" t="s">
        <v>25</v>
      </c>
      <c r="B28">
        <v>256</v>
      </c>
      <c r="C28" t="s">
        <v>116</v>
      </c>
      <c r="D28" s="9">
        <v>45896</v>
      </c>
      <c r="E28">
        <v>211</v>
      </c>
      <c r="F28" t="s">
        <v>24</v>
      </c>
      <c r="G28">
        <v>3</v>
      </c>
      <c r="H28" t="s">
        <v>4</v>
      </c>
      <c r="I28">
        <v>17</v>
      </c>
      <c r="J28">
        <v>1</v>
      </c>
      <c r="K28">
        <f>IF(Convert_to_Games[[#This Row],[Total Score]]&gt;9, 1, 0)</f>
        <v>1</v>
      </c>
      <c r="L28">
        <f>IF(Convert_to_Games[[#This Row],[DD]]=0, 0, IF(L27 = "Cons DD", Convert_to_Games[[#This Row],[DD]], L27+L27))</f>
        <v>67108864</v>
      </c>
    </row>
    <row r="29" spans="1:12">
      <c r="A29" t="s">
        <v>25</v>
      </c>
      <c r="B29">
        <v>256</v>
      </c>
      <c r="C29" t="s">
        <v>116</v>
      </c>
      <c r="D29" s="9">
        <v>45904</v>
      </c>
      <c r="E29">
        <v>216</v>
      </c>
      <c r="F29" t="s">
        <v>11</v>
      </c>
      <c r="G29">
        <v>3</v>
      </c>
      <c r="H29" t="s">
        <v>4</v>
      </c>
      <c r="I29">
        <v>17</v>
      </c>
      <c r="J29">
        <v>1</v>
      </c>
      <c r="K29">
        <f>IF(Convert_to_Games[[#This Row],[Total Score]]&gt;9, 1, 0)</f>
        <v>1</v>
      </c>
      <c r="L29">
        <f>IF(Convert_to_Games[[#This Row],[DD]]=0, 0, IF(L28 = "Cons DD", Convert_to_Games[[#This Row],[DD]], L28+L28))</f>
        <v>134217728</v>
      </c>
    </row>
    <row r="30" spans="1:12">
      <c r="A30" t="s">
        <v>25</v>
      </c>
      <c r="B30">
        <v>256</v>
      </c>
      <c r="C30" t="s">
        <v>116</v>
      </c>
      <c r="D30" s="9">
        <v>46080</v>
      </c>
      <c r="E30">
        <v>267</v>
      </c>
      <c r="F30" t="s">
        <v>9</v>
      </c>
      <c r="G30">
        <v>3</v>
      </c>
      <c r="H30" t="s">
        <v>4</v>
      </c>
      <c r="I30">
        <v>17</v>
      </c>
      <c r="J30">
        <v>1</v>
      </c>
      <c r="K30">
        <f>IF(Convert_to_Games[[#This Row],[Total Score]]&gt;9, 1, 0)</f>
        <v>1</v>
      </c>
      <c r="L30">
        <f>IF(Convert_to_Games[[#This Row],[DD]]=0, 0, IF(L29 = "Cons DD", Convert_to_Games[[#This Row],[DD]], L29+L29))</f>
        <v>268435456</v>
      </c>
    </row>
    <row r="31" spans="1:12">
      <c r="A31" t="s">
        <v>25</v>
      </c>
      <c r="B31">
        <v>256</v>
      </c>
      <c r="C31" t="s">
        <v>116</v>
      </c>
      <c r="D31" s="9">
        <v>46092</v>
      </c>
      <c r="E31">
        <v>273</v>
      </c>
      <c r="F31" t="s">
        <v>8</v>
      </c>
      <c r="G31">
        <v>4</v>
      </c>
      <c r="H31" t="s">
        <v>4</v>
      </c>
      <c r="I31">
        <v>17</v>
      </c>
      <c r="J31">
        <v>1</v>
      </c>
      <c r="K31">
        <f>IF(Convert_to_Games[[#This Row],[Total Score]]&gt;9, 1, 0)</f>
        <v>1</v>
      </c>
      <c r="L31">
        <f>IF(Convert_to_Games[[#This Row],[DD]]=0, 0, IF(L30 = "Cons DD", Convert_to_Games[[#This Row],[DD]], L30+L30))</f>
        <v>536870912</v>
      </c>
    </row>
    <row r="32" spans="1:12">
      <c r="A32" t="s">
        <v>25</v>
      </c>
      <c r="B32">
        <v>256</v>
      </c>
      <c r="C32" t="s">
        <v>116</v>
      </c>
      <c r="D32" s="9">
        <v>46106</v>
      </c>
      <c r="E32">
        <v>277</v>
      </c>
      <c r="F32" t="s">
        <v>11</v>
      </c>
      <c r="G32">
        <v>4</v>
      </c>
      <c r="H32" t="s">
        <v>4</v>
      </c>
      <c r="I32">
        <v>17</v>
      </c>
      <c r="J32">
        <v>1</v>
      </c>
      <c r="K32">
        <f>IF(Convert_to_Games[[#This Row],[Total Score]]&gt;9, 1, 0)</f>
        <v>1</v>
      </c>
      <c r="L32">
        <f>IF(Convert_to_Games[[#This Row],[DD]]=0, 0, IF(L31 = "Cons DD", Convert_to_Games[[#This Row],[DD]], L31+L31))</f>
        <v>1073741824</v>
      </c>
    </row>
    <row r="33" spans="1:12">
      <c r="A33" t="s">
        <v>25</v>
      </c>
      <c r="B33">
        <v>256</v>
      </c>
      <c r="C33" t="s">
        <v>116</v>
      </c>
      <c r="D33" s="9">
        <v>46154</v>
      </c>
      <c r="E33">
        <v>285</v>
      </c>
      <c r="F33" t="s">
        <v>11</v>
      </c>
      <c r="G33">
        <v>4</v>
      </c>
      <c r="H33" t="s">
        <v>4</v>
      </c>
      <c r="I33">
        <v>17</v>
      </c>
      <c r="J33">
        <v>1</v>
      </c>
      <c r="K33">
        <f>IF(Convert_to_Games[[#This Row],[Total Score]]&gt;9, 1, 0)</f>
        <v>1</v>
      </c>
      <c r="L33">
        <f>IF(Convert_to_Games[[#This Row],[DD]]=0, 0, IF(L32 = "Cons DD", Convert_to_Games[[#This Row],[DD]], L32+L32))</f>
        <v>2147483648</v>
      </c>
    </row>
    <row r="34" spans="1:12">
      <c r="A34" t="s">
        <v>25</v>
      </c>
      <c r="B34" t="s">
        <v>20</v>
      </c>
      <c r="C34" t="s">
        <v>18</v>
      </c>
      <c r="D34" s="9">
        <v>45707</v>
      </c>
      <c r="E34">
        <v>2</v>
      </c>
      <c r="F34" t="s">
        <v>9</v>
      </c>
      <c r="G34">
        <v>3</v>
      </c>
      <c r="H34" t="s">
        <v>4</v>
      </c>
      <c r="I34">
        <v>16</v>
      </c>
      <c r="J34">
        <v>1</v>
      </c>
      <c r="K34">
        <f>IF(Convert_to_Games[[#This Row],[Total Score]]&gt;9, 1, 0)</f>
        <v>1</v>
      </c>
      <c r="L34">
        <f>IF(Convert_to_Games[[#This Row],[DD]]=0, 0, IF(L33 = "Cons DD", Convert_to_Games[[#This Row],[DD]], L33+L33))</f>
        <v>4294967296</v>
      </c>
    </row>
    <row r="35" spans="1:12">
      <c r="A35" t="s">
        <v>25</v>
      </c>
      <c r="B35" t="s">
        <v>20</v>
      </c>
      <c r="C35" t="s">
        <v>16</v>
      </c>
      <c r="D35" s="9">
        <v>45835</v>
      </c>
      <c r="E35">
        <v>135</v>
      </c>
      <c r="F35" t="s">
        <v>11</v>
      </c>
      <c r="G35">
        <v>3</v>
      </c>
      <c r="H35" t="s">
        <v>4</v>
      </c>
      <c r="I35">
        <v>16</v>
      </c>
      <c r="J35">
        <v>1</v>
      </c>
      <c r="K35">
        <f>IF(Convert_to_Games[[#This Row],[Total Score]]&gt;9, 1, 0)</f>
        <v>1</v>
      </c>
      <c r="L35">
        <f>IF(Convert_to_Games[[#This Row],[DD]]=0, 0, IF(L34 = "Cons DD", Convert_to_Games[[#This Row],[DD]], L34+L34))</f>
        <v>8589934592</v>
      </c>
    </row>
    <row r="36" spans="1:12">
      <c r="A36" t="s">
        <v>25</v>
      </c>
      <c r="B36" t="s">
        <v>20</v>
      </c>
      <c r="C36" t="s">
        <v>116</v>
      </c>
      <c r="D36" s="9">
        <v>45869</v>
      </c>
      <c r="E36">
        <v>189</v>
      </c>
      <c r="F36" t="s">
        <v>9</v>
      </c>
      <c r="G36">
        <v>3</v>
      </c>
      <c r="H36" t="s">
        <v>4</v>
      </c>
      <c r="I36">
        <v>16</v>
      </c>
      <c r="J36">
        <v>1</v>
      </c>
      <c r="K36">
        <f>IF(Convert_to_Games[[#This Row],[Total Score]]&gt;9, 1, 0)</f>
        <v>1</v>
      </c>
      <c r="L36">
        <f>IF(Convert_to_Games[[#This Row],[DD]]=0, 0, IF(L35 = "Cons DD", Convert_to_Games[[#This Row],[DD]], L35+L35))</f>
        <v>17179869184</v>
      </c>
    </row>
    <row r="37" spans="1:12">
      <c r="A37" t="s">
        <v>25</v>
      </c>
      <c r="B37" t="s">
        <v>20</v>
      </c>
      <c r="C37" t="s">
        <v>116</v>
      </c>
      <c r="D37" s="9">
        <v>45875</v>
      </c>
      <c r="E37">
        <v>198</v>
      </c>
      <c r="F37" t="s">
        <v>9</v>
      </c>
      <c r="G37">
        <v>3</v>
      </c>
      <c r="H37" t="s">
        <v>5</v>
      </c>
      <c r="I37">
        <v>16</v>
      </c>
      <c r="J37">
        <v>1</v>
      </c>
      <c r="K37">
        <f>IF(Convert_to_Games[[#This Row],[Total Score]]&gt;9, 1, 0)</f>
        <v>1</v>
      </c>
      <c r="L37">
        <f>IF(Convert_to_Games[[#This Row],[DD]]=0, 0, IF(L36 = "Cons DD", Convert_to_Games[[#This Row],[DD]], L36+L36))</f>
        <v>34359738368</v>
      </c>
    </row>
    <row r="38" spans="1:12">
      <c r="A38" t="s">
        <v>25</v>
      </c>
      <c r="B38">
        <v>256</v>
      </c>
      <c r="C38" t="s">
        <v>116</v>
      </c>
      <c r="D38" s="9">
        <v>45915</v>
      </c>
      <c r="E38">
        <v>219</v>
      </c>
      <c r="F38" t="s">
        <v>9</v>
      </c>
      <c r="G38">
        <v>3</v>
      </c>
      <c r="H38" t="s">
        <v>4</v>
      </c>
      <c r="I38">
        <v>16</v>
      </c>
      <c r="J38">
        <v>1</v>
      </c>
      <c r="K38">
        <f>IF(Convert_to_Games[[#This Row],[Total Score]]&gt;9, 1, 0)</f>
        <v>1</v>
      </c>
      <c r="L38">
        <f>IF(Convert_to_Games[[#This Row],[DD]]=0, 0, IF(L37 = "Cons DD", Convert_to_Games[[#This Row],[DD]], L37+L37))</f>
        <v>68719476736</v>
      </c>
    </row>
    <row r="39" spans="1:12">
      <c r="A39" t="s">
        <v>25</v>
      </c>
      <c r="B39">
        <v>256</v>
      </c>
      <c r="C39" t="s">
        <v>116</v>
      </c>
      <c r="D39" s="9">
        <v>45940</v>
      </c>
      <c r="E39">
        <v>231</v>
      </c>
      <c r="F39" t="s">
        <v>11</v>
      </c>
      <c r="G39">
        <v>3</v>
      </c>
      <c r="H39" t="s">
        <v>4</v>
      </c>
      <c r="I39">
        <v>16</v>
      </c>
      <c r="J39">
        <v>1</v>
      </c>
      <c r="K39">
        <f>IF(Convert_to_Games[[#This Row],[Total Score]]&gt;9, 1, 0)</f>
        <v>1</v>
      </c>
      <c r="L39">
        <f>IF(Convert_to_Games[[#This Row],[DD]]=0, 0, IF(L38 = "Cons DD", Convert_to_Games[[#This Row],[DD]], L38+L38))</f>
        <v>137438953472</v>
      </c>
    </row>
    <row r="40" spans="1:12">
      <c r="A40" t="s">
        <v>25</v>
      </c>
      <c r="B40">
        <v>256</v>
      </c>
      <c r="C40" t="s">
        <v>116</v>
      </c>
      <c r="D40" s="9">
        <v>45999</v>
      </c>
      <c r="E40">
        <v>250</v>
      </c>
      <c r="F40" t="s">
        <v>10</v>
      </c>
      <c r="G40">
        <v>4</v>
      </c>
      <c r="H40" t="s">
        <v>5</v>
      </c>
      <c r="I40">
        <v>16</v>
      </c>
      <c r="J40">
        <v>1</v>
      </c>
      <c r="K40">
        <f>IF(Convert_to_Games[[#This Row],[Total Score]]&gt;9, 1, 0)</f>
        <v>1</v>
      </c>
      <c r="L40">
        <f>IF(Convert_to_Games[[#This Row],[DD]]=0, 0, IF(L39 = "Cons DD", Convert_to_Games[[#This Row],[DD]], L39+L39))</f>
        <v>274877906944</v>
      </c>
    </row>
    <row r="41" spans="1:12">
      <c r="A41" t="s">
        <v>25</v>
      </c>
      <c r="B41">
        <v>256</v>
      </c>
      <c r="C41" t="s">
        <v>116</v>
      </c>
      <c r="D41" s="9">
        <v>46078</v>
      </c>
      <c r="E41">
        <v>266</v>
      </c>
      <c r="F41" t="s">
        <v>11</v>
      </c>
      <c r="G41">
        <v>3</v>
      </c>
      <c r="H41" t="s">
        <v>5</v>
      </c>
      <c r="I41">
        <v>16</v>
      </c>
      <c r="J41">
        <v>0</v>
      </c>
      <c r="K41">
        <f>IF(Convert_to_Games[[#This Row],[Total Score]]&gt;9, 1, 0)</f>
        <v>1</v>
      </c>
      <c r="L41">
        <f>IF(Convert_to_Games[[#This Row],[DD]]=0, 0, IF(L40 = "Cons DD", Convert_to_Games[[#This Row],[DD]], L40+L40))</f>
        <v>549755813888</v>
      </c>
    </row>
    <row r="42" spans="1:12">
      <c r="A42" t="s">
        <v>25</v>
      </c>
      <c r="B42" t="s">
        <v>20</v>
      </c>
      <c r="C42" t="s">
        <v>16</v>
      </c>
      <c r="D42" s="9">
        <v>45756</v>
      </c>
      <c r="E42">
        <v>39</v>
      </c>
      <c r="F42" t="s">
        <v>11</v>
      </c>
      <c r="G42">
        <v>3</v>
      </c>
      <c r="H42" t="s">
        <v>4</v>
      </c>
      <c r="I42">
        <v>15</v>
      </c>
      <c r="J42">
        <v>1</v>
      </c>
      <c r="K42">
        <f>IF(Convert_to_Games[[#This Row],[Total Score]]&gt;9, 1, 0)</f>
        <v>1</v>
      </c>
      <c r="L42">
        <f>IF(Convert_to_Games[[#This Row],[DD]]=0, 0, IF(L41 = "Cons DD", Convert_to_Games[[#This Row],[DD]], L41+L41))</f>
        <v>1099511627776</v>
      </c>
    </row>
    <row r="43" spans="1:12">
      <c r="A43" t="s">
        <v>25</v>
      </c>
      <c r="B43" t="s">
        <v>21</v>
      </c>
      <c r="C43" t="s">
        <v>16</v>
      </c>
      <c r="D43" s="9">
        <v>45841</v>
      </c>
      <c r="E43">
        <v>147</v>
      </c>
      <c r="F43" t="s">
        <v>100</v>
      </c>
      <c r="G43">
        <v>3</v>
      </c>
      <c r="H43" t="s">
        <v>4</v>
      </c>
      <c r="I43">
        <v>15</v>
      </c>
      <c r="J43">
        <v>1</v>
      </c>
      <c r="K43">
        <f>IF(Convert_to_Games[[#This Row],[Total Score]]&gt;9, 1, 0)</f>
        <v>1</v>
      </c>
      <c r="L43">
        <f>IF(Convert_to_Games[[#This Row],[DD]]=0, 0, IF(L42 = "Cons DD", Convert_to_Games[[#This Row],[DD]], L42+L42))</f>
        <v>2199023255552</v>
      </c>
    </row>
    <row r="44" spans="1:12">
      <c r="A44" t="s">
        <v>25</v>
      </c>
      <c r="B44" t="s">
        <v>20</v>
      </c>
      <c r="C44" t="s">
        <v>16</v>
      </c>
      <c r="D44" s="9">
        <v>45849</v>
      </c>
      <c r="E44">
        <v>161</v>
      </c>
      <c r="F44" t="s">
        <v>103</v>
      </c>
      <c r="G44">
        <v>3</v>
      </c>
      <c r="H44" t="s">
        <v>4</v>
      </c>
      <c r="I44">
        <v>15</v>
      </c>
      <c r="J44">
        <v>1</v>
      </c>
      <c r="K44">
        <f>IF(Convert_to_Games[[#This Row],[Total Score]]&gt;9, 1, 0)</f>
        <v>1</v>
      </c>
      <c r="L44">
        <f>IF(Convert_to_Games[[#This Row],[DD]]=0, 0, IF(L43 = "Cons DD", Convert_to_Games[[#This Row],[DD]], L43+L43))</f>
        <v>4398046511104</v>
      </c>
    </row>
    <row r="45" spans="1:12">
      <c r="A45" t="s">
        <v>25</v>
      </c>
      <c r="B45">
        <v>256</v>
      </c>
      <c r="C45" t="s">
        <v>116</v>
      </c>
      <c r="D45" s="9">
        <v>45894</v>
      </c>
      <c r="E45">
        <v>210</v>
      </c>
      <c r="F45" t="s">
        <v>11</v>
      </c>
      <c r="G45">
        <v>3</v>
      </c>
      <c r="H45" t="s">
        <v>4</v>
      </c>
      <c r="I45">
        <v>15</v>
      </c>
      <c r="J45">
        <v>1</v>
      </c>
      <c r="K45">
        <f>IF(Convert_to_Games[[#This Row],[Total Score]]&gt;9, 1, 0)</f>
        <v>1</v>
      </c>
      <c r="L45">
        <f>IF(Convert_to_Games[[#This Row],[DD]]=0, 0, IF(L44 = "Cons DD", Convert_to_Games[[#This Row],[DD]], L44+L44))</f>
        <v>8796093022208</v>
      </c>
    </row>
    <row r="46" spans="1:12">
      <c r="A46" t="s">
        <v>25</v>
      </c>
      <c r="B46">
        <v>256</v>
      </c>
      <c r="C46" t="s">
        <v>116</v>
      </c>
      <c r="D46" s="9">
        <v>45897</v>
      </c>
      <c r="E46">
        <v>212</v>
      </c>
      <c r="F46" t="s">
        <v>11</v>
      </c>
      <c r="G46">
        <v>3</v>
      </c>
      <c r="H46" t="s">
        <v>4</v>
      </c>
      <c r="I46">
        <v>15</v>
      </c>
      <c r="J46">
        <v>1</v>
      </c>
      <c r="K46">
        <f>IF(Convert_to_Games[[#This Row],[Total Score]]&gt;9, 1, 0)</f>
        <v>1</v>
      </c>
      <c r="L46">
        <f>IF(Convert_to_Games[[#This Row],[DD]]=0, 0, IF(L45 = "Cons DD", Convert_to_Games[[#This Row],[DD]], L45+L45))</f>
        <v>17592186044416</v>
      </c>
    </row>
    <row r="47" spans="1:12">
      <c r="A47" t="s">
        <v>25</v>
      </c>
      <c r="B47">
        <v>256</v>
      </c>
      <c r="C47" t="s">
        <v>116</v>
      </c>
      <c r="D47" s="9">
        <v>45930</v>
      </c>
      <c r="E47">
        <v>228</v>
      </c>
      <c r="F47" t="s">
        <v>11</v>
      </c>
      <c r="G47">
        <v>3</v>
      </c>
      <c r="H47" t="s">
        <v>4</v>
      </c>
      <c r="I47">
        <v>15</v>
      </c>
      <c r="J47">
        <v>1</v>
      </c>
      <c r="K47">
        <f>IF(Convert_to_Games[[#This Row],[Total Score]]&gt;9, 1, 0)</f>
        <v>1</v>
      </c>
      <c r="L47">
        <f>IF(Convert_to_Games[[#This Row],[DD]]=0, 0, IF(L46 = "Cons DD", Convert_to_Games[[#This Row],[DD]], L46+L46))</f>
        <v>35184372088832</v>
      </c>
    </row>
    <row r="48" spans="1:12">
      <c r="A48" t="s">
        <v>25</v>
      </c>
      <c r="B48">
        <v>256</v>
      </c>
      <c r="C48" t="s">
        <v>116</v>
      </c>
      <c r="D48" s="9">
        <v>45931</v>
      </c>
      <c r="E48">
        <v>229</v>
      </c>
      <c r="F48" t="s">
        <v>11</v>
      </c>
      <c r="G48">
        <v>3</v>
      </c>
      <c r="H48" t="s">
        <v>4</v>
      </c>
      <c r="I48">
        <v>15</v>
      </c>
      <c r="J48">
        <v>1</v>
      </c>
      <c r="K48">
        <f>IF(Convert_to_Games[[#This Row],[Total Score]]&gt;9, 1, 0)</f>
        <v>1</v>
      </c>
      <c r="L48">
        <f>IF(Convert_to_Games[[#This Row],[DD]]=0, 0, IF(L47 = "Cons DD", Convert_to_Games[[#This Row],[DD]], L47+L47))</f>
        <v>70368744177664</v>
      </c>
    </row>
    <row r="49" spans="1:12">
      <c r="A49" t="s">
        <v>25</v>
      </c>
      <c r="B49">
        <v>256</v>
      </c>
      <c r="C49" t="s">
        <v>116</v>
      </c>
      <c r="D49" s="9">
        <v>45958</v>
      </c>
      <c r="E49">
        <v>236</v>
      </c>
      <c r="F49" t="s">
        <v>9</v>
      </c>
      <c r="G49">
        <v>5</v>
      </c>
      <c r="H49" t="s">
        <v>4</v>
      </c>
      <c r="I49">
        <v>15</v>
      </c>
      <c r="J49">
        <v>1</v>
      </c>
      <c r="K49">
        <f>IF(Convert_to_Games[[#This Row],[Total Score]]&gt;9, 1, 0)</f>
        <v>1</v>
      </c>
      <c r="L49">
        <f>IF(Convert_to_Games[[#This Row],[DD]]=0, 0, IF(L48 = "Cons DD", Convert_to_Games[[#This Row],[DD]], L48+L48))</f>
        <v>140737488355328</v>
      </c>
    </row>
    <row r="50" spans="1:12">
      <c r="A50" t="s">
        <v>25</v>
      </c>
      <c r="B50">
        <v>256</v>
      </c>
      <c r="C50" t="s">
        <v>116</v>
      </c>
      <c r="D50" s="9">
        <v>45992</v>
      </c>
      <c r="E50">
        <v>244</v>
      </c>
      <c r="F50" t="s">
        <v>11</v>
      </c>
      <c r="G50">
        <v>5</v>
      </c>
      <c r="H50" t="s">
        <v>4</v>
      </c>
      <c r="I50">
        <v>15</v>
      </c>
      <c r="J50">
        <v>0</v>
      </c>
      <c r="K50">
        <f>IF(Convert_to_Games[[#This Row],[Total Score]]&gt;9, 1, 0)</f>
        <v>1</v>
      </c>
      <c r="L50">
        <f>IF(Convert_to_Games[[#This Row],[DD]]=0, 0, IF(L49 = "Cons DD", Convert_to_Games[[#This Row],[DD]], L49+L49))</f>
        <v>281474976710656</v>
      </c>
    </row>
    <row r="51" spans="1:12">
      <c r="A51" t="s">
        <v>25</v>
      </c>
      <c r="B51">
        <v>256</v>
      </c>
      <c r="C51" t="s">
        <v>116</v>
      </c>
      <c r="D51" s="9">
        <v>45996</v>
      </c>
      <c r="E51">
        <v>248</v>
      </c>
      <c r="F51" t="s">
        <v>11</v>
      </c>
      <c r="G51">
        <v>3</v>
      </c>
      <c r="H51" t="s">
        <v>4</v>
      </c>
      <c r="I51">
        <v>15</v>
      </c>
      <c r="J51">
        <v>1</v>
      </c>
      <c r="K51">
        <f>IF(Convert_to_Games[[#This Row],[Total Score]]&gt;9, 1, 0)</f>
        <v>1</v>
      </c>
      <c r="L51">
        <f>IF(Convert_to_Games[[#This Row],[DD]]=0, 0, IF(L50 = "Cons DD", Convert_to_Games[[#This Row],[DD]], L50+L50))</f>
        <v>562949953421312</v>
      </c>
    </row>
    <row r="52" spans="1:12">
      <c r="A52" t="s">
        <v>25</v>
      </c>
      <c r="B52">
        <v>256</v>
      </c>
      <c r="C52" t="s">
        <v>116</v>
      </c>
      <c r="D52" s="9">
        <v>45999</v>
      </c>
      <c r="E52">
        <v>249</v>
      </c>
      <c r="F52" t="s">
        <v>8</v>
      </c>
      <c r="G52">
        <v>3</v>
      </c>
      <c r="H52" t="s">
        <v>5</v>
      </c>
      <c r="I52">
        <v>15</v>
      </c>
      <c r="J52">
        <v>1</v>
      </c>
      <c r="K52">
        <f>IF(Convert_to_Games[[#This Row],[Total Score]]&gt;9, 1, 0)</f>
        <v>1</v>
      </c>
      <c r="L52">
        <f>IF(Convert_to_Games[[#This Row],[DD]]=0, 0, IF(L51 = "Cons DD", Convert_to_Games[[#This Row],[DD]], L51+L51))</f>
        <v>1125899906842624</v>
      </c>
    </row>
    <row r="53" spans="1:12">
      <c r="A53" t="s">
        <v>25</v>
      </c>
      <c r="B53">
        <v>256</v>
      </c>
      <c r="C53" t="s">
        <v>116</v>
      </c>
      <c r="D53" s="9">
        <v>46058</v>
      </c>
      <c r="E53">
        <v>260</v>
      </c>
      <c r="F53" t="s">
        <v>9</v>
      </c>
      <c r="G53">
        <v>4</v>
      </c>
      <c r="H53" t="s">
        <v>5</v>
      </c>
      <c r="I53">
        <v>15</v>
      </c>
      <c r="J53">
        <v>0</v>
      </c>
      <c r="K53">
        <f>IF(Convert_to_Games[[#This Row],[Total Score]]&gt;9, 1, 0)</f>
        <v>1</v>
      </c>
      <c r="L53">
        <f>IF(Convert_to_Games[[#This Row],[DD]]=0, 0, IF(L52 = "Cons DD", Convert_to_Games[[#This Row],[DD]], L52+L52))</f>
        <v>2251799813685248</v>
      </c>
    </row>
    <row r="54" spans="1:12">
      <c r="A54" t="s">
        <v>25</v>
      </c>
      <c r="B54">
        <v>256</v>
      </c>
      <c r="C54" t="s">
        <v>116</v>
      </c>
      <c r="D54" s="9">
        <v>46085</v>
      </c>
      <c r="E54">
        <v>269</v>
      </c>
      <c r="F54" t="s">
        <v>84</v>
      </c>
      <c r="G54">
        <v>3</v>
      </c>
      <c r="H54" t="s">
        <v>4</v>
      </c>
      <c r="I54">
        <v>15</v>
      </c>
      <c r="J54">
        <v>1</v>
      </c>
      <c r="K54">
        <f>IF(Convert_to_Games[[#This Row],[Total Score]]&gt;9, 1, 0)</f>
        <v>1</v>
      </c>
      <c r="L54">
        <f>IF(Convert_to_Games[[#This Row],[DD]]=0, 0, IF(L53 = "Cons DD", Convert_to_Games[[#This Row],[DD]], L53+L53))</f>
        <v>4503599627370496</v>
      </c>
    </row>
    <row r="55" spans="1:12">
      <c r="A55" t="s">
        <v>25</v>
      </c>
      <c r="B55" t="s">
        <v>20</v>
      </c>
      <c r="C55" t="s">
        <v>16</v>
      </c>
      <c r="D55" s="9">
        <v>45714</v>
      </c>
      <c r="E55">
        <v>11</v>
      </c>
      <c r="F55" t="s">
        <v>12</v>
      </c>
      <c r="G55">
        <v>3</v>
      </c>
      <c r="H55" t="s">
        <v>4</v>
      </c>
      <c r="I55">
        <v>14</v>
      </c>
      <c r="J55">
        <v>1</v>
      </c>
      <c r="K55">
        <f>IF(Convert_to_Games[[#This Row],[Total Score]]&gt;9, 1, 0)</f>
        <v>1</v>
      </c>
      <c r="L55">
        <f>IF(Convert_to_Games[[#This Row],[DD]]=0, 0, IF(L54 = "Cons DD", Convert_to_Games[[#This Row],[DD]], L54+L54))</f>
        <v>9007199254740992</v>
      </c>
    </row>
    <row r="56" spans="1:12">
      <c r="A56" t="s">
        <v>25</v>
      </c>
      <c r="B56" t="s">
        <v>20</v>
      </c>
      <c r="C56" t="s">
        <v>16</v>
      </c>
      <c r="D56" s="9">
        <v>45784</v>
      </c>
      <c r="E56">
        <v>93</v>
      </c>
      <c r="F56" t="s">
        <v>11</v>
      </c>
      <c r="G56">
        <v>3</v>
      </c>
      <c r="H56" t="s">
        <v>4</v>
      </c>
      <c r="I56">
        <v>14</v>
      </c>
      <c r="J56">
        <v>1</v>
      </c>
      <c r="K56">
        <f>IF(Convert_to_Games[[#This Row],[Total Score]]&gt;9, 1, 0)</f>
        <v>1</v>
      </c>
      <c r="L56">
        <f>IF(Convert_to_Games[[#This Row],[DD]]=0, 0, IF(L55 = "Cons DD", Convert_to_Games[[#This Row],[DD]], L55+L55))</f>
        <v>1.8014398509481984E+16</v>
      </c>
    </row>
    <row r="57" spans="1:12">
      <c r="A57" t="s">
        <v>25</v>
      </c>
      <c r="B57" t="s">
        <v>19</v>
      </c>
      <c r="C57" t="s">
        <v>16</v>
      </c>
      <c r="D57" s="9">
        <v>45825</v>
      </c>
      <c r="E57">
        <v>115</v>
      </c>
      <c r="F57" t="s">
        <v>8</v>
      </c>
      <c r="G57">
        <v>3</v>
      </c>
      <c r="H57" t="s">
        <v>4</v>
      </c>
      <c r="I57">
        <v>14</v>
      </c>
      <c r="J57">
        <v>1</v>
      </c>
      <c r="K57">
        <f>IF(Convert_to_Games[[#This Row],[Total Score]]&gt;9, 1, 0)</f>
        <v>1</v>
      </c>
      <c r="L57">
        <f>IF(Convert_to_Games[[#This Row],[DD]]=0, 0, IF(L56 = "Cons DD", Convert_to_Games[[#This Row],[DD]], L56+L56))</f>
        <v>3.6028797018963968E+16</v>
      </c>
    </row>
    <row r="58" spans="1:12">
      <c r="A58" t="s">
        <v>25</v>
      </c>
      <c r="B58" t="s">
        <v>21</v>
      </c>
      <c r="C58" t="s">
        <v>16</v>
      </c>
      <c r="D58" s="9">
        <v>45826</v>
      </c>
      <c r="E58">
        <v>117</v>
      </c>
      <c r="F58" t="s">
        <v>11</v>
      </c>
      <c r="G58">
        <v>3</v>
      </c>
      <c r="H58" t="s">
        <v>4</v>
      </c>
      <c r="I58">
        <v>14</v>
      </c>
      <c r="J58">
        <v>1</v>
      </c>
      <c r="K58">
        <f>IF(Convert_to_Games[[#This Row],[Total Score]]&gt;9, 1, 0)</f>
        <v>1</v>
      </c>
      <c r="L58">
        <f>IF(Convert_to_Games[[#This Row],[DD]]=0, 0, IF(L57 = "Cons DD", Convert_to_Games[[#This Row],[DD]], L57+L57))</f>
        <v>7.2057594037927936E+16</v>
      </c>
    </row>
    <row r="59" spans="1:12">
      <c r="A59" t="s">
        <v>25</v>
      </c>
      <c r="B59" t="s">
        <v>20</v>
      </c>
      <c r="C59" t="s">
        <v>16</v>
      </c>
      <c r="D59" s="9">
        <v>45833</v>
      </c>
      <c r="E59">
        <v>130</v>
      </c>
      <c r="F59" t="s">
        <v>94</v>
      </c>
      <c r="G59">
        <v>3</v>
      </c>
      <c r="H59" t="s">
        <v>4</v>
      </c>
      <c r="I59">
        <v>14</v>
      </c>
      <c r="J59">
        <v>1</v>
      </c>
      <c r="K59">
        <f>IF(Convert_to_Games[[#This Row],[Total Score]]&gt;9, 1, 0)</f>
        <v>1</v>
      </c>
      <c r="L59">
        <f>IF(Convert_to_Games[[#This Row],[DD]]=0, 0, IF(L58 = "Cons DD", Convert_to_Games[[#This Row],[DD]], L58+L58))</f>
        <v>1.4411518807585587E+17</v>
      </c>
    </row>
    <row r="60" spans="1:12">
      <c r="A60" t="s">
        <v>25</v>
      </c>
      <c r="B60" t="s">
        <v>20</v>
      </c>
      <c r="C60" t="s">
        <v>16</v>
      </c>
      <c r="D60" s="9">
        <v>45839</v>
      </c>
      <c r="E60">
        <v>140</v>
      </c>
      <c r="F60" t="s">
        <v>100</v>
      </c>
      <c r="G60">
        <v>4</v>
      </c>
      <c r="H60" t="s">
        <v>5</v>
      </c>
      <c r="I60">
        <v>14</v>
      </c>
      <c r="J60">
        <v>1</v>
      </c>
      <c r="K60">
        <f>IF(Convert_to_Games[[#This Row],[Total Score]]&gt;9, 1, 0)</f>
        <v>1</v>
      </c>
      <c r="L60">
        <f>IF(Convert_to_Games[[#This Row],[DD]]=0, 0, IF(L59 = "Cons DD", Convert_to_Games[[#This Row],[DD]], L59+L59))</f>
        <v>2.8823037615171174E+17</v>
      </c>
    </row>
    <row r="61" spans="1:12">
      <c r="A61" t="s">
        <v>25</v>
      </c>
      <c r="B61" t="s">
        <v>19</v>
      </c>
      <c r="C61" t="s">
        <v>16</v>
      </c>
      <c r="D61" s="9">
        <v>45839</v>
      </c>
      <c r="E61">
        <v>141</v>
      </c>
      <c r="F61" t="s">
        <v>8</v>
      </c>
      <c r="G61">
        <v>3</v>
      </c>
      <c r="H61" t="s">
        <v>5</v>
      </c>
      <c r="I61">
        <v>14</v>
      </c>
      <c r="J61">
        <v>1</v>
      </c>
      <c r="K61">
        <f>IF(Convert_to_Games[[#This Row],[Total Score]]&gt;9, 1, 0)</f>
        <v>1</v>
      </c>
      <c r="L61">
        <f>IF(Convert_to_Games[[#This Row],[DD]]=0, 0, IF(L60 = "Cons DD", Convert_to_Games[[#This Row],[DD]], L60+L60))</f>
        <v>5.7646075230342349E+17</v>
      </c>
    </row>
    <row r="62" spans="1:12">
      <c r="A62" t="s">
        <v>25</v>
      </c>
      <c r="B62" t="s">
        <v>20</v>
      </c>
      <c r="C62" t="s">
        <v>116</v>
      </c>
      <c r="D62" s="9">
        <v>45876</v>
      </c>
      <c r="E62">
        <v>200</v>
      </c>
      <c r="F62" t="s">
        <v>9</v>
      </c>
      <c r="G62">
        <v>3</v>
      </c>
      <c r="H62" t="s">
        <v>4</v>
      </c>
      <c r="I62">
        <v>14</v>
      </c>
      <c r="J62">
        <v>1</v>
      </c>
      <c r="K62">
        <f>IF(Convert_to_Games[[#This Row],[Total Score]]&gt;9, 1, 0)</f>
        <v>1</v>
      </c>
      <c r="L62">
        <f>IF(Convert_to_Games[[#This Row],[DD]]=0, 0, IF(L61 = "Cons DD", Convert_to_Games[[#This Row],[DD]], L61+L61))</f>
        <v>1.152921504606847E+18</v>
      </c>
    </row>
    <row r="63" spans="1:12">
      <c r="A63" t="s">
        <v>25</v>
      </c>
      <c r="B63">
        <v>256</v>
      </c>
      <c r="C63" t="s">
        <v>116</v>
      </c>
      <c r="D63" s="9">
        <v>45882</v>
      </c>
      <c r="E63">
        <v>204</v>
      </c>
      <c r="F63" t="s">
        <v>11</v>
      </c>
      <c r="G63">
        <v>4</v>
      </c>
      <c r="H63" t="s">
        <v>5</v>
      </c>
      <c r="I63">
        <v>14</v>
      </c>
      <c r="J63">
        <v>0</v>
      </c>
      <c r="K63">
        <f>IF(Convert_to_Games[[#This Row],[Total Score]]&gt;9, 1, 0)</f>
        <v>1</v>
      </c>
      <c r="L63">
        <f>IF(Convert_to_Games[[#This Row],[DD]]=0, 0, IF(L62 = "Cons DD", Convert_to_Games[[#This Row],[DD]], L62+L62))</f>
        <v>2.305843009213694E+18</v>
      </c>
    </row>
    <row r="64" spans="1:12">
      <c r="A64" t="s">
        <v>25</v>
      </c>
      <c r="B64">
        <v>256</v>
      </c>
      <c r="C64" t="s">
        <v>116</v>
      </c>
      <c r="D64" s="9">
        <v>45898</v>
      </c>
      <c r="E64">
        <v>213</v>
      </c>
      <c r="F64" t="s">
        <v>15</v>
      </c>
      <c r="G64">
        <v>3</v>
      </c>
      <c r="H64" t="s">
        <v>4</v>
      </c>
      <c r="I64">
        <v>14</v>
      </c>
      <c r="J64">
        <v>1</v>
      </c>
      <c r="K64">
        <f>IF(Convert_to_Games[[#This Row],[Total Score]]&gt;9, 1, 0)</f>
        <v>1</v>
      </c>
      <c r="L64">
        <f>IF(Convert_to_Games[[#This Row],[DD]]=0, 0, IF(L63 = "Cons DD", Convert_to_Games[[#This Row],[DD]], L63+L63))</f>
        <v>4.6116860184273879E+18</v>
      </c>
    </row>
    <row r="65" spans="1:12">
      <c r="A65" t="s">
        <v>25</v>
      </c>
      <c r="B65">
        <v>256</v>
      </c>
      <c r="C65" t="s">
        <v>116</v>
      </c>
      <c r="D65" s="9">
        <v>45903</v>
      </c>
      <c r="E65">
        <v>215</v>
      </c>
      <c r="F65" t="s">
        <v>11</v>
      </c>
      <c r="G65">
        <v>3</v>
      </c>
      <c r="H65" t="s">
        <v>4</v>
      </c>
      <c r="I65">
        <v>14</v>
      </c>
      <c r="J65">
        <v>1</v>
      </c>
      <c r="K65">
        <f>IF(Convert_to_Games[[#This Row],[Total Score]]&gt;9, 1, 0)</f>
        <v>1</v>
      </c>
      <c r="L65">
        <f>IF(Convert_to_Games[[#This Row],[DD]]=0, 0, IF(L64 = "Cons DD", Convert_to_Games[[#This Row],[DD]], L64+L64))</f>
        <v>9.2233720368547758E+18</v>
      </c>
    </row>
    <row r="66" spans="1:12">
      <c r="A66" t="s">
        <v>25</v>
      </c>
      <c r="B66">
        <v>256</v>
      </c>
      <c r="C66" t="s">
        <v>116</v>
      </c>
      <c r="D66" s="9">
        <v>45918</v>
      </c>
      <c r="E66">
        <v>222</v>
      </c>
      <c r="F66" t="s">
        <v>9</v>
      </c>
      <c r="G66">
        <v>3</v>
      </c>
      <c r="H66" t="s">
        <v>4</v>
      </c>
      <c r="I66">
        <v>14</v>
      </c>
      <c r="J66">
        <v>1</v>
      </c>
      <c r="K66">
        <f>IF(Convert_to_Games[[#This Row],[Total Score]]&gt;9, 1, 0)</f>
        <v>1</v>
      </c>
      <c r="L66">
        <f>IF(Convert_to_Games[[#This Row],[DD]]=0, 0, IF(L65 = "Cons DD", Convert_to_Games[[#This Row],[DD]], L65+L65))</f>
        <v>1.8446744073709552E+19</v>
      </c>
    </row>
    <row r="67" spans="1:12">
      <c r="A67" t="s">
        <v>25</v>
      </c>
      <c r="B67">
        <v>256</v>
      </c>
      <c r="C67" t="s">
        <v>116</v>
      </c>
      <c r="D67" s="9">
        <v>45923</v>
      </c>
      <c r="E67">
        <v>224</v>
      </c>
      <c r="F67" t="s">
        <v>9</v>
      </c>
      <c r="G67">
        <v>3</v>
      </c>
      <c r="H67" t="s">
        <v>4</v>
      </c>
      <c r="I67">
        <v>14</v>
      </c>
      <c r="J67">
        <v>1</v>
      </c>
      <c r="K67">
        <f>IF(Convert_to_Games[[#This Row],[Total Score]]&gt;9, 1, 0)</f>
        <v>1</v>
      </c>
      <c r="L67">
        <f>IF(Convert_to_Games[[#This Row],[DD]]=0, 0, IF(L66 = "Cons DD", Convert_to_Games[[#This Row],[DD]], L66+L66))</f>
        <v>3.6893488147419103E+19</v>
      </c>
    </row>
    <row r="68" spans="1:12">
      <c r="A68" t="s">
        <v>25</v>
      </c>
      <c r="B68">
        <v>256</v>
      </c>
      <c r="C68" t="s">
        <v>116</v>
      </c>
      <c r="D68" s="9">
        <v>45958</v>
      </c>
      <c r="E68">
        <v>236</v>
      </c>
      <c r="F68" t="s">
        <v>9</v>
      </c>
      <c r="G68">
        <v>5</v>
      </c>
      <c r="H68" t="s">
        <v>5</v>
      </c>
      <c r="I68">
        <v>14</v>
      </c>
      <c r="J68">
        <v>0</v>
      </c>
      <c r="K68">
        <f>IF(Convert_to_Games[[#This Row],[Total Score]]&gt;9, 1, 0)</f>
        <v>1</v>
      </c>
      <c r="L68">
        <f>IF(Convert_to_Games[[#This Row],[DD]]=0, 0, IF(L67 = "Cons DD", Convert_to_Games[[#This Row],[DD]], L67+L67))</f>
        <v>7.3786976294838206E+19</v>
      </c>
    </row>
    <row r="69" spans="1:12">
      <c r="A69" t="s">
        <v>25</v>
      </c>
      <c r="B69">
        <v>256</v>
      </c>
      <c r="C69" t="s">
        <v>116</v>
      </c>
      <c r="D69" s="9">
        <v>45973</v>
      </c>
      <c r="E69">
        <v>240</v>
      </c>
      <c r="F69" t="s">
        <v>57</v>
      </c>
      <c r="G69">
        <v>3</v>
      </c>
      <c r="H69" t="s">
        <v>4</v>
      </c>
      <c r="I69">
        <v>14</v>
      </c>
      <c r="J69">
        <v>1</v>
      </c>
      <c r="K69">
        <f>IF(Convert_to_Games[[#This Row],[Total Score]]&gt;9, 1, 0)</f>
        <v>1</v>
      </c>
      <c r="L69">
        <f>IF(Convert_to_Games[[#This Row],[DD]]=0, 0, IF(L68 = "Cons DD", Convert_to_Games[[#This Row],[DD]], L68+L68))</f>
        <v>1.4757395258967641E+20</v>
      </c>
    </row>
    <row r="70" spans="1:12">
      <c r="A70" t="s">
        <v>25</v>
      </c>
      <c r="B70">
        <v>256</v>
      </c>
      <c r="C70" t="s">
        <v>116</v>
      </c>
      <c r="D70" s="9">
        <v>45981</v>
      </c>
      <c r="E70">
        <v>242</v>
      </c>
      <c r="F70" t="s">
        <v>11</v>
      </c>
      <c r="G70">
        <v>3</v>
      </c>
      <c r="H70" t="s">
        <v>4</v>
      </c>
      <c r="I70">
        <v>14</v>
      </c>
      <c r="J70">
        <v>1</v>
      </c>
      <c r="K70">
        <f>IF(Convert_to_Games[[#This Row],[Total Score]]&gt;9, 1, 0)</f>
        <v>1</v>
      </c>
      <c r="L70">
        <f>IF(Convert_to_Games[[#This Row],[DD]]=0, 0, IF(L69 = "Cons DD", Convert_to_Games[[#This Row],[DD]], L69+L69))</f>
        <v>2.9514790517935283E+20</v>
      </c>
    </row>
    <row r="71" spans="1:12">
      <c r="A71" t="s">
        <v>25</v>
      </c>
      <c r="B71">
        <v>256</v>
      </c>
      <c r="C71" t="s">
        <v>116</v>
      </c>
      <c r="D71" s="9">
        <v>45993</v>
      </c>
      <c r="E71">
        <v>245</v>
      </c>
      <c r="F71" t="s">
        <v>9</v>
      </c>
      <c r="G71">
        <v>3</v>
      </c>
      <c r="H71" t="s">
        <v>4</v>
      </c>
      <c r="I71">
        <v>14</v>
      </c>
      <c r="J71">
        <v>1</v>
      </c>
      <c r="K71">
        <f>IF(Convert_to_Games[[#This Row],[Total Score]]&gt;9, 1, 0)</f>
        <v>1</v>
      </c>
      <c r="L71">
        <f>IF(Convert_to_Games[[#This Row],[DD]]=0, 0, IF(L70 = "Cons DD", Convert_to_Games[[#This Row],[DD]], L70+L70))</f>
        <v>5.9029581035870565E+20</v>
      </c>
    </row>
    <row r="72" spans="1:12">
      <c r="A72" t="s">
        <v>25</v>
      </c>
      <c r="B72">
        <v>256</v>
      </c>
      <c r="C72" t="s">
        <v>116</v>
      </c>
      <c r="D72" s="9">
        <v>46084</v>
      </c>
      <c r="E72">
        <v>268</v>
      </c>
      <c r="F72" t="s">
        <v>9</v>
      </c>
      <c r="G72">
        <v>3</v>
      </c>
      <c r="H72" t="s">
        <v>4</v>
      </c>
      <c r="I72">
        <v>14</v>
      </c>
      <c r="J72">
        <v>1</v>
      </c>
      <c r="K72">
        <f>IF(Convert_to_Games[[#This Row],[Total Score]]&gt;9, 1, 0)</f>
        <v>1</v>
      </c>
      <c r="L72">
        <f>IF(Convert_to_Games[[#This Row],[DD]]=0, 0, IF(L71 = "Cons DD", Convert_to_Games[[#This Row],[DD]], L71+L71))</f>
        <v>1.1805916207174113E+21</v>
      </c>
    </row>
    <row r="73" spans="1:12">
      <c r="A73" t="s">
        <v>25</v>
      </c>
      <c r="B73">
        <v>256</v>
      </c>
      <c r="C73" t="s">
        <v>116</v>
      </c>
      <c r="D73" s="9">
        <v>46094</v>
      </c>
      <c r="E73">
        <v>275</v>
      </c>
      <c r="F73" t="s">
        <v>11</v>
      </c>
      <c r="G73">
        <v>4</v>
      </c>
      <c r="H73" t="s">
        <v>5</v>
      </c>
      <c r="I73">
        <v>14</v>
      </c>
      <c r="J73">
        <v>0</v>
      </c>
      <c r="K73">
        <f>IF(Convert_to_Games[[#This Row],[Total Score]]&gt;9, 1, 0)</f>
        <v>1</v>
      </c>
      <c r="L73">
        <f>IF(Convert_to_Games[[#This Row],[DD]]=0, 0, IF(L72 = "Cons DD", Convert_to_Games[[#This Row],[DD]], L72+L72))</f>
        <v>2.3611832414348226E+21</v>
      </c>
    </row>
    <row r="74" spans="1:12">
      <c r="A74" t="s">
        <v>25</v>
      </c>
      <c r="B74">
        <v>256</v>
      </c>
      <c r="C74" t="s">
        <v>116</v>
      </c>
      <c r="D74" s="9">
        <v>46108</v>
      </c>
      <c r="E74">
        <v>278</v>
      </c>
      <c r="F74" t="s">
        <v>9</v>
      </c>
      <c r="G74">
        <v>4</v>
      </c>
      <c r="H74" t="s">
        <v>4</v>
      </c>
      <c r="I74">
        <v>14</v>
      </c>
      <c r="J74">
        <v>1</v>
      </c>
      <c r="K74">
        <f>IF(Convert_to_Games[[#This Row],[Total Score]]&gt;9, 1, 0)</f>
        <v>1</v>
      </c>
      <c r="L74">
        <f>IF(Convert_to_Games[[#This Row],[DD]]=0, 0, IF(L73 = "Cons DD", Convert_to_Games[[#This Row],[DD]], L73+L73))</f>
        <v>4.7223664828696452E+21</v>
      </c>
    </row>
    <row r="75" spans="1:12">
      <c r="A75" t="s">
        <v>25</v>
      </c>
      <c r="B75" t="s">
        <v>19</v>
      </c>
      <c r="C75" t="s">
        <v>16</v>
      </c>
      <c r="D75" s="9">
        <v>45769</v>
      </c>
      <c r="E75">
        <v>61</v>
      </c>
      <c r="F75" t="s">
        <v>11</v>
      </c>
      <c r="G75">
        <v>3</v>
      </c>
      <c r="H75" t="s">
        <v>4</v>
      </c>
      <c r="I75">
        <v>13</v>
      </c>
      <c r="J75">
        <v>1</v>
      </c>
      <c r="K75">
        <f>IF(Convert_to_Games[[#This Row],[Total Score]]&gt;9, 1, 0)</f>
        <v>1</v>
      </c>
      <c r="L75">
        <f>IF(Convert_to_Games[[#This Row],[DD]]=0, 0, IF(L74 = "Cons DD", Convert_to_Games[[#This Row],[DD]], L74+L74))</f>
        <v>9.4447329657392904E+21</v>
      </c>
    </row>
    <row r="76" spans="1:12">
      <c r="A76" t="s">
        <v>25</v>
      </c>
      <c r="B76" t="s">
        <v>19</v>
      </c>
      <c r="C76" t="s">
        <v>16</v>
      </c>
      <c r="D76" s="9">
        <v>45772</v>
      </c>
      <c r="E76">
        <v>71</v>
      </c>
      <c r="F76" t="s">
        <v>11</v>
      </c>
      <c r="G76">
        <v>3</v>
      </c>
      <c r="H76" t="s">
        <v>4</v>
      </c>
      <c r="I76">
        <v>13</v>
      </c>
      <c r="J76">
        <v>1</v>
      </c>
      <c r="K76">
        <f>IF(Convert_to_Games[[#This Row],[Total Score]]&gt;9, 1, 0)</f>
        <v>1</v>
      </c>
      <c r="L76">
        <f>IF(Convert_to_Games[[#This Row],[DD]]=0, 0, IF(L75 = "Cons DD", Convert_to_Games[[#This Row],[DD]], L75+L75))</f>
        <v>1.8889465931478581E+22</v>
      </c>
    </row>
    <row r="77" spans="1:12">
      <c r="A77" t="s">
        <v>25</v>
      </c>
      <c r="B77" t="s">
        <v>20</v>
      </c>
      <c r="C77" t="s">
        <v>16</v>
      </c>
      <c r="D77" s="9">
        <v>45827</v>
      </c>
      <c r="E77">
        <v>119</v>
      </c>
      <c r="F77" t="s">
        <v>9</v>
      </c>
      <c r="G77">
        <v>3</v>
      </c>
      <c r="H77" t="s">
        <v>5</v>
      </c>
      <c r="I77">
        <v>13</v>
      </c>
      <c r="J77">
        <v>1</v>
      </c>
      <c r="K77">
        <f>IF(Convert_to_Games[[#This Row],[Total Score]]&gt;9, 1, 0)</f>
        <v>1</v>
      </c>
      <c r="L77">
        <f>IF(Convert_to_Games[[#This Row],[DD]]=0, 0, IF(L76 = "Cons DD", Convert_to_Games[[#This Row],[DD]], L76+L76))</f>
        <v>3.7778931862957162E+22</v>
      </c>
    </row>
    <row r="78" spans="1:12">
      <c r="A78" t="s">
        <v>25</v>
      </c>
      <c r="B78" t="s">
        <v>19</v>
      </c>
      <c r="C78" t="s">
        <v>16</v>
      </c>
      <c r="D78" s="9">
        <v>45838</v>
      </c>
      <c r="E78">
        <v>138</v>
      </c>
      <c r="F78" t="s">
        <v>94</v>
      </c>
      <c r="G78">
        <v>3</v>
      </c>
      <c r="H78" t="s">
        <v>4</v>
      </c>
      <c r="I78">
        <v>13</v>
      </c>
      <c r="J78">
        <v>1</v>
      </c>
      <c r="K78">
        <f>IF(Convert_to_Games[[#This Row],[Total Score]]&gt;9, 1, 0)</f>
        <v>1</v>
      </c>
      <c r="L78">
        <f>IF(Convert_to_Games[[#This Row],[DD]]=0, 0, IF(L77 = "Cons DD", Convert_to_Games[[#This Row],[DD]], L77+L77))</f>
        <v>7.5557863725914323E+22</v>
      </c>
    </row>
    <row r="79" spans="1:12">
      <c r="A79" t="s">
        <v>25</v>
      </c>
      <c r="B79" t="s">
        <v>19</v>
      </c>
      <c r="C79" t="s">
        <v>16</v>
      </c>
      <c r="D79" s="9">
        <v>45841</v>
      </c>
      <c r="E79">
        <v>146</v>
      </c>
      <c r="F79" t="s">
        <v>104</v>
      </c>
      <c r="G79">
        <v>3</v>
      </c>
      <c r="H79" t="s">
        <v>5</v>
      </c>
      <c r="I79">
        <v>13</v>
      </c>
      <c r="J79">
        <v>1</v>
      </c>
      <c r="K79">
        <f>IF(Convert_to_Games[[#This Row],[Total Score]]&gt;9, 1, 0)</f>
        <v>1</v>
      </c>
      <c r="L79">
        <f>IF(Convert_to_Games[[#This Row],[DD]]=0, 0, IF(L78 = "Cons DD", Convert_to_Games[[#This Row],[DD]], L78+L78))</f>
        <v>1.5111572745182865E+23</v>
      </c>
    </row>
    <row r="80" spans="1:12">
      <c r="A80" t="s">
        <v>25</v>
      </c>
      <c r="B80" t="s">
        <v>20</v>
      </c>
      <c r="C80" t="s">
        <v>16</v>
      </c>
      <c r="D80" s="9">
        <v>45848</v>
      </c>
      <c r="E80">
        <v>156</v>
      </c>
      <c r="F80" t="s">
        <v>111</v>
      </c>
      <c r="G80">
        <v>3</v>
      </c>
      <c r="H80" t="s">
        <v>4</v>
      </c>
      <c r="I80">
        <v>13</v>
      </c>
      <c r="J80">
        <v>1</v>
      </c>
      <c r="K80">
        <f>IF(Convert_to_Games[[#This Row],[Total Score]]&gt;9, 1, 0)</f>
        <v>1</v>
      </c>
      <c r="L80">
        <f>IF(Convert_to_Games[[#This Row],[DD]]=0, 0, IF(L79 = "Cons DD", Convert_to_Games[[#This Row],[DD]], L79+L79))</f>
        <v>3.0223145490365729E+23</v>
      </c>
    </row>
    <row r="81" spans="1:12">
      <c r="A81" t="s">
        <v>25</v>
      </c>
      <c r="B81" t="s">
        <v>20</v>
      </c>
      <c r="C81" t="s">
        <v>116</v>
      </c>
      <c r="D81" s="9">
        <v>45868</v>
      </c>
      <c r="E81">
        <v>187</v>
      </c>
      <c r="F81" t="s">
        <v>9</v>
      </c>
      <c r="G81">
        <v>3</v>
      </c>
      <c r="H81" t="s">
        <v>4</v>
      </c>
      <c r="I81">
        <v>13</v>
      </c>
      <c r="J81">
        <v>1</v>
      </c>
      <c r="K81">
        <f>IF(Convert_to_Games[[#This Row],[Total Score]]&gt;9, 1, 0)</f>
        <v>1</v>
      </c>
      <c r="L81">
        <f>IF(Convert_to_Games[[#This Row],[DD]]=0, 0, IF(L80 = "Cons DD", Convert_to_Games[[#This Row],[DD]], L80+L80))</f>
        <v>6.0446290980731459E+23</v>
      </c>
    </row>
    <row r="82" spans="1:12">
      <c r="A82" t="s">
        <v>25</v>
      </c>
      <c r="B82" t="s">
        <v>20</v>
      </c>
      <c r="C82" t="s">
        <v>116</v>
      </c>
      <c r="D82" s="9">
        <v>45873</v>
      </c>
      <c r="E82">
        <v>196</v>
      </c>
      <c r="F82" t="s">
        <v>11</v>
      </c>
      <c r="G82">
        <v>3</v>
      </c>
      <c r="H82" t="s">
        <v>4</v>
      </c>
      <c r="I82">
        <v>13</v>
      </c>
      <c r="J82">
        <v>1</v>
      </c>
      <c r="K82">
        <f>IF(Convert_to_Games[[#This Row],[Total Score]]&gt;9, 1, 0)</f>
        <v>1</v>
      </c>
      <c r="L82">
        <f>IF(Convert_to_Games[[#This Row],[DD]]=0, 0, IF(L81 = "Cons DD", Convert_to_Games[[#This Row],[DD]], L81+L81))</f>
        <v>1.2089258196146292E+24</v>
      </c>
    </row>
    <row r="83" spans="1:12">
      <c r="A83" t="s">
        <v>25</v>
      </c>
      <c r="B83">
        <v>256</v>
      </c>
      <c r="C83" t="s">
        <v>116</v>
      </c>
      <c r="D83" s="9">
        <v>45881</v>
      </c>
      <c r="E83">
        <v>203</v>
      </c>
      <c r="F83" t="s">
        <v>117</v>
      </c>
      <c r="G83">
        <v>3</v>
      </c>
      <c r="H83" t="s">
        <v>5</v>
      </c>
      <c r="I83">
        <v>13</v>
      </c>
      <c r="J83">
        <v>0</v>
      </c>
      <c r="K83">
        <f>IF(Convert_to_Games[[#This Row],[Total Score]]&gt;9, 1, 0)</f>
        <v>1</v>
      </c>
      <c r="L83">
        <f>IF(Convert_to_Games[[#This Row],[DD]]=0, 0, IF(L82 = "Cons DD", Convert_to_Games[[#This Row],[DD]], L82+L82))</f>
        <v>2.4178516392292583E+24</v>
      </c>
    </row>
    <row r="84" spans="1:12">
      <c r="A84" t="s">
        <v>25</v>
      </c>
      <c r="B84">
        <v>256</v>
      </c>
      <c r="C84" t="s">
        <v>116</v>
      </c>
      <c r="D84" s="9">
        <v>45953</v>
      </c>
      <c r="E84">
        <v>234</v>
      </c>
      <c r="F84" t="s">
        <v>9</v>
      </c>
      <c r="G84">
        <v>3</v>
      </c>
      <c r="H84" t="s">
        <v>5</v>
      </c>
      <c r="I84">
        <v>13</v>
      </c>
      <c r="J84">
        <v>1</v>
      </c>
      <c r="K84">
        <f>IF(Convert_to_Games[[#This Row],[Total Score]]&gt;9, 1, 0)</f>
        <v>1</v>
      </c>
      <c r="L84">
        <f>IF(Convert_to_Games[[#This Row],[DD]]=0, 0, IF(L83 = "Cons DD", Convert_to_Games[[#This Row],[DD]], L83+L83))</f>
        <v>4.8357032784585167E+24</v>
      </c>
    </row>
    <row r="85" spans="1:12">
      <c r="A85" t="s">
        <v>25</v>
      </c>
      <c r="B85">
        <v>256</v>
      </c>
      <c r="C85" t="s">
        <v>116</v>
      </c>
      <c r="D85" s="9">
        <v>45972</v>
      </c>
      <c r="E85">
        <v>239</v>
      </c>
      <c r="F85" t="s">
        <v>15</v>
      </c>
      <c r="G85">
        <v>3</v>
      </c>
      <c r="H85" t="s">
        <v>6</v>
      </c>
      <c r="I85">
        <v>13</v>
      </c>
      <c r="J85">
        <v>1</v>
      </c>
      <c r="K85">
        <f>IF(Convert_to_Games[[#This Row],[Total Score]]&gt;9, 1, 0)</f>
        <v>1</v>
      </c>
      <c r="L85">
        <f>IF(Convert_to_Games[[#This Row],[DD]]=0, 0, IF(L84 = "Cons DD", Convert_to_Games[[#This Row],[DD]], L84+L84))</f>
        <v>9.6714065569170334E+24</v>
      </c>
    </row>
    <row r="86" spans="1:12">
      <c r="A86" t="s">
        <v>25</v>
      </c>
      <c r="B86">
        <v>256</v>
      </c>
      <c r="C86" t="s">
        <v>116</v>
      </c>
      <c r="D86" s="9">
        <v>45982</v>
      </c>
      <c r="E86">
        <v>243</v>
      </c>
      <c r="F86" t="s">
        <v>11</v>
      </c>
      <c r="G86">
        <v>3</v>
      </c>
      <c r="H86" t="s">
        <v>5</v>
      </c>
      <c r="I86">
        <v>13</v>
      </c>
      <c r="J86">
        <v>1</v>
      </c>
      <c r="K86">
        <f>IF(Convert_to_Games[[#This Row],[Total Score]]&gt;9, 1, 0)</f>
        <v>1</v>
      </c>
      <c r="L86">
        <f>IF(Convert_to_Games[[#This Row],[DD]]=0, 0, IF(L85 = "Cons DD", Convert_to_Games[[#This Row],[DD]], L85+L85))</f>
        <v>1.9342813113834067E+25</v>
      </c>
    </row>
    <row r="87" spans="1:12">
      <c r="A87" t="s">
        <v>25</v>
      </c>
      <c r="B87">
        <v>256</v>
      </c>
      <c r="C87" t="s">
        <v>116</v>
      </c>
      <c r="D87" s="9">
        <v>45994</v>
      </c>
      <c r="E87">
        <v>246</v>
      </c>
      <c r="F87" t="s">
        <v>9</v>
      </c>
      <c r="G87">
        <v>3</v>
      </c>
      <c r="H87" t="s">
        <v>4</v>
      </c>
      <c r="I87">
        <v>13</v>
      </c>
      <c r="J87">
        <v>1</v>
      </c>
      <c r="K87">
        <f>IF(Convert_to_Games[[#This Row],[Total Score]]&gt;9, 1, 0)</f>
        <v>1</v>
      </c>
      <c r="L87">
        <f>IF(Convert_to_Games[[#This Row],[DD]]=0, 0, IF(L86 = "Cons DD", Convert_to_Games[[#This Row],[DD]], L86+L86))</f>
        <v>3.8685626227668134E+25</v>
      </c>
    </row>
    <row r="88" spans="1:12">
      <c r="A88" t="s">
        <v>25</v>
      </c>
      <c r="B88">
        <v>256</v>
      </c>
      <c r="C88" t="s">
        <v>116</v>
      </c>
      <c r="D88" s="9">
        <v>45999</v>
      </c>
      <c r="E88">
        <v>250</v>
      </c>
      <c r="F88" t="s">
        <v>10</v>
      </c>
      <c r="G88">
        <v>4</v>
      </c>
      <c r="H88" t="s">
        <v>4</v>
      </c>
      <c r="I88">
        <v>13</v>
      </c>
      <c r="J88">
        <v>0</v>
      </c>
      <c r="K88">
        <f>IF(Convert_to_Games[[#This Row],[Total Score]]&gt;9, 1, 0)</f>
        <v>1</v>
      </c>
      <c r="L88">
        <f>IF(Convert_to_Games[[#This Row],[DD]]=0, 0, IF(L87 = "Cons DD", Convert_to_Games[[#This Row],[DD]], L87+L87))</f>
        <v>7.7371252455336267E+25</v>
      </c>
    </row>
    <row r="89" spans="1:12">
      <c r="A89" t="s">
        <v>25</v>
      </c>
      <c r="B89">
        <v>256</v>
      </c>
      <c r="C89" t="s">
        <v>116</v>
      </c>
      <c r="D89" s="9">
        <v>46000</v>
      </c>
      <c r="E89">
        <v>251</v>
      </c>
      <c r="F89" t="s">
        <v>11</v>
      </c>
      <c r="G89">
        <v>3</v>
      </c>
      <c r="H89" t="s">
        <v>4</v>
      </c>
      <c r="I89">
        <v>13</v>
      </c>
      <c r="J89">
        <v>1</v>
      </c>
      <c r="K89">
        <f>IF(Convert_to_Games[[#This Row],[Total Score]]&gt;9, 1, 0)</f>
        <v>1</v>
      </c>
      <c r="L89">
        <f>IF(Convert_to_Games[[#This Row],[DD]]=0, 0, IF(L88 = "Cons DD", Convert_to_Games[[#This Row],[DD]], L88+L88))</f>
        <v>1.5474250491067253E+26</v>
      </c>
    </row>
    <row r="90" spans="1:12">
      <c r="A90" t="s">
        <v>25</v>
      </c>
      <c r="B90">
        <v>256</v>
      </c>
      <c r="C90" t="s">
        <v>116</v>
      </c>
      <c r="D90" s="9">
        <v>46056</v>
      </c>
      <c r="E90">
        <v>259</v>
      </c>
      <c r="F90" t="s">
        <v>11</v>
      </c>
      <c r="G90">
        <v>3</v>
      </c>
      <c r="H90" t="s">
        <v>4</v>
      </c>
      <c r="I90">
        <v>13</v>
      </c>
      <c r="J90">
        <v>1</v>
      </c>
      <c r="K90">
        <f>IF(Convert_to_Games[[#This Row],[Total Score]]&gt;9, 1, 0)</f>
        <v>1</v>
      </c>
      <c r="L90">
        <f>IF(Convert_to_Games[[#This Row],[DD]]=0, 0, IF(L89 = "Cons DD", Convert_to_Games[[#This Row],[DD]], L89+L89))</f>
        <v>3.0948500982134507E+26</v>
      </c>
    </row>
    <row r="91" spans="1:12">
      <c r="A91" t="s">
        <v>25</v>
      </c>
      <c r="B91">
        <v>256</v>
      </c>
      <c r="C91" t="s">
        <v>116</v>
      </c>
      <c r="D91" s="9">
        <v>46071</v>
      </c>
      <c r="E91">
        <v>263</v>
      </c>
      <c r="F91" t="s">
        <v>9</v>
      </c>
      <c r="G91">
        <v>3</v>
      </c>
      <c r="H91" t="s">
        <v>4</v>
      </c>
      <c r="I91">
        <v>13</v>
      </c>
      <c r="J91">
        <v>1</v>
      </c>
      <c r="K91">
        <f>IF(Convert_to_Games[[#This Row],[Total Score]]&gt;9, 1, 0)</f>
        <v>1</v>
      </c>
      <c r="L91">
        <f>IF(Convert_to_Games[[#This Row],[DD]]=0, 0, IF(L90 = "Cons DD", Convert_to_Games[[#This Row],[DD]], L90+L90))</f>
        <v>6.1897001964269014E+26</v>
      </c>
    </row>
    <row r="92" spans="1:12">
      <c r="A92" t="s">
        <v>25</v>
      </c>
      <c r="B92">
        <v>256</v>
      </c>
      <c r="C92" t="s">
        <v>116</v>
      </c>
      <c r="D92" s="9">
        <v>46077</v>
      </c>
      <c r="E92">
        <v>265</v>
      </c>
      <c r="F92" t="s">
        <v>11</v>
      </c>
      <c r="G92">
        <v>3</v>
      </c>
      <c r="H92" t="s">
        <v>5</v>
      </c>
      <c r="I92">
        <v>13</v>
      </c>
      <c r="J92">
        <v>1</v>
      </c>
      <c r="K92">
        <f>IF(Convert_to_Games[[#This Row],[Total Score]]&gt;9, 1, 0)</f>
        <v>1</v>
      </c>
      <c r="L92">
        <f>IF(Convert_to_Games[[#This Row],[DD]]=0, 0, IF(L91 = "Cons DD", Convert_to_Games[[#This Row],[DD]], L91+L91))</f>
        <v>1.2379400392853803E+27</v>
      </c>
    </row>
    <row r="93" spans="1:12">
      <c r="A93" t="s">
        <v>25</v>
      </c>
      <c r="B93">
        <v>256</v>
      </c>
      <c r="C93" t="s">
        <v>116</v>
      </c>
      <c r="D93" s="9">
        <v>46086</v>
      </c>
      <c r="E93">
        <v>270</v>
      </c>
      <c r="F93" t="s">
        <v>117</v>
      </c>
      <c r="G93">
        <v>3</v>
      </c>
      <c r="H93" t="s">
        <v>4</v>
      </c>
      <c r="I93">
        <v>13</v>
      </c>
      <c r="J93">
        <v>1</v>
      </c>
      <c r="K93">
        <f>IF(Convert_to_Games[[#This Row],[Total Score]]&gt;9, 1, 0)</f>
        <v>1</v>
      </c>
      <c r="L93">
        <f>IF(Convert_to_Games[[#This Row],[DD]]=0, 0, IF(L92 = "Cons DD", Convert_to_Games[[#This Row],[DD]], L92+L92))</f>
        <v>2.4758800785707605E+27</v>
      </c>
    </row>
    <row r="94" spans="1:12">
      <c r="A94" t="s">
        <v>25</v>
      </c>
      <c r="B94" t="s">
        <v>20</v>
      </c>
      <c r="C94" t="s">
        <v>16</v>
      </c>
      <c r="D94" s="9">
        <v>45741</v>
      </c>
      <c r="E94">
        <v>26</v>
      </c>
      <c r="F94" t="s">
        <v>11</v>
      </c>
      <c r="G94">
        <v>3</v>
      </c>
      <c r="H94" t="s">
        <v>4</v>
      </c>
      <c r="I94">
        <v>12</v>
      </c>
      <c r="J94">
        <v>1</v>
      </c>
      <c r="K94">
        <f>IF(Convert_to_Games[[#This Row],[Total Score]]&gt;9, 1, 0)</f>
        <v>1</v>
      </c>
      <c r="L94">
        <f>IF(Convert_to_Games[[#This Row],[DD]]=0, 0, IF(L93 = "Cons DD", Convert_to_Games[[#This Row],[DD]], L93+L93))</f>
        <v>4.9517601571415211E+27</v>
      </c>
    </row>
    <row r="95" spans="1:12">
      <c r="A95" t="s">
        <v>25</v>
      </c>
      <c r="B95" t="s">
        <v>21</v>
      </c>
      <c r="C95" t="s">
        <v>16</v>
      </c>
      <c r="D95" s="9">
        <v>45768</v>
      </c>
      <c r="E95">
        <v>59</v>
      </c>
      <c r="F95" t="s">
        <v>11</v>
      </c>
      <c r="G95">
        <v>3</v>
      </c>
      <c r="H95" t="s">
        <v>4</v>
      </c>
      <c r="I95">
        <v>12</v>
      </c>
      <c r="J95">
        <v>1</v>
      </c>
      <c r="K95">
        <f>IF(Convert_to_Games[[#This Row],[Total Score]]&gt;9, 1, 0)</f>
        <v>1</v>
      </c>
      <c r="L95">
        <f>IF(Convert_to_Games[[#This Row],[DD]]=0, 0, IF(L94 = "Cons DD", Convert_to_Games[[#This Row],[DD]], L94+L94))</f>
        <v>9.9035203142830422E+27</v>
      </c>
    </row>
    <row r="96" spans="1:12">
      <c r="A96" t="s">
        <v>25</v>
      </c>
      <c r="B96" t="s">
        <v>20</v>
      </c>
      <c r="C96" t="s">
        <v>16</v>
      </c>
      <c r="D96" s="9">
        <v>45769</v>
      </c>
      <c r="E96">
        <v>60</v>
      </c>
      <c r="F96" t="s">
        <v>9</v>
      </c>
      <c r="G96">
        <v>3</v>
      </c>
      <c r="H96" t="s">
        <v>5</v>
      </c>
      <c r="I96">
        <v>12</v>
      </c>
      <c r="J96">
        <v>1</v>
      </c>
      <c r="K96">
        <f>IF(Convert_to_Games[[#This Row],[Total Score]]&gt;9, 1, 0)</f>
        <v>1</v>
      </c>
      <c r="L96">
        <f>IF(Convert_to_Games[[#This Row],[DD]]=0, 0, IF(L95 = "Cons DD", Convert_to_Games[[#This Row],[DD]], L95+L95))</f>
        <v>1.9807040628566084E+28</v>
      </c>
    </row>
    <row r="97" spans="1:12">
      <c r="A97" t="s">
        <v>25</v>
      </c>
      <c r="B97" t="s">
        <v>20</v>
      </c>
      <c r="C97" t="s">
        <v>16</v>
      </c>
      <c r="D97" s="9">
        <v>45777</v>
      </c>
      <c r="E97">
        <v>80</v>
      </c>
      <c r="F97" t="s">
        <v>8</v>
      </c>
      <c r="G97">
        <v>3</v>
      </c>
      <c r="H97" t="s">
        <v>4</v>
      </c>
      <c r="I97">
        <v>12</v>
      </c>
      <c r="J97">
        <v>1</v>
      </c>
      <c r="K97">
        <f>IF(Convert_to_Games[[#This Row],[Total Score]]&gt;9, 1, 0)</f>
        <v>1</v>
      </c>
      <c r="L97">
        <f>IF(Convert_to_Games[[#This Row],[DD]]=0, 0, IF(L96 = "Cons DD", Convert_to_Games[[#This Row],[DD]], L96+L96))</f>
        <v>3.9614081257132169E+28</v>
      </c>
    </row>
    <row r="98" spans="1:12">
      <c r="A98" t="s">
        <v>25</v>
      </c>
      <c r="B98" t="s">
        <v>21</v>
      </c>
      <c r="C98" t="s">
        <v>16</v>
      </c>
      <c r="D98" s="9">
        <v>45777</v>
      </c>
      <c r="E98">
        <v>82</v>
      </c>
      <c r="F98" t="s">
        <v>62</v>
      </c>
      <c r="G98">
        <v>3</v>
      </c>
      <c r="H98" t="s">
        <v>4</v>
      </c>
      <c r="I98">
        <v>12</v>
      </c>
      <c r="J98">
        <v>1</v>
      </c>
      <c r="K98">
        <f>IF(Convert_to_Games[[#This Row],[Total Score]]&gt;9, 1, 0)</f>
        <v>1</v>
      </c>
      <c r="L98">
        <f>IF(Convert_to_Games[[#This Row],[DD]]=0, 0, IF(L97 = "Cons DD", Convert_to_Games[[#This Row],[DD]], L97+L97))</f>
        <v>7.9228162514264338E+28</v>
      </c>
    </row>
    <row r="99" spans="1:12">
      <c r="A99" t="s">
        <v>25</v>
      </c>
      <c r="B99" t="s">
        <v>20</v>
      </c>
      <c r="C99" t="s">
        <v>16</v>
      </c>
      <c r="D99" s="9">
        <v>45777</v>
      </c>
      <c r="E99">
        <v>83</v>
      </c>
      <c r="F99" t="s">
        <v>11</v>
      </c>
      <c r="G99">
        <v>3</v>
      </c>
      <c r="H99" t="s">
        <v>4</v>
      </c>
      <c r="I99">
        <v>12</v>
      </c>
      <c r="J99">
        <v>1</v>
      </c>
      <c r="K99">
        <f>IF(Convert_to_Games[[#This Row],[Total Score]]&gt;9, 1, 0)</f>
        <v>1</v>
      </c>
      <c r="L99">
        <f>IF(Convert_to_Games[[#This Row],[DD]]=0, 0, IF(L98 = "Cons DD", Convert_to_Games[[#This Row],[DD]], L98+L98))</f>
        <v>1.5845632502852868E+29</v>
      </c>
    </row>
    <row r="100" spans="1:12">
      <c r="A100" t="s">
        <v>25</v>
      </c>
      <c r="B100" t="s">
        <v>20</v>
      </c>
      <c r="C100" t="s">
        <v>16</v>
      </c>
      <c r="D100" s="9">
        <v>45798</v>
      </c>
      <c r="E100">
        <v>103</v>
      </c>
      <c r="F100" t="s">
        <v>71</v>
      </c>
      <c r="G100">
        <v>3</v>
      </c>
      <c r="H100" t="s">
        <v>5</v>
      </c>
      <c r="I100">
        <v>12</v>
      </c>
      <c r="J100">
        <v>1</v>
      </c>
      <c r="K100">
        <f>IF(Convert_to_Games[[#This Row],[Total Score]]&gt;9, 1, 0)</f>
        <v>1</v>
      </c>
      <c r="L100">
        <f>IF(Convert_to_Games[[#This Row],[DD]]=0, 0, IF(L99 = "Cons DD", Convert_to_Games[[#This Row],[DD]], L99+L99))</f>
        <v>3.1691265005705735E+29</v>
      </c>
    </row>
    <row r="101" spans="1:12">
      <c r="A101" t="s">
        <v>25</v>
      </c>
      <c r="B101" t="s">
        <v>20</v>
      </c>
      <c r="C101" t="s">
        <v>16</v>
      </c>
      <c r="D101" s="9">
        <v>45825</v>
      </c>
      <c r="E101">
        <v>113</v>
      </c>
      <c r="F101" t="s">
        <v>11</v>
      </c>
      <c r="G101">
        <v>3</v>
      </c>
      <c r="H101" t="s">
        <v>4</v>
      </c>
      <c r="I101">
        <v>12</v>
      </c>
      <c r="J101">
        <v>1</v>
      </c>
      <c r="K101">
        <f>IF(Convert_to_Games[[#This Row],[Total Score]]&gt;9, 1, 0)</f>
        <v>1</v>
      </c>
      <c r="L101">
        <f>IF(Convert_to_Games[[#This Row],[DD]]=0, 0, IF(L100 = "Cons DD", Convert_to_Games[[#This Row],[DD]], L100+L100))</f>
        <v>6.338253001141147E+29</v>
      </c>
    </row>
    <row r="102" spans="1:12">
      <c r="A102" t="s">
        <v>25</v>
      </c>
      <c r="B102" t="s">
        <v>20</v>
      </c>
      <c r="C102" t="s">
        <v>16</v>
      </c>
      <c r="D102" s="9">
        <v>45827</v>
      </c>
      <c r="E102">
        <v>120</v>
      </c>
      <c r="F102" t="s">
        <v>11</v>
      </c>
      <c r="G102">
        <v>4</v>
      </c>
      <c r="H102" t="s">
        <v>4</v>
      </c>
      <c r="I102">
        <v>12</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45831</v>
      </c>
      <c r="E103">
        <v>124</v>
      </c>
      <c r="F103" t="s">
        <v>77</v>
      </c>
      <c r="G103">
        <v>3</v>
      </c>
      <c r="H103" t="s">
        <v>5</v>
      </c>
      <c r="I103">
        <v>12</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45849</v>
      </c>
      <c r="E104">
        <v>159</v>
      </c>
      <c r="F104" t="s">
        <v>103</v>
      </c>
      <c r="G104">
        <v>3</v>
      </c>
      <c r="H104" t="s">
        <v>4</v>
      </c>
      <c r="I104">
        <v>12</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45855</v>
      </c>
      <c r="E105">
        <v>172</v>
      </c>
      <c r="F105" t="s">
        <v>103</v>
      </c>
      <c r="G105">
        <v>3</v>
      </c>
      <c r="H105" t="s">
        <v>4</v>
      </c>
      <c r="I105">
        <v>12</v>
      </c>
      <c r="J105">
        <v>1</v>
      </c>
      <c r="K105">
        <f>IF(Convert_to_Games[[#This Row],[Total Score]]&gt;9, 1, 0)</f>
        <v>1</v>
      </c>
      <c r="L105">
        <f>IF(Convert_to_Games[[#This Row],[DD]]=0, 0, IF(L104 = "Cons DD", Convert_to_Games[[#This Row],[DD]], L104+L104))</f>
        <v>1.0141204801825835E+31</v>
      </c>
    </row>
    <row r="106" spans="1:12">
      <c r="A106" t="s">
        <v>25</v>
      </c>
      <c r="B106">
        <v>256</v>
      </c>
      <c r="C106" t="s">
        <v>116</v>
      </c>
      <c r="D106" s="9">
        <v>45881</v>
      </c>
      <c r="E106">
        <v>202</v>
      </c>
      <c r="F106" t="s">
        <v>13</v>
      </c>
      <c r="G106">
        <v>3</v>
      </c>
      <c r="H106" t="s">
        <v>5</v>
      </c>
      <c r="I106">
        <v>12</v>
      </c>
      <c r="J106">
        <v>0</v>
      </c>
      <c r="K106">
        <f>IF(Convert_to_Games[[#This Row],[Total Score]]&gt;9, 1, 0)</f>
        <v>1</v>
      </c>
      <c r="L106">
        <f>IF(Convert_to_Games[[#This Row],[DD]]=0, 0, IF(L105 = "Cons DD", Convert_to_Games[[#This Row],[DD]], L105+L105))</f>
        <v>2.028240960365167E+31</v>
      </c>
    </row>
    <row r="107" spans="1:12">
      <c r="A107" t="s">
        <v>25</v>
      </c>
      <c r="B107">
        <v>256</v>
      </c>
      <c r="C107" t="s">
        <v>116</v>
      </c>
      <c r="D107" s="9">
        <v>45888</v>
      </c>
      <c r="E107">
        <v>207</v>
      </c>
      <c r="F107" t="s">
        <v>11</v>
      </c>
      <c r="G107">
        <v>3</v>
      </c>
      <c r="H107" t="s">
        <v>4</v>
      </c>
      <c r="I107">
        <v>12</v>
      </c>
      <c r="J107">
        <v>1</v>
      </c>
      <c r="K107">
        <f>IF(Convert_to_Games[[#This Row],[Total Score]]&gt;9, 1, 0)</f>
        <v>1</v>
      </c>
      <c r="L107">
        <f>IF(Convert_to_Games[[#This Row],[DD]]=0, 0, IF(L106 = "Cons DD", Convert_to_Games[[#This Row],[DD]], L106+L106))</f>
        <v>4.0564819207303341E+31</v>
      </c>
    </row>
    <row r="108" spans="1:12">
      <c r="A108" t="s">
        <v>25</v>
      </c>
      <c r="B108">
        <v>256</v>
      </c>
      <c r="C108" t="s">
        <v>116</v>
      </c>
      <c r="D108" s="9">
        <v>45889</v>
      </c>
      <c r="E108">
        <v>208</v>
      </c>
      <c r="F108" t="s">
        <v>11</v>
      </c>
      <c r="G108">
        <v>4</v>
      </c>
      <c r="H108" t="s">
        <v>5</v>
      </c>
      <c r="I108">
        <v>12</v>
      </c>
      <c r="J108">
        <v>1</v>
      </c>
      <c r="K108">
        <f>IF(Convert_to_Games[[#This Row],[Total Score]]&gt;9, 1, 0)</f>
        <v>1</v>
      </c>
      <c r="L108">
        <f>IF(Convert_to_Games[[#This Row],[DD]]=0, 0, IF(L107 = "Cons DD", Convert_to_Games[[#This Row],[DD]], L107+L107))</f>
        <v>8.1129638414606682E+31</v>
      </c>
    </row>
    <row r="109" spans="1:12">
      <c r="A109" t="s">
        <v>25</v>
      </c>
      <c r="B109">
        <v>256</v>
      </c>
      <c r="C109" t="s">
        <v>116</v>
      </c>
      <c r="D109" s="9">
        <v>45910</v>
      </c>
      <c r="E109">
        <v>217</v>
      </c>
      <c r="F109" t="s">
        <v>9</v>
      </c>
      <c r="G109">
        <v>3</v>
      </c>
      <c r="H109" t="s">
        <v>4</v>
      </c>
      <c r="I109">
        <v>12</v>
      </c>
      <c r="J109">
        <v>1</v>
      </c>
      <c r="K109">
        <f>IF(Convert_to_Games[[#This Row],[Total Score]]&gt;9, 1, 0)</f>
        <v>1</v>
      </c>
      <c r="L109">
        <f>IF(Convert_to_Games[[#This Row],[DD]]=0, 0, IF(L108 = "Cons DD", Convert_to_Games[[#This Row],[DD]], L108+L108))</f>
        <v>1.6225927682921336E+32</v>
      </c>
    </row>
    <row r="110" spans="1:12">
      <c r="A110" t="s">
        <v>25</v>
      </c>
      <c r="B110">
        <v>256</v>
      </c>
      <c r="C110" t="s">
        <v>116</v>
      </c>
      <c r="D110" s="9">
        <v>45918</v>
      </c>
      <c r="E110">
        <v>222</v>
      </c>
      <c r="F110" t="s">
        <v>9</v>
      </c>
      <c r="G110">
        <v>3</v>
      </c>
      <c r="H110" t="s">
        <v>5</v>
      </c>
      <c r="I110">
        <v>12</v>
      </c>
      <c r="J110">
        <v>0</v>
      </c>
      <c r="K110">
        <f>IF(Convert_to_Games[[#This Row],[Total Score]]&gt;9, 1, 0)</f>
        <v>1</v>
      </c>
      <c r="L110">
        <f>IF(Convert_to_Games[[#This Row],[DD]]=0, 0, IF(L109 = "Cons DD", Convert_to_Games[[#This Row],[DD]], L109+L109))</f>
        <v>3.2451855365842673E+32</v>
      </c>
    </row>
    <row r="111" spans="1:12">
      <c r="A111" t="s">
        <v>25</v>
      </c>
      <c r="B111">
        <v>256</v>
      </c>
      <c r="C111" t="s">
        <v>116</v>
      </c>
      <c r="D111" s="9">
        <v>45919</v>
      </c>
      <c r="E111">
        <v>223</v>
      </c>
      <c r="F111" t="s">
        <v>9</v>
      </c>
      <c r="G111">
        <v>3</v>
      </c>
      <c r="H111" t="s">
        <v>4</v>
      </c>
      <c r="I111">
        <v>12</v>
      </c>
      <c r="J111">
        <v>1</v>
      </c>
      <c r="K111">
        <f>IF(Convert_to_Games[[#This Row],[Total Score]]&gt;9, 1, 0)</f>
        <v>1</v>
      </c>
      <c r="L111">
        <f>IF(Convert_to_Games[[#This Row],[DD]]=0, 0, IF(L110 = "Cons DD", Convert_to_Games[[#This Row],[DD]], L110+L110))</f>
        <v>6.4903710731685345E+32</v>
      </c>
    </row>
    <row r="112" spans="1:12">
      <c r="A112" t="s">
        <v>25</v>
      </c>
      <c r="B112">
        <v>256</v>
      </c>
      <c r="C112" t="s">
        <v>116</v>
      </c>
      <c r="D112" s="9">
        <v>45926</v>
      </c>
      <c r="E112">
        <v>226</v>
      </c>
      <c r="F112" t="s">
        <v>94</v>
      </c>
      <c r="G112">
        <v>3</v>
      </c>
      <c r="H112" t="s">
        <v>5</v>
      </c>
      <c r="I112">
        <v>12</v>
      </c>
      <c r="J112">
        <v>1</v>
      </c>
      <c r="K112">
        <f>IF(Convert_to_Games[[#This Row],[Total Score]]&gt;9, 1, 0)</f>
        <v>1</v>
      </c>
      <c r="L112">
        <f>IF(Convert_to_Games[[#This Row],[DD]]=0, 0, IF(L111 = "Cons DD", Convert_to_Games[[#This Row],[DD]], L111+L111))</f>
        <v>1.2980742146337069E+33</v>
      </c>
    </row>
    <row r="113" spans="1:12">
      <c r="A113" t="s">
        <v>25</v>
      </c>
      <c r="B113">
        <v>256</v>
      </c>
      <c r="C113" t="s">
        <v>116</v>
      </c>
      <c r="D113" s="9">
        <v>45929</v>
      </c>
      <c r="E113">
        <v>227</v>
      </c>
      <c r="F113" t="s">
        <v>11</v>
      </c>
      <c r="G113">
        <v>3</v>
      </c>
      <c r="H113" t="s">
        <v>5</v>
      </c>
      <c r="I113">
        <v>12</v>
      </c>
      <c r="J113">
        <v>1</v>
      </c>
      <c r="K113">
        <f>IF(Convert_to_Games[[#This Row],[Total Score]]&gt;9, 1, 0)</f>
        <v>1</v>
      </c>
      <c r="L113">
        <f>IF(Convert_to_Games[[#This Row],[DD]]=0, 0, IF(L112 = "Cons DD", Convert_to_Games[[#This Row],[DD]], L112+L112))</f>
        <v>2.5961484292674138E+33</v>
      </c>
    </row>
    <row r="114" spans="1:12">
      <c r="A114" t="s">
        <v>25</v>
      </c>
      <c r="B114">
        <v>256</v>
      </c>
      <c r="C114" t="s">
        <v>116</v>
      </c>
      <c r="D114" s="9">
        <v>45961</v>
      </c>
      <c r="E114">
        <v>238</v>
      </c>
      <c r="F114" t="s">
        <v>9</v>
      </c>
      <c r="G114">
        <v>3</v>
      </c>
      <c r="H114" t="s">
        <v>5</v>
      </c>
      <c r="I114">
        <v>12</v>
      </c>
      <c r="J114">
        <v>0</v>
      </c>
      <c r="K114">
        <f>IF(Convert_to_Games[[#This Row],[Total Score]]&gt;9, 1, 0)</f>
        <v>1</v>
      </c>
      <c r="L114">
        <f>IF(Convert_to_Games[[#This Row],[DD]]=0, 0, IF(L113 = "Cons DD", Convert_to_Games[[#This Row],[DD]], L113+L113))</f>
        <v>5.1922968585348276E+33</v>
      </c>
    </row>
    <row r="115" spans="1:12">
      <c r="A115" t="s">
        <v>25</v>
      </c>
      <c r="B115">
        <v>256</v>
      </c>
      <c r="C115" t="s">
        <v>116</v>
      </c>
      <c r="D115" s="9">
        <v>45993</v>
      </c>
      <c r="E115">
        <v>245</v>
      </c>
      <c r="F115" t="s">
        <v>9</v>
      </c>
      <c r="G115">
        <v>3</v>
      </c>
      <c r="H115" t="s">
        <v>5</v>
      </c>
      <c r="I115">
        <v>12</v>
      </c>
      <c r="J115">
        <v>0</v>
      </c>
      <c r="K115">
        <f>IF(Convert_to_Games[[#This Row],[Total Score]]&gt;9, 1, 0)</f>
        <v>1</v>
      </c>
      <c r="L115">
        <f>IF(Convert_to_Games[[#This Row],[DD]]=0, 0, IF(L114 = "Cons DD", Convert_to_Games[[#This Row],[DD]], L114+L114))</f>
        <v>1.0384593717069655E+34</v>
      </c>
    </row>
    <row r="116" spans="1:12">
      <c r="A116" t="s">
        <v>25</v>
      </c>
      <c r="B116">
        <v>256</v>
      </c>
      <c r="C116" t="s">
        <v>116</v>
      </c>
      <c r="D116" s="9">
        <v>45999</v>
      </c>
      <c r="E116">
        <v>249</v>
      </c>
      <c r="F116" t="s">
        <v>8</v>
      </c>
      <c r="G116">
        <v>3</v>
      </c>
      <c r="H116" t="s">
        <v>4</v>
      </c>
      <c r="I116">
        <v>12</v>
      </c>
      <c r="J116">
        <v>0</v>
      </c>
      <c r="K116">
        <f>IF(Convert_to_Games[[#This Row],[Total Score]]&gt;9, 1, 0)</f>
        <v>1</v>
      </c>
      <c r="L116">
        <f>IF(Convert_to_Games[[#This Row],[DD]]=0, 0, IF(L115 = "Cons DD", Convert_to_Games[[#This Row],[DD]], L115+L115))</f>
        <v>2.0769187434139311E+34</v>
      </c>
    </row>
    <row r="117" spans="1:12">
      <c r="A117" t="s">
        <v>25</v>
      </c>
      <c r="B117">
        <v>256</v>
      </c>
      <c r="C117" t="s">
        <v>116</v>
      </c>
      <c r="D117" s="9">
        <v>46034</v>
      </c>
      <c r="E117">
        <v>253</v>
      </c>
      <c r="F117" t="s">
        <v>9</v>
      </c>
      <c r="G117">
        <v>3</v>
      </c>
      <c r="H117" t="s">
        <v>5</v>
      </c>
      <c r="I117">
        <v>12</v>
      </c>
      <c r="J117">
        <v>0</v>
      </c>
      <c r="K117">
        <f>IF(Convert_to_Games[[#This Row],[Total Score]]&gt;9, 1, 0)</f>
        <v>1</v>
      </c>
      <c r="L117">
        <f>IF(Convert_to_Games[[#This Row],[DD]]=0, 0, IF(L116 = "Cons DD", Convert_to_Games[[#This Row],[DD]], L116+L116))</f>
        <v>4.1538374868278621E+34</v>
      </c>
    </row>
    <row r="118" spans="1:12">
      <c r="A118" t="s">
        <v>25</v>
      </c>
      <c r="B118">
        <v>256</v>
      </c>
      <c r="C118" t="s">
        <v>116</v>
      </c>
      <c r="D118" s="9">
        <v>46044</v>
      </c>
      <c r="E118">
        <v>256</v>
      </c>
      <c r="F118" t="s">
        <v>9</v>
      </c>
      <c r="G118">
        <v>4</v>
      </c>
      <c r="H118" t="s">
        <v>4</v>
      </c>
      <c r="I118">
        <v>12</v>
      </c>
      <c r="J118">
        <v>0</v>
      </c>
      <c r="K118">
        <f>IF(Convert_to_Games[[#This Row],[Total Score]]&gt;9, 1, 0)</f>
        <v>1</v>
      </c>
      <c r="L118">
        <f>IF(Convert_to_Games[[#This Row],[DD]]=0, 0, IF(L117 = "Cons DD", Convert_to_Games[[#This Row],[DD]], L117+L117))</f>
        <v>8.3076749736557242E+34</v>
      </c>
    </row>
    <row r="119" spans="1:12">
      <c r="A119" t="s">
        <v>25</v>
      </c>
      <c r="B119">
        <v>256</v>
      </c>
      <c r="C119" t="s">
        <v>116</v>
      </c>
      <c r="D119" s="9">
        <v>46073</v>
      </c>
      <c r="E119">
        <v>264</v>
      </c>
      <c r="F119" t="s">
        <v>11</v>
      </c>
      <c r="G119">
        <v>3</v>
      </c>
      <c r="H119" t="s">
        <v>5</v>
      </c>
      <c r="I119">
        <v>12</v>
      </c>
      <c r="J119">
        <v>0</v>
      </c>
      <c r="K119">
        <f>IF(Convert_to_Games[[#This Row],[Total Score]]&gt;9, 1, 0)</f>
        <v>1</v>
      </c>
      <c r="L119">
        <f>IF(Convert_to_Games[[#This Row],[DD]]=0, 0, IF(L118 = "Cons DD", Convert_to_Games[[#This Row],[DD]], L118+L118))</f>
        <v>1.6615349947311448E+35</v>
      </c>
    </row>
    <row r="120" spans="1:12">
      <c r="A120" t="s">
        <v>25</v>
      </c>
      <c r="B120">
        <v>256</v>
      </c>
      <c r="C120" t="s">
        <v>116</v>
      </c>
      <c r="D120" s="9">
        <v>46087</v>
      </c>
      <c r="E120">
        <v>271</v>
      </c>
      <c r="F120" t="s">
        <v>9</v>
      </c>
      <c r="G120">
        <v>3</v>
      </c>
      <c r="H120" t="s">
        <v>4</v>
      </c>
      <c r="I120">
        <v>12</v>
      </c>
      <c r="J120">
        <v>1</v>
      </c>
      <c r="K120">
        <f>IF(Convert_to_Games[[#This Row],[Total Score]]&gt;9, 1, 0)</f>
        <v>1</v>
      </c>
      <c r="L120">
        <f>IF(Convert_to_Games[[#This Row],[DD]]=0, 0, IF(L119 = "Cons DD", Convert_to_Games[[#This Row],[DD]], L119+L119))</f>
        <v>3.3230699894622897E+35</v>
      </c>
    </row>
    <row r="121" spans="1:12">
      <c r="A121" t="s">
        <v>25</v>
      </c>
      <c r="B121">
        <v>256</v>
      </c>
      <c r="C121" t="s">
        <v>116</v>
      </c>
      <c r="D121" s="9">
        <v>46092</v>
      </c>
      <c r="E121">
        <v>273</v>
      </c>
      <c r="F121" t="s">
        <v>8</v>
      </c>
      <c r="G121">
        <v>4</v>
      </c>
      <c r="H121" t="s">
        <v>5</v>
      </c>
      <c r="I121">
        <v>12</v>
      </c>
      <c r="J121">
        <v>0</v>
      </c>
      <c r="K121">
        <f>IF(Convert_to_Games[[#This Row],[Total Score]]&gt;9, 1, 0)</f>
        <v>1</v>
      </c>
      <c r="L121">
        <f>IF(Convert_to_Games[[#This Row],[DD]]=0, 0, IF(L120 = "Cons DD", Convert_to_Games[[#This Row],[DD]], L120+L120))</f>
        <v>6.6461399789245794E+35</v>
      </c>
    </row>
    <row r="122" spans="1:12">
      <c r="A122" t="s">
        <v>25</v>
      </c>
      <c r="B122">
        <v>256</v>
      </c>
      <c r="C122" t="s">
        <v>116</v>
      </c>
      <c r="D122" s="9">
        <v>46105</v>
      </c>
      <c r="E122">
        <v>276</v>
      </c>
      <c r="F122" t="s">
        <v>11</v>
      </c>
      <c r="G122">
        <v>4</v>
      </c>
      <c r="H122" t="s">
        <v>4</v>
      </c>
      <c r="I122">
        <v>12</v>
      </c>
      <c r="J122">
        <v>1</v>
      </c>
      <c r="K122">
        <f>IF(Convert_to_Games[[#This Row],[Total Score]]&gt;9, 1, 0)</f>
        <v>1</v>
      </c>
      <c r="L122">
        <f>IF(Convert_to_Games[[#This Row],[DD]]=0, 0, IF(L121 = "Cons DD", Convert_to_Games[[#This Row],[DD]], L121+L121))</f>
        <v>1.3292279957849159E+36</v>
      </c>
    </row>
    <row r="123" spans="1:12">
      <c r="A123" t="s">
        <v>25</v>
      </c>
      <c r="B123" t="s">
        <v>20</v>
      </c>
      <c r="C123" t="s">
        <v>18</v>
      </c>
      <c r="D123" s="9">
        <v>45707</v>
      </c>
      <c r="E123">
        <v>1</v>
      </c>
      <c r="F123" t="s">
        <v>8</v>
      </c>
      <c r="G123">
        <v>3</v>
      </c>
      <c r="H123" t="s">
        <v>4</v>
      </c>
      <c r="I123">
        <v>11</v>
      </c>
      <c r="J123">
        <v>1</v>
      </c>
      <c r="K123">
        <f>IF(Convert_to_Games[[#This Row],[Total Score]]&gt;9, 1, 0)</f>
        <v>1</v>
      </c>
      <c r="L123">
        <f>IF(Convert_to_Games[[#This Row],[DD]]=0, 0, IF(L122 = "Cons DD", Convert_to_Games[[#This Row],[DD]], L122+L122))</f>
        <v>2.6584559915698317E+36</v>
      </c>
    </row>
    <row r="124" spans="1:12">
      <c r="A124" t="s">
        <v>25</v>
      </c>
      <c r="B124" t="s">
        <v>20</v>
      </c>
      <c r="C124" t="s">
        <v>18</v>
      </c>
      <c r="D124" s="9">
        <v>45708</v>
      </c>
      <c r="E124">
        <v>5</v>
      </c>
      <c r="F124" t="s">
        <v>10</v>
      </c>
      <c r="G124">
        <v>3</v>
      </c>
      <c r="H124" t="s">
        <v>4</v>
      </c>
      <c r="I124">
        <v>11</v>
      </c>
      <c r="J124">
        <v>1</v>
      </c>
      <c r="K124">
        <f>IF(Convert_to_Games[[#This Row],[Total Score]]&gt;9, 1, 0)</f>
        <v>1</v>
      </c>
      <c r="L124">
        <f>IF(Convert_to_Games[[#This Row],[DD]]=0, 0, IF(L123 = "Cons DD", Convert_to_Games[[#This Row],[DD]], L123+L123))</f>
        <v>5.3169119831396635E+36</v>
      </c>
    </row>
    <row r="125" spans="1:12">
      <c r="A125" t="s">
        <v>25</v>
      </c>
      <c r="B125" t="s">
        <v>20</v>
      </c>
      <c r="C125" t="s">
        <v>18</v>
      </c>
      <c r="D125" s="9">
        <v>45713</v>
      </c>
      <c r="E125">
        <v>9</v>
      </c>
      <c r="F125" t="s">
        <v>8</v>
      </c>
      <c r="G125">
        <v>3</v>
      </c>
      <c r="H125" t="s">
        <v>5</v>
      </c>
      <c r="I125">
        <v>11</v>
      </c>
      <c r="J125">
        <v>1</v>
      </c>
      <c r="K125">
        <f>IF(Convert_to_Games[[#This Row],[Total Score]]&gt;9, 1, 0)</f>
        <v>1</v>
      </c>
      <c r="L125">
        <f>IF(Convert_to_Games[[#This Row],[DD]]=0, 0, IF(L124 = "Cons DD", Convert_to_Games[[#This Row],[DD]], L124+L124))</f>
        <v>1.0633823966279327E+37</v>
      </c>
    </row>
    <row r="126" spans="1:12">
      <c r="A126" t="s">
        <v>25</v>
      </c>
      <c r="B126" t="s">
        <v>20</v>
      </c>
      <c r="C126" t="s">
        <v>16</v>
      </c>
      <c r="D126" s="9">
        <v>45715</v>
      </c>
      <c r="E126">
        <v>13</v>
      </c>
      <c r="F126" t="s">
        <v>12</v>
      </c>
      <c r="G126">
        <v>3</v>
      </c>
      <c r="H126" t="s">
        <v>4</v>
      </c>
      <c r="I126">
        <v>11</v>
      </c>
      <c r="J126">
        <v>1</v>
      </c>
      <c r="K126">
        <f>IF(Convert_to_Games[[#This Row],[Total Score]]&gt;9, 1, 0)</f>
        <v>1</v>
      </c>
      <c r="L126">
        <f>IF(Convert_to_Games[[#This Row],[DD]]=0, 0, IF(L125 = "Cons DD", Convert_to_Games[[#This Row],[DD]], L125+L125))</f>
        <v>2.1267647932558654E+37</v>
      </c>
    </row>
    <row r="127" spans="1:12">
      <c r="A127" t="s">
        <v>25</v>
      </c>
      <c r="B127" t="s">
        <v>20</v>
      </c>
      <c r="C127" t="s">
        <v>16</v>
      </c>
      <c r="D127" s="9">
        <v>45716</v>
      </c>
      <c r="E127">
        <v>14</v>
      </c>
      <c r="F127" t="s">
        <v>9</v>
      </c>
      <c r="G127">
        <v>3</v>
      </c>
      <c r="H127" t="s">
        <v>4</v>
      </c>
      <c r="I127">
        <v>11</v>
      </c>
      <c r="J127">
        <v>1</v>
      </c>
      <c r="K127">
        <f>IF(Convert_to_Games[[#This Row],[Total Score]]&gt;9, 1, 0)</f>
        <v>1</v>
      </c>
      <c r="L127">
        <f>IF(Convert_to_Games[[#This Row],[DD]]=0, 0, IF(L126 = "Cons DD", Convert_to_Games[[#This Row],[DD]], L126+L126))</f>
        <v>4.2535295865117308E+37</v>
      </c>
    </row>
    <row r="128" spans="1:12">
      <c r="A128" t="s">
        <v>25</v>
      </c>
      <c r="B128" t="s">
        <v>20</v>
      </c>
      <c r="C128" t="s">
        <v>16</v>
      </c>
      <c r="D128" s="9">
        <v>45728</v>
      </c>
      <c r="E128">
        <v>23</v>
      </c>
      <c r="F128" t="s">
        <v>9</v>
      </c>
      <c r="G128">
        <v>3</v>
      </c>
      <c r="H128" t="s">
        <v>4</v>
      </c>
      <c r="I128">
        <v>11</v>
      </c>
      <c r="J128">
        <v>1</v>
      </c>
      <c r="K128">
        <f>IF(Convert_to_Games[[#This Row],[Total Score]]&gt;9, 1, 0)</f>
        <v>1</v>
      </c>
      <c r="L128">
        <f>IF(Convert_to_Games[[#This Row],[DD]]=0, 0, IF(L127 = "Cons DD", Convert_to_Games[[#This Row],[DD]], L127+L127))</f>
        <v>8.5070591730234616E+37</v>
      </c>
    </row>
    <row r="129" spans="1:12">
      <c r="A129" t="s">
        <v>25</v>
      </c>
      <c r="B129" t="s">
        <v>20</v>
      </c>
      <c r="C129" t="s">
        <v>16</v>
      </c>
      <c r="D129" s="9">
        <v>45741</v>
      </c>
      <c r="E129">
        <v>26</v>
      </c>
      <c r="F129" t="s">
        <v>11</v>
      </c>
      <c r="G129">
        <v>3</v>
      </c>
      <c r="H129" t="s">
        <v>5</v>
      </c>
      <c r="I129">
        <v>11</v>
      </c>
      <c r="J129">
        <v>0</v>
      </c>
      <c r="K129">
        <f>IF(Convert_to_Games[[#This Row],[Total Score]]&gt;9, 1, 0)</f>
        <v>1</v>
      </c>
      <c r="L129">
        <f>IF(Convert_to_Games[[#This Row],[DD]]=0, 0, IF(L128 = "Cons DD", Convert_to_Games[[#This Row],[DD]], L128+L128))</f>
        <v>1.7014118346046923E+38</v>
      </c>
    </row>
    <row r="130" spans="1:12">
      <c r="A130" t="s">
        <v>25</v>
      </c>
      <c r="B130" t="s">
        <v>19</v>
      </c>
      <c r="C130" t="s">
        <v>16</v>
      </c>
      <c r="D130" s="9">
        <v>45771</v>
      </c>
      <c r="E130">
        <v>67</v>
      </c>
      <c r="F130" t="s">
        <v>11</v>
      </c>
      <c r="G130">
        <v>3</v>
      </c>
      <c r="H130" t="s">
        <v>4</v>
      </c>
      <c r="I130">
        <v>11</v>
      </c>
      <c r="J130">
        <v>1</v>
      </c>
      <c r="K130">
        <f>IF(Convert_to_Games[[#This Row],[Total Score]]&gt;9, 1, 0)</f>
        <v>1</v>
      </c>
      <c r="L130">
        <f>IF(Convert_to_Games[[#This Row],[DD]]=0, 0, IF(L129 = "Cons DD", Convert_to_Games[[#This Row],[DD]], L129+L129))</f>
        <v>3.4028236692093846E+38</v>
      </c>
    </row>
    <row r="131" spans="1:12">
      <c r="A131" t="s">
        <v>25</v>
      </c>
      <c r="B131" t="s">
        <v>20</v>
      </c>
      <c r="C131" t="s">
        <v>16</v>
      </c>
      <c r="D131" s="9">
        <v>45771</v>
      </c>
      <c r="E131">
        <v>69</v>
      </c>
      <c r="F131" t="s">
        <v>8</v>
      </c>
      <c r="G131">
        <v>3</v>
      </c>
      <c r="H131" t="s">
        <v>4</v>
      </c>
      <c r="I131">
        <v>11</v>
      </c>
      <c r="J131">
        <v>1</v>
      </c>
      <c r="K131">
        <f>IF(Convert_to_Games[[#This Row],[Total Score]]&gt;9, 1, 0)</f>
        <v>1</v>
      </c>
      <c r="L131">
        <f>IF(Convert_to_Games[[#This Row],[DD]]=0, 0, IF(L130 = "Cons DD", Convert_to_Games[[#This Row],[DD]], L130+L130))</f>
        <v>6.8056473384187693E+38</v>
      </c>
    </row>
    <row r="132" spans="1:12">
      <c r="A132" t="s">
        <v>25</v>
      </c>
      <c r="B132" t="s">
        <v>20</v>
      </c>
      <c r="C132" t="s">
        <v>16</v>
      </c>
      <c r="D132" s="9">
        <v>45782</v>
      </c>
      <c r="E132">
        <v>91</v>
      </c>
      <c r="F132" t="s">
        <v>9</v>
      </c>
      <c r="G132">
        <v>3</v>
      </c>
      <c r="H132" t="s">
        <v>5</v>
      </c>
      <c r="I132">
        <v>11</v>
      </c>
      <c r="J132">
        <v>1</v>
      </c>
      <c r="K132">
        <f>IF(Convert_to_Games[[#This Row],[Total Score]]&gt;9, 1, 0)</f>
        <v>1</v>
      </c>
      <c r="L132">
        <f>IF(Convert_to_Games[[#This Row],[DD]]=0, 0, IF(L131 = "Cons DD", Convert_to_Games[[#This Row],[DD]], L131+L131))</f>
        <v>1.3611294676837539E+39</v>
      </c>
    </row>
    <row r="133" spans="1:12">
      <c r="A133" t="s">
        <v>25</v>
      </c>
      <c r="B133" t="s">
        <v>20</v>
      </c>
      <c r="C133" t="s">
        <v>16</v>
      </c>
      <c r="D133" s="9">
        <v>45791</v>
      </c>
      <c r="E133">
        <v>98</v>
      </c>
      <c r="F133" t="s">
        <v>8</v>
      </c>
      <c r="G133">
        <v>3</v>
      </c>
      <c r="H133" t="s">
        <v>4</v>
      </c>
      <c r="I133">
        <v>11</v>
      </c>
      <c r="J133">
        <v>1</v>
      </c>
      <c r="K133">
        <f>IF(Convert_to_Games[[#This Row],[Total Score]]&gt;9, 1, 0)</f>
        <v>1</v>
      </c>
      <c r="L133">
        <f>IF(Convert_to_Games[[#This Row],[DD]]=0, 0, IF(L132 = "Cons DD", Convert_to_Games[[#This Row],[DD]], L132+L132))</f>
        <v>2.7222589353675077E+39</v>
      </c>
    </row>
    <row r="134" spans="1:12">
      <c r="A134" t="s">
        <v>25</v>
      </c>
      <c r="B134" t="s">
        <v>20</v>
      </c>
      <c r="C134" t="s">
        <v>16</v>
      </c>
      <c r="D134" s="9">
        <v>45825</v>
      </c>
      <c r="E134">
        <v>114</v>
      </c>
      <c r="F134" t="s">
        <v>8</v>
      </c>
      <c r="G134">
        <v>3</v>
      </c>
      <c r="H134" t="s">
        <v>5</v>
      </c>
      <c r="I134">
        <v>11</v>
      </c>
      <c r="J134">
        <v>1</v>
      </c>
      <c r="K134">
        <f>IF(Convert_to_Games[[#This Row],[Total Score]]&gt;9, 1, 0)</f>
        <v>1</v>
      </c>
      <c r="L134">
        <f>IF(Convert_to_Games[[#This Row],[DD]]=0, 0, IF(L133 = "Cons DD", Convert_to_Games[[#This Row],[DD]], L133+L133))</f>
        <v>5.4445178707350154E+39</v>
      </c>
    </row>
    <row r="135" spans="1:12">
      <c r="A135" t="s">
        <v>25</v>
      </c>
      <c r="B135" t="s">
        <v>19</v>
      </c>
      <c r="C135" t="s">
        <v>16</v>
      </c>
      <c r="D135" s="9">
        <v>45828</v>
      </c>
      <c r="E135">
        <v>122</v>
      </c>
      <c r="F135" t="s">
        <v>11</v>
      </c>
      <c r="G135">
        <v>3</v>
      </c>
      <c r="H135" t="s">
        <v>5</v>
      </c>
      <c r="I135">
        <v>11</v>
      </c>
      <c r="J135">
        <v>1</v>
      </c>
      <c r="K135">
        <f>IF(Convert_to_Games[[#This Row],[Total Score]]&gt;9, 1, 0)</f>
        <v>1</v>
      </c>
      <c r="L135">
        <f>IF(Convert_to_Games[[#This Row],[DD]]=0, 0, IF(L134 = "Cons DD", Convert_to_Games[[#This Row],[DD]], L134+L134))</f>
        <v>1.0889035741470031E+40</v>
      </c>
    </row>
    <row r="136" spans="1:12">
      <c r="A136" t="s">
        <v>25</v>
      </c>
      <c r="B136" t="s">
        <v>21</v>
      </c>
      <c r="C136" t="s">
        <v>16</v>
      </c>
      <c r="D136" s="9">
        <v>45828</v>
      </c>
      <c r="E136">
        <v>123</v>
      </c>
      <c r="F136" t="s">
        <v>9</v>
      </c>
      <c r="G136">
        <v>3</v>
      </c>
      <c r="H136" t="s">
        <v>4</v>
      </c>
      <c r="I136">
        <v>11</v>
      </c>
      <c r="J136">
        <v>1</v>
      </c>
      <c r="K136">
        <f>IF(Convert_to_Games[[#This Row],[Total Score]]&gt;9, 1, 0)</f>
        <v>1</v>
      </c>
      <c r="L136">
        <f>IF(Convert_to_Games[[#This Row],[DD]]=0, 0, IF(L135 = "Cons DD", Convert_to_Games[[#This Row],[DD]], L135+L135))</f>
        <v>2.1778071482940062E+40</v>
      </c>
    </row>
    <row r="137" spans="1:12">
      <c r="A137" t="s">
        <v>25</v>
      </c>
      <c r="B137" t="s">
        <v>20</v>
      </c>
      <c r="C137" t="s">
        <v>16</v>
      </c>
      <c r="D137" s="9">
        <v>45832</v>
      </c>
      <c r="E137">
        <v>127</v>
      </c>
      <c r="F137" t="s">
        <v>84</v>
      </c>
      <c r="G137">
        <v>3</v>
      </c>
      <c r="H137" t="s">
        <v>5</v>
      </c>
      <c r="I137">
        <v>11</v>
      </c>
      <c r="J137">
        <v>1</v>
      </c>
      <c r="K137">
        <f>IF(Convert_to_Games[[#This Row],[Total Score]]&gt;9, 1, 0)</f>
        <v>1</v>
      </c>
      <c r="L137">
        <f>IF(Convert_to_Games[[#This Row],[DD]]=0, 0, IF(L136 = "Cons DD", Convert_to_Games[[#This Row],[DD]], L136+L136))</f>
        <v>4.3556142965880123E+40</v>
      </c>
    </row>
    <row r="138" spans="1:12">
      <c r="A138" t="s">
        <v>25</v>
      </c>
      <c r="B138" t="s">
        <v>20</v>
      </c>
      <c r="C138" t="s">
        <v>16</v>
      </c>
      <c r="D138" s="9">
        <v>45845</v>
      </c>
      <c r="E138">
        <v>150</v>
      </c>
      <c r="F138" t="s">
        <v>111</v>
      </c>
      <c r="G138">
        <v>3</v>
      </c>
      <c r="H138" t="s">
        <v>78</v>
      </c>
      <c r="I138">
        <v>11</v>
      </c>
      <c r="J138">
        <v>1</v>
      </c>
      <c r="K138">
        <f>IF(Convert_to_Games[[#This Row],[Total Score]]&gt;9, 1, 0)</f>
        <v>1</v>
      </c>
      <c r="L138">
        <f>IF(Convert_to_Games[[#This Row],[DD]]=0, 0, IF(L137 = "Cons DD", Convert_to_Games[[#This Row],[DD]], L137+L137))</f>
        <v>8.7112285931760247E+40</v>
      </c>
    </row>
    <row r="139" spans="1:12">
      <c r="A139" t="s">
        <v>25</v>
      </c>
      <c r="B139" t="s">
        <v>19</v>
      </c>
      <c r="C139" t="s">
        <v>16</v>
      </c>
      <c r="D139" s="9">
        <v>45846</v>
      </c>
      <c r="E139">
        <v>152</v>
      </c>
      <c r="F139" t="s">
        <v>111</v>
      </c>
      <c r="G139">
        <v>4</v>
      </c>
      <c r="H139" t="s">
        <v>4</v>
      </c>
      <c r="I139">
        <v>11</v>
      </c>
      <c r="J139">
        <v>1</v>
      </c>
      <c r="K139">
        <f>IF(Convert_to_Games[[#This Row],[Total Score]]&gt;9, 1, 0)</f>
        <v>1</v>
      </c>
      <c r="L139">
        <f>IF(Convert_to_Games[[#This Row],[DD]]=0, 0, IF(L138 = "Cons DD", Convert_to_Games[[#This Row],[DD]], L138+L138))</f>
        <v>1.7422457186352049E+41</v>
      </c>
    </row>
    <row r="140" spans="1:12">
      <c r="A140" t="s">
        <v>25</v>
      </c>
      <c r="B140" t="s">
        <v>20</v>
      </c>
      <c r="C140" t="s">
        <v>16</v>
      </c>
      <c r="D140" s="9">
        <v>45854</v>
      </c>
      <c r="E140">
        <v>168</v>
      </c>
      <c r="F140" t="s">
        <v>104</v>
      </c>
      <c r="G140">
        <v>3</v>
      </c>
      <c r="H140" t="s">
        <v>4</v>
      </c>
      <c r="I140">
        <v>11</v>
      </c>
      <c r="J140">
        <v>1</v>
      </c>
      <c r="K140">
        <f>IF(Convert_to_Games[[#This Row],[Total Score]]&gt;9, 1, 0)</f>
        <v>1</v>
      </c>
      <c r="L140">
        <f>IF(Convert_to_Games[[#This Row],[DD]]=0, 0, IF(L139 = "Cons DD", Convert_to_Games[[#This Row],[DD]], L139+L139))</f>
        <v>3.4844914372704099E+41</v>
      </c>
    </row>
    <row r="141" spans="1:12">
      <c r="A141" t="s">
        <v>25</v>
      </c>
      <c r="B141" t="s">
        <v>20</v>
      </c>
      <c r="C141" t="s">
        <v>16</v>
      </c>
      <c r="D141" s="9">
        <v>45868</v>
      </c>
      <c r="E141">
        <v>185</v>
      </c>
      <c r="F141" t="s">
        <v>11</v>
      </c>
      <c r="G141">
        <v>3</v>
      </c>
      <c r="H141" t="s">
        <v>4</v>
      </c>
      <c r="I141">
        <v>11</v>
      </c>
      <c r="J141">
        <v>1</v>
      </c>
      <c r="K141">
        <f>IF(Convert_to_Games[[#This Row],[Total Score]]&gt;9, 1, 0)</f>
        <v>1</v>
      </c>
      <c r="L141">
        <f>IF(Convert_to_Games[[#This Row],[DD]]=0, 0, IF(L140 = "Cons DD", Convert_to_Games[[#This Row],[DD]], L140+L140))</f>
        <v>6.9689828745408197E+41</v>
      </c>
    </row>
    <row r="142" spans="1:12">
      <c r="A142" t="s">
        <v>25</v>
      </c>
      <c r="B142" t="s">
        <v>20</v>
      </c>
      <c r="C142" t="s">
        <v>116</v>
      </c>
      <c r="D142" s="9">
        <v>45875</v>
      </c>
      <c r="E142">
        <v>197</v>
      </c>
      <c r="F142" t="s">
        <v>11</v>
      </c>
      <c r="G142">
        <v>3</v>
      </c>
      <c r="H142" t="s">
        <v>5</v>
      </c>
      <c r="I142">
        <v>11</v>
      </c>
      <c r="J142">
        <v>0</v>
      </c>
      <c r="K142">
        <f>IF(Convert_to_Games[[#This Row],[Total Score]]&gt;9, 1, 0)</f>
        <v>1</v>
      </c>
      <c r="L142">
        <f>IF(Convert_to_Games[[#This Row],[DD]]=0, 0, IF(L141 = "Cons DD", Convert_to_Games[[#This Row],[DD]], L141+L141))</f>
        <v>1.3937965749081639E+42</v>
      </c>
    </row>
    <row r="143" spans="1:12">
      <c r="A143" t="s">
        <v>25</v>
      </c>
      <c r="B143">
        <v>256</v>
      </c>
      <c r="C143" t="s">
        <v>116</v>
      </c>
      <c r="D143" s="9">
        <v>45894</v>
      </c>
      <c r="E143">
        <v>210</v>
      </c>
      <c r="F143" t="s">
        <v>11</v>
      </c>
      <c r="G143">
        <v>3</v>
      </c>
      <c r="H143" t="s">
        <v>5</v>
      </c>
      <c r="I143">
        <v>11</v>
      </c>
      <c r="J143">
        <v>0</v>
      </c>
      <c r="K143">
        <f>IF(Convert_to_Games[[#This Row],[Total Score]]&gt;9, 1, 0)</f>
        <v>1</v>
      </c>
      <c r="L143">
        <f>IF(Convert_to_Games[[#This Row],[DD]]=0, 0, IF(L142 = "Cons DD", Convert_to_Games[[#This Row],[DD]], L142+L142))</f>
        <v>2.7875931498163279E+42</v>
      </c>
    </row>
    <row r="144" spans="1:12">
      <c r="A144" t="s">
        <v>25</v>
      </c>
      <c r="B144">
        <v>256</v>
      </c>
      <c r="C144" t="s">
        <v>116</v>
      </c>
      <c r="D144" s="9">
        <v>45896</v>
      </c>
      <c r="E144">
        <v>211</v>
      </c>
      <c r="F144" t="s">
        <v>24</v>
      </c>
      <c r="G144">
        <v>3</v>
      </c>
      <c r="H144" t="s">
        <v>5</v>
      </c>
      <c r="I144">
        <v>11</v>
      </c>
      <c r="J144">
        <v>0</v>
      </c>
      <c r="K144">
        <f>IF(Convert_to_Games[[#This Row],[Total Score]]&gt;9, 1, 0)</f>
        <v>1</v>
      </c>
      <c r="L144">
        <f>IF(Convert_to_Games[[#This Row],[DD]]=0, 0, IF(L143 = "Cons DD", Convert_to_Games[[#This Row],[DD]], L143+L143))</f>
        <v>5.5751862996326558E+42</v>
      </c>
    </row>
    <row r="145" spans="1:12">
      <c r="A145" t="s">
        <v>25</v>
      </c>
      <c r="B145">
        <v>256</v>
      </c>
      <c r="C145" t="s">
        <v>116</v>
      </c>
      <c r="D145" s="9">
        <v>45919</v>
      </c>
      <c r="E145">
        <v>223</v>
      </c>
      <c r="F145" t="s">
        <v>9</v>
      </c>
      <c r="G145">
        <v>3</v>
      </c>
      <c r="H145" t="s">
        <v>5</v>
      </c>
      <c r="I145">
        <v>11</v>
      </c>
      <c r="J145">
        <v>0</v>
      </c>
      <c r="K145">
        <f>IF(Convert_to_Games[[#This Row],[Total Score]]&gt;9, 1, 0)</f>
        <v>1</v>
      </c>
      <c r="L145">
        <f>IF(Convert_to_Games[[#This Row],[DD]]=0, 0, IF(L144 = "Cons DD", Convert_to_Games[[#This Row],[DD]], L144+L144))</f>
        <v>1.1150372599265312E+43</v>
      </c>
    </row>
    <row r="146" spans="1:12">
      <c r="A146" t="s">
        <v>25</v>
      </c>
      <c r="B146">
        <v>256</v>
      </c>
      <c r="C146" t="s">
        <v>116</v>
      </c>
      <c r="D146" s="9">
        <v>45929</v>
      </c>
      <c r="E146">
        <v>227</v>
      </c>
      <c r="F146" t="s">
        <v>11</v>
      </c>
      <c r="G146">
        <v>3</v>
      </c>
      <c r="H146" t="s">
        <v>4</v>
      </c>
      <c r="I146">
        <v>11</v>
      </c>
      <c r="J146">
        <v>0</v>
      </c>
      <c r="K146">
        <f>IF(Convert_to_Games[[#This Row],[Total Score]]&gt;9, 1, 0)</f>
        <v>1</v>
      </c>
      <c r="L146">
        <f>IF(Convert_to_Games[[#This Row],[DD]]=0, 0, IF(L145 = "Cons DD", Convert_to_Games[[#This Row],[DD]], L145+L145))</f>
        <v>2.2300745198530623E+43</v>
      </c>
    </row>
    <row r="147" spans="1:12">
      <c r="A147" t="s">
        <v>25</v>
      </c>
      <c r="B147">
        <v>256</v>
      </c>
      <c r="C147" t="s">
        <v>116</v>
      </c>
      <c r="D147" s="9">
        <v>45930</v>
      </c>
      <c r="E147">
        <v>228</v>
      </c>
      <c r="F147" t="s">
        <v>11</v>
      </c>
      <c r="G147">
        <v>3</v>
      </c>
      <c r="H147" t="s">
        <v>5</v>
      </c>
      <c r="I147">
        <v>11</v>
      </c>
      <c r="J147">
        <v>0</v>
      </c>
      <c r="K147">
        <f>IF(Convert_to_Games[[#This Row],[Total Score]]&gt;9, 1, 0)</f>
        <v>1</v>
      </c>
      <c r="L147">
        <f>IF(Convert_to_Games[[#This Row],[DD]]=0, 0, IF(L146 = "Cons DD", Convert_to_Games[[#This Row],[DD]], L146+L146))</f>
        <v>4.4601490397061246E+43</v>
      </c>
    </row>
    <row r="148" spans="1:12">
      <c r="A148" t="s">
        <v>25</v>
      </c>
      <c r="B148">
        <v>256</v>
      </c>
      <c r="C148" t="s">
        <v>116</v>
      </c>
      <c r="D148" s="9">
        <v>45943</v>
      </c>
      <c r="E148">
        <v>232</v>
      </c>
      <c r="F148" t="s">
        <v>9</v>
      </c>
      <c r="G148">
        <v>3</v>
      </c>
      <c r="H148" t="s">
        <v>4</v>
      </c>
      <c r="I148">
        <v>11</v>
      </c>
      <c r="J148">
        <v>1</v>
      </c>
      <c r="K148">
        <f>IF(Convert_to_Games[[#This Row],[Total Score]]&gt;9, 1, 0)</f>
        <v>1</v>
      </c>
      <c r="L148">
        <f>IF(Convert_to_Games[[#This Row],[DD]]=0, 0, IF(L147 = "Cons DD", Convert_to_Games[[#This Row],[DD]], L147+L147))</f>
        <v>8.9202980794122493E+43</v>
      </c>
    </row>
    <row r="149" spans="1:12">
      <c r="A149" t="s">
        <v>25</v>
      </c>
      <c r="B149">
        <v>256</v>
      </c>
      <c r="C149" t="s">
        <v>116</v>
      </c>
      <c r="D149" s="9">
        <v>45954</v>
      </c>
      <c r="E149">
        <v>235</v>
      </c>
      <c r="F149" t="s">
        <v>8</v>
      </c>
      <c r="G149">
        <v>3</v>
      </c>
      <c r="H149" t="s">
        <v>4</v>
      </c>
      <c r="I149">
        <v>11</v>
      </c>
      <c r="J149">
        <v>1</v>
      </c>
      <c r="K149">
        <f>IF(Convert_to_Games[[#This Row],[Total Score]]&gt;9, 1, 0)</f>
        <v>1</v>
      </c>
      <c r="L149">
        <f>IF(Convert_to_Games[[#This Row],[DD]]=0, 0, IF(L148 = "Cons DD", Convert_to_Games[[#This Row],[DD]], L148+L148))</f>
        <v>1.7840596158824499E+44</v>
      </c>
    </row>
    <row r="150" spans="1:12">
      <c r="A150" t="s">
        <v>25</v>
      </c>
      <c r="B150">
        <v>256</v>
      </c>
      <c r="C150" t="s">
        <v>116</v>
      </c>
      <c r="D150" s="9">
        <v>45994</v>
      </c>
      <c r="E150">
        <v>246</v>
      </c>
      <c r="F150" t="s">
        <v>9</v>
      </c>
      <c r="G150">
        <v>3</v>
      </c>
      <c r="H150" t="s">
        <v>5</v>
      </c>
      <c r="I150">
        <v>11</v>
      </c>
      <c r="J150">
        <v>0</v>
      </c>
      <c r="K150">
        <f>IF(Convert_to_Games[[#This Row],[Total Score]]&gt;9, 1, 0)</f>
        <v>1</v>
      </c>
      <c r="L150">
        <f>IF(Convert_to_Games[[#This Row],[DD]]=0, 0, IF(L149 = "Cons DD", Convert_to_Games[[#This Row],[DD]], L149+L149))</f>
        <v>3.5681192317648997E+44</v>
      </c>
    </row>
    <row r="151" spans="1:12">
      <c r="A151" t="s">
        <v>25</v>
      </c>
      <c r="B151">
        <v>256</v>
      </c>
      <c r="C151" t="s">
        <v>116</v>
      </c>
      <c r="D151" s="9">
        <v>46000</v>
      </c>
      <c r="E151">
        <v>251</v>
      </c>
      <c r="F151" t="s">
        <v>11</v>
      </c>
      <c r="G151">
        <v>3</v>
      </c>
      <c r="H151" t="s">
        <v>5</v>
      </c>
      <c r="I151">
        <v>11</v>
      </c>
      <c r="J151">
        <v>0</v>
      </c>
      <c r="K151">
        <f>IF(Convert_to_Games[[#This Row],[Total Score]]&gt;9, 1, 0)</f>
        <v>1</v>
      </c>
      <c r="L151">
        <f>IF(Convert_to_Games[[#This Row],[DD]]=0, 0, IF(L150 = "Cons DD", Convert_to_Games[[#This Row],[DD]], L150+L150))</f>
        <v>7.1362384635297994E+44</v>
      </c>
    </row>
    <row r="152" spans="1:12">
      <c r="A152" t="s">
        <v>25</v>
      </c>
      <c r="B152">
        <v>256</v>
      </c>
      <c r="C152" t="s">
        <v>116</v>
      </c>
      <c r="D152" s="9">
        <v>46006</v>
      </c>
      <c r="E152">
        <v>252</v>
      </c>
      <c r="F152" t="s">
        <v>121</v>
      </c>
      <c r="G152">
        <v>3</v>
      </c>
      <c r="H152" t="s">
        <v>4</v>
      </c>
      <c r="I152">
        <v>11</v>
      </c>
      <c r="J152">
        <v>1</v>
      </c>
      <c r="K152">
        <f>IF(Convert_to_Games[[#This Row],[Total Score]]&gt;9, 1, 0)</f>
        <v>1</v>
      </c>
      <c r="L152">
        <f>IF(Convert_to_Games[[#This Row],[DD]]=0, 0, IF(L151 = "Cons DD", Convert_to_Games[[#This Row],[DD]], L151+L151))</f>
        <v>1.4272476927059599E+45</v>
      </c>
    </row>
    <row r="153" spans="1:12">
      <c r="A153" t="s">
        <v>25</v>
      </c>
      <c r="B153">
        <v>256</v>
      </c>
      <c r="C153" t="s">
        <v>116</v>
      </c>
      <c r="D153" s="9">
        <v>46051</v>
      </c>
      <c r="E153">
        <v>257</v>
      </c>
      <c r="F153" t="s">
        <v>9</v>
      </c>
      <c r="G153">
        <v>3</v>
      </c>
      <c r="H153" t="s">
        <v>4</v>
      </c>
      <c r="I153">
        <v>11</v>
      </c>
      <c r="J153">
        <v>1</v>
      </c>
      <c r="K153">
        <f>IF(Convert_to_Games[[#This Row],[Total Score]]&gt;9, 1, 0)</f>
        <v>1</v>
      </c>
      <c r="L153">
        <f>IF(Convert_to_Games[[#This Row],[DD]]=0, 0, IF(L152 = "Cons DD", Convert_to_Games[[#This Row],[DD]], L152+L152))</f>
        <v>2.8544953854119198E+45</v>
      </c>
    </row>
    <row r="154" spans="1:12">
      <c r="A154" t="s">
        <v>25</v>
      </c>
      <c r="B154">
        <v>256</v>
      </c>
      <c r="C154" t="s">
        <v>116</v>
      </c>
      <c r="D154" s="9">
        <v>46055</v>
      </c>
      <c r="E154">
        <v>258</v>
      </c>
      <c r="F154" t="s">
        <v>11</v>
      </c>
      <c r="G154">
        <v>3</v>
      </c>
      <c r="H154" t="s">
        <v>4</v>
      </c>
      <c r="I154">
        <v>11</v>
      </c>
      <c r="J154">
        <v>1</v>
      </c>
      <c r="K154">
        <f>IF(Convert_to_Games[[#This Row],[Total Score]]&gt;9, 1, 0)</f>
        <v>1</v>
      </c>
      <c r="L154">
        <f>IF(Convert_to_Games[[#This Row],[DD]]=0, 0, IF(L153 = "Cons DD", Convert_to_Games[[#This Row],[DD]], L153+L153))</f>
        <v>5.7089907708238395E+45</v>
      </c>
    </row>
    <row r="155" spans="1:12">
      <c r="A155" t="s">
        <v>25</v>
      </c>
      <c r="B155">
        <v>256</v>
      </c>
      <c r="C155" t="s">
        <v>116</v>
      </c>
      <c r="D155" s="9">
        <v>46056</v>
      </c>
      <c r="E155">
        <v>259</v>
      </c>
      <c r="F155" t="s">
        <v>11</v>
      </c>
      <c r="G155">
        <v>3</v>
      </c>
      <c r="H155" t="s">
        <v>5</v>
      </c>
      <c r="I155">
        <v>11</v>
      </c>
      <c r="J155">
        <v>0</v>
      </c>
      <c r="K155">
        <f>IF(Convert_to_Games[[#This Row],[Total Score]]&gt;9, 1, 0)</f>
        <v>1</v>
      </c>
      <c r="L155">
        <f>IF(Convert_to_Games[[#This Row],[DD]]=0, 0, IF(L154 = "Cons DD", Convert_to_Games[[#This Row],[DD]], L154+L154))</f>
        <v>1.1417981541647679E+46</v>
      </c>
    </row>
    <row r="156" spans="1:12">
      <c r="A156" t="s">
        <v>25</v>
      </c>
      <c r="B156">
        <v>256</v>
      </c>
      <c r="C156" t="s">
        <v>116</v>
      </c>
      <c r="D156" s="9">
        <v>46087</v>
      </c>
      <c r="E156">
        <v>271</v>
      </c>
      <c r="F156" t="s">
        <v>9</v>
      </c>
      <c r="G156">
        <v>3</v>
      </c>
      <c r="H156" t="s">
        <v>5</v>
      </c>
      <c r="I156">
        <v>11</v>
      </c>
      <c r="J156">
        <v>0</v>
      </c>
      <c r="K156">
        <f>IF(Convert_to_Games[[#This Row],[Total Score]]&gt;9, 1, 0)</f>
        <v>1</v>
      </c>
      <c r="L156">
        <f>IF(Convert_to_Games[[#This Row],[DD]]=0, 0, IF(L155 = "Cons DD", Convert_to_Games[[#This Row],[DD]], L155+L155))</f>
        <v>2.2835963083295358E+46</v>
      </c>
    </row>
    <row r="157" spans="1:12">
      <c r="A157" t="s">
        <v>25</v>
      </c>
      <c r="B157" t="s">
        <v>20</v>
      </c>
      <c r="C157" t="s">
        <v>18</v>
      </c>
      <c r="D157" s="9">
        <v>45708</v>
      </c>
      <c r="E157">
        <v>3</v>
      </c>
      <c r="F157" t="s">
        <v>9</v>
      </c>
      <c r="G157">
        <v>3</v>
      </c>
      <c r="H157" t="s">
        <v>4</v>
      </c>
      <c r="I157">
        <v>10</v>
      </c>
      <c r="J157">
        <v>1</v>
      </c>
      <c r="K157">
        <f>IF(Convert_to_Games[[#This Row],[Total Score]]&gt;9, 1, 0)</f>
        <v>1</v>
      </c>
      <c r="L157">
        <f>IF(Convert_to_Games[[#This Row],[DD]]=0, 0, IF(L156 = "Cons DD", Convert_to_Games[[#This Row],[DD]], L156+L156))</f>
        <v>4.5671926166590716E+46</v>
      </c>
    </row>
    <row r="158" spans="1:12">
      <c r="A158" t="s">
        <v>25</v>
      </c>
      <c r="B158" t="s">
        <v>20</v>
      </c>
      <c r="C158" t="s">
        <v>18</v>
      </c>
      <c r="D158" s="9">
        <v>45709</v>
      </c>
      <c r="E158">
        <v>6</v>
      </c>
      <c r="F158" t="s">
        <v>9</v>
      </c>
      <c r="G158">
        <v>3</v>
      </c>
      <c r="H158" t="s">
        <v>4</v>
      </c>
      <c r="I158">
        <v>10</v>
      </c>
      <c r="J158">
        <v>1</v>
      </c>
      <c r="K158">
        <f>IF(Convert_to_Games[[#This Row],[Total Score]]&gt;9, 1, 0)</f>
        <v>1</v>
      </c>
      <c r="L158">
        <f>IF(Convert_to_Games[[#This Row],[DD]]=0, 0, IF(L157 = "Cons DD", Convert_to_Games[[#This Row],[DD]], L157+L157))</f>
        <v>9.1343852333181432E+46</v>
      </c>
    </row>
    <row r="159" spans="1:12">
      <c r="A159" t="s">
        <v>25</v>
      </c>
      <c r="B159" t="s">
        <v>20</v>
      </c>
      <c r="C159" t="s">
        <v>16</v>
      </c>
      <c r="D159" s="9">
        <v>45715</v>
      </c>
      <c r="E159">
        <v>12</v>
      </c>
      <c r="F159" t="s">
        <v>13</v>
      </c>
      <c r="G159">
        <v>3</v>
      </c>
      <c r="H159" t="s">
        <v>4</v>
      </c>
      <c r="I159">
        <v>10</v>
      </c>
      <c r="J159">
        <v>1</v>
      </c>
      <c r="K159">
        <f>IF(Convert_to_Games[[#This Row],[Total Score]]&gt;9, 1, 0)</f>
        <v>1</v>
      </c>
      <c r="L159">
        <f>IF(Convert_to_Games[[#This Row],[DD]]=0, 0, IF(L158 = "Cons DD", Convert_to_Games[[#This Row],[DD]], L158+L158))</f>
        <v>1.8268770466636286E+47</v>
      </c>
    </row>
    <row r="160" spans="1:12">
      <c r="A160" t="s">
        <v>25</v>
      </c>
      <c r="B160" t="s">
        <v>20</v>
      </c>
      <c r="C160" t="s">
        <v>16</v>
      </c>
      <c r="D160" s="9">
        <v>45726</v>
      </c>
      <c r="E160">
        <v>21</v>
      </c>
      <c r="F160" t="s">
        <v>11</v>
      </c>
      <c r="G160">
        <v>3</v>
      </c>
      <c r="H160" t="s">
        <v>4</v>
      </c>
      <c r="I160">
        <v>10</v>
      </c>
      <c r="J160">
        <v>1</v>
      </c>
      <c r="K160">
        <f>IF(Convert_to_Games[[#This Row],[Total Score]]&gt;9, 1, 0)</f>
        <v>1</v>
      </c>
      <c r="L160">
        <f>IF(Convert_to_Games[[#This Row],[DD]]=0, 0, IF(L159 = "Cons DD", Convert_to_Games[[#This Row],[DD]], L159+L159))</f>
        <v>3.6537540933272573E+47</v>
      </c>
    </row>
    <row r="161" spans="1:12">
      <c r="A161" t="s">
        <v>25</v>
      </c>
      <c r="B161" t="s">
        <v>20</v>
      </c>
      <c r="C161" t="s">
        <v>16</v>
      </c>
      <c r="D161" s="9">
        <v>45729</v>
      </c>
      <c r="E161">
        <v>24</v>
      </c>
      <c r="F161" t="s">
        <v>9</v>
      </c>
      <c r="G161">
        <v>3</v>
      </c>
      <c r="H161" t="s">
        <v>4</v>
      </c>
      <c r="I161">
        <v>10</v>
      </c>
      <c r="J161">
        <v>1</v>
      </c>
      <c r="K161">
        <f>IF(Convert_to_Games[[#This Row],[Total Score]]&gt;9, 1, 0)</f>
        <v>1</v>
      </c>
      <c r="L161">
        <f>IF(Convert_to_Games[[#This Row],[DD]]=0, 0, IF(L160 = "Cons DD", Convert_to_Games[[#This Row],[DD]], L160+L160))</f>
        <v>7.3075081866545146E+47</v>
      </c>
    </row>
    <row r="162" spans="1:12">
      <c r="A162" t="s">
        <v>25</v>
      </c>
      <c r="B162" t="s">
        <v>20</v>
      </c>
      <c r="C162" t="s">
        <v>16</v>
      </c>
      <c r="D162" s="9">
        <v>45742</v>
      </c>
      <c r="E162">
        <v>27</v>
      </c>
      <c r="F162" t="s">
        <v>15</v>
      </c>
      <c r="G162">
        <v>3</v>
      </c>
      <c r="H162" t="s">
        <v>4</v>
      </c>
      <c r="I162">
        <v>10</v>
      </c>
      <c r="J162">
        <v>1</v>
      </c>
      <c r="K162">
        <f>IF(Convert_to_Games[[#This Row],[Total Score]]&gt;9, 1, 0)</f>
        <v>1</v>
      </c>
      <c r="L162">
        <f>IF(Convert_to_Games[[#This Row],[DD]]=0, 0, IF(L161 = "Cons DD", Convert_to_Games[[#This Row],[DD]], L161+L161))</f>
        <v>1.4615016373309029E+48</v>
      </c>
    </row>
    <row r="163" spans="1:12">
      <c r="A163" t="s">
        <v>25</v>
      </c>
      <c r="B163" t="s">
        <v>20</v>
      </c>
      <c r="C163" t="s">
        <v>16</v>
      </c>
      <c r="D163" s="9">
        <v>45744</v>
      </c>
      <c r="E163">
        <v>29</v>
      </c>
      <c r="F163" t="s">
        <v>9</v>
      </c>
      <c r="G163">
        <v>3</v>
      </c>
      <c r="H163" t="s">
        <v>5</v>
      </c>
      <c r="I163">
        <v>10</v>
      </c>
      <c r="J163">
        <v>1</v>
      </c>
      <c r="K163">
        <f>IF(Convert_to_Games[[#This Row],[Total Score]]&gt;9, 1, 0)</f>
        <v>1</v>
      </c>
      <c r="L163">
        <f>IF(Convert_to_Games[[#This Row],[DD]]=0, 0, IF(L162 = "Cons DD", Convert_to_Games[[#This Row],[DD]], L162+L162))</f>
        <v>2.9230032746618058E+48</v>
      </c>
    </row>
    <row r="164" spans="1:12">
      <c r="A164" t="s">
        <v>25</v>
      </c>
      <c r="B164" t="s">
        <v>19</v>
      </c>
      <c r="C164" t="s">
        <v>16</v>
      </c>
      <c r="D164" s="9">
        <v>45762</v>
      </c>
      <c r="E164">
        <v>46</v>
      </c>
      <c r="F164" t="s">
        <v>11</v>
      </c>
      <c r="G164">
        <v>3</v>
      </c>
      <c r="H164" t="s">
        <v>4</v>
      </c>
      <c r="I164">
        <v>10</v>
      </c>
      <c r="J164">
        <v>1</v>
      </c>
      <c r="K164">
        <f>IF(Convert_to_Games[[#This Row],[Total Score]]&gt;9, 1, 0)</f>
        <v>1</v>
      </c>
      <c r="L164">
        <f>IF(Convert_to_Games[[#This Row],[DD]]=0, 0, IF(L163 = "Cons DD", Convert_to_Games[[#This Row],[DD]], L163+L163))</f>
        <v>5.8460065493236117E+48</v>
      </c>
    </row>
    <row r="165" spans="1:12">
      <c r="A165" t="s">
        <v>25</v>
      </c>
      <c r="B165" t="s">
        <v>20</v>
      </c>
      <c r="C165" t="s">
        <v>16</v>
      </c>
      <c r="D165" s="9">
        <v>45763</v>
      </c>
      <c r="E165">
        <v>52</v>
      </c>
      <c r="F165" t="s">
        <v>11</v>
      </c>
      <c r="G165">
        <v>3</v>
      </c>
      <c r="H165" t="s">
        <v>4</v>
      </c>
      <c r="I165">
        <v>10</v>
      </c>
      <c r="J165">
        <v>1</v>
      </c>
      <c r="K165">
        <f>IF(Convert_to_Games[[#This Row],[Total Score]]&gt;9, 1, 0)</f>
        <v>1</v>
      </c>
      <c r="L165">
        <f>IF(Convert_to_Games[[#This Row],[DD]]=0, 0, IF(L164 = "Cons DD", Convert_to_Games[[#This Row],[DD]], L164+L164))</f>
        <v>1.1692013098647223E+49</v>
      </c>
    </row>
    <row r="166" spans="1:12">
      <c r="A166" t="s">
        <v>25</v>
      </c>
      <c r="B166" t="s">
        <v>20</v>
      </c>
      <c r="C166" t="s">
        <v>16</v>
      </c>
      <c r="D166" s="9">
        <v>45764</v>
      </c>
      <c r="E166">
        <v>53</v>
      </c>
      <c r="F166" t="s">
        <v>11</v>
      </c>
      <c r="G166">
        <v>3</v>
      </c>
      <c r="H166" t="s">
        <v>4</v>
      </c>
      <c r="I166">
        <v>10</v>
      </c>
      <c r="J166">
        <v>1</v>
      </c>
      <c r="K166">
        <f>IF(Convert_to_Games[[#This Row],[Total Score]]&gt;9, 1, 0)</f>
        <v>1</v>
      </c>
      <c r="L166">
        <f>IF(Convert_to_Games[[#This Row],[DD]]=0, 0, IF(L165 = "Cons DD", Convert_to_Games[[#This Row],[DD]], L165+L165))</f>
        <v>2.3384026197294447E+49</v>
      </c>
    </row>
    <row r="167" spans="1:12">
      <c r="A167" t="s">
        <v>25</v>
      </c>
      <c r="B167" t="s">
        <v>19</v>
      </c>
      <c r="C167" t="s">
        <v>16</v>
      </c>
      <c r="D167" s="9">
        <v>45765</v>
      </c>
      <c r="E167">
        <v>56</v>
      </c>
      <c r="F167" t="s">
        <v>11</v>
      </c>
      <c r="G167">
        <v>3</v>
      </c>
      <c r="H167" t="s">
        <v>4</v>
      </c>
      <c r="I167">
        <v>10</v>
      </c>
      <c r="J167">
        <v>1</v>
      </c>
      <c r="K167">
        <f>IF(Convert_to_Games[[#This Row],[Total Score]]&gt;9, 1, 0)</f>
        <v>1</v>
      </c>
      <c r="L167">
        <f>IF(Convert_to_Games[[#This Row],[DD]]=0, 0, IF(L166 = "Cons DD", Convert_to_Games[[#This Row],[DD]], L166+L166))</f>
        <v>4.6768052394588893E+49</v>
      </c>
    </row>
    <row r="168" spans="1:12">
      <c r="A168" t="s">
        <v>25</v>
      </c>
      <c r="B168" t="s">
        <v>20</v>
      </c>
      <c r="C168" t="s">
        <v>16</v>
      </c>
      <c r="D168" s="9">
        <v>45771</v>
      </c>
      <c r="E168">
        <v>68</v>
      </c>
      <c r="F168" t="s">
        <v>15</v>
      </c>
      <c r="G168">
        <v>3</v>
      </c>
      <c r="H168" t="s">
        <v>4</v>
      </c>
      <c r="I168">
        <v>10</v>
      </c>
      <c r="J168">
        <v>1</v>
      </c>
      <c r="K168">
        <f>IF(Convert_to_Games[[#This Row],[Total Score]]&gt;9, 1, 0)</f>
        <v>1</v>
      </c>
      <c r="L168">
        <f>IF(Convert_to_Games[[#This Row],[DD]]=0, 0, IF(L167 = "Cons DD", Convert_to_Games[[#This Row],[DD]], L167+L167))</f>
        <v>9.3536104789177787E+49</v>
      </c>
    </row>
    <row r="169" spans="1:12">
      <c r="A169" t="s">
        <v>25</v>
      </c>
      <c r="B169" t="s">
        <v>19</v>
      </c>
      <c r="C169" t="s">
        <v>16</v>
      </c>
      <c r="D169" s="9">
        <v>45775</v>
      </c>
      <c r="E169">
        <v>73</v>
      </c>
      <c r="F169" t="s">
        <v>9</v>
      </c>
      <c r="G169">
        <v>3</v>
      </c>
      <c r="H169" t="s">
        <v>5</v>
      </c>
      <c r="I169">
        <v>10</v>
      </c>
      <c r="J169">
        <v>1</v>
      </c>
      <c r="K169">
        <f>IF(Convert_to_Games[[#This Row],[Total Score]]&gt;9, 1, 0)</f>
        <v>1</v>
      </c>
      <c r="L169">
        <f>IF(Convert_to_Games[[#This Row],[DD]]=0, 0, IF(L168 = "Cons DD", Convert_to_Games[[#This Row],[DD]], L168+L168))</f>
        <v>1.8707220957835557E+50</v>
      </c>
    </row>
    <row r="170" spans="1:12">
      <c r="A170" t="s">
        <v>25</v>
      </c>
      <c r="B170" t="s">
        <v>20</v>
      </c>
      <c r="C170" t="s">
        <v>16</v>
      </c>
      <c r="D170" s="9">
        <v>45775</v>
      </c>
      <c r="E170">
        <v>75</v>
      </c>
      <c r="F170" t="s">
        <v>11</v>
      </c>
      <c r="G170">
        <v>4</v>
      </c>
      <c r="H170" t="s">
        <v>4</v>
      </c>
      <c r="I170">
        <v>10</v>
      </c>
      <c r="J170">
        <v>1</v>
      </c>
      <c r="K170">
        <f>IF(Convert_to_Games[[#This Row],[Total Score]]&gt;9, 1, 0)</f>
        <v>1</v>
      </c>
      <c r="L170">
        <f>IF(Convert_to_Games[[#This Row],[DD]]=0, 0, IF(L169 = "Cons DD", Convert_to_Games[[#This Row],[DD]], L169+L169))</f>
        <v>3.7414441915671115E+50</v>
      </c>
    </row>
    <row r="171" spans="1:12">
      <c r="A171" t="s">
        <v>25</v>
      </c>
      <c r="B171" t="s">
        <v>20</v>
      </c>
      <c r="C171" t="s">
        <v>16</v>
      </c>
      <c r="D171" s="9">
        <v>45778</v>
      </c>
      <c r="E171">
        <v>84</v>
      </c>
      <c r="F171" t="s">
        <v>9</v>
      </c>
      <c r="G171">
        <v>3</v>
      </c>
      <c r="H171" t="s">
        <v>4</v>
      </c>
      <c r="I171">
        <v>10</v>
      </c>
      <c r="J171">
        <v>1</v>
      </c>
      <c r="K171">
        <f>IF(Convert_to_Games[[#This Row],[Total Score]]&gt;9, 1, 0)</f>
        <v>1</v>
      </c>
      <c r="L171">
        <f>IF(Convert_to_Games[[#This Row],[DD]]=0, 0, IF(L170 = "Cons DD", Convert_to_Games[[#This Row],[DD]], L170+L170))</f>
        <v>7.4828883831342229E+50</v>
      </c>
    </row>
    <row r="172" spans="1:12">
      <c r="A172" t="s">
        <v>25</v>
      </c>
      <c r="B172" t="s">
        <v>19</v>
      </c>
      <c r="C172" t="s">
        <v>16</v>
      </c>
      <c r="D172" s="9">
        <v>45778</v>
      </c>
      <c r="E172">
        <v>85</v>
      </c>
      <c r="F172" t="s">
        <v>9</v>
      </c>
      <c r="G172">
        <v>4</v>
      </c>
      <c r="H172" t="s">
        <v>4</v>
      </c>
      <c r="I172">
        <v>10</v>
      </c>
      <c r="J172">
        <v>1</v>
      </c>
      <c r="K172">
        <f>IF(Convert_to_Games[[#This Row],[Total Score]]&gt;9, 1, 0)</f>
        <v>1</v>
      </c>
      <c r="L172">
        <f>IF(Convert_to_Games[[#This Row],[DD]]=0, 0, IF(L171 = "Cons DD", Convert_to_Games[[#This Row],[DD]], L171+L171))</f>
        <v>1.4965776766268446E+51</v>
      </c>
    </row>
    <row r="173" spans="1:12">
      <c r="A173" t="s">
        <v>25</v>
      </c>
      <c r="B173" t="s">
        <v>19</v>
      </c>
      <c r="C173" t="s">
        <v>16</v>
      </c>
      <c r="D173" s="9">
        <v>45825</v>
      </c>
      <c r="E173">
        <v>115</v>
      </c>
      <c r="F173" t="s">
        <v>8</v>
      </c>
      <c r="G173">
        <v>3</v>
      </c>
      <c r="H173" t="s">
        <v>5</v>
      </c>
      <c r="I173">
        <v>10</v>
      </c>
      <c r="J173">
        <v>0</v>
      </c>
      <c r="K173">
        <f>IF(Convert_to_Games[[#This Row],[Total Score]]&gt;9, 1, 0)</f>
        <v>1</v>
      </c>
      <c r="L173">
        <f>IF(Convert_to_Games[[#This Row],[DD]]=0, 0, IF(L172 = "Cons DD", Convert_to_Games[[#This Row],[DD]], L172+L172))</f>
        <v>2.9931553532536892E+51</v>
      </c>
    </row>
    <row r="174" spans="1:12">
      <c r="A174" t="s">
        <v>25</v>
      </c>
      <c r="B174" t="s">
        <v>20</v>
      </c>
      <c r="C174" t="s">
        <v>16</v>
      </c>
      <c r="D174" s="9">
        <v>45826</v>
      </c>
      <c r="E174">
        <v>116</v>
      </c>
      <c r="F174" t="s">
        <v>9</v>
      </c>
      <c r="G174">
        <v>4</v>
      </c>
      <c r="H174" t="s">
        <v>5</v>
      </c>
      <c r="I174">
        <v>10</v>
      </c>
      <c r="J174">
        <v>1</v>
      </c>
      <c r="K174">
        <f>IF(Convert_to_Games[[#This Row],[Total Score]]&gt;9, 1, 0)</f>
        <v>1</v>
      </c>
      <c r="L174">
        <f>IF(Convert_to_Games[[#This Row],[DD]]=0, 0, IF(L173 = "Cons DD", Convert_to_Games[[#This Row],[DD]], L173+L173))</f>
        <v>5.9863107065073784E+51</v>
      </c>
    </row>
    <row r="175" spans="1:12">
      <c r="A175" t="s">
        <v>25</v>
      </c>
      <c r="B175" t="s">
        <v>20</v>
      </c>
      <c r="C175" t="s">
        <v>16</v>
      </c>
      <c r="D175" s="9">
        <v>45828</v>
      </c>
      <c r="E175">
        <v>121</v>
      </c>
      <c r="F175" t="s">
        <v>9</v>
      </c>
      <c r="G175">
        <v>3</v>
      </c>
      <c r="H175" t="s">
        <v>4</v>
      </c>
      <c r="I175">
        <v>10</v>
      </c>
      <c r="J175">
        <v>1</v>
      </c>
      <c r="K175">
        <f>IF(Convert_to_Games[[#This Row],[Total Score]]&gt;9, 1, 0)</f>
        <v>1</v>
      </c>
      <c r="L175">
        <f>IF(Convert_to_Games[[#This Row],[DD]]=0, 0, IF(L174 = "Cons DD", Convert_to_Games[[#This Row],[DD]], L174+L174))</f>
        <v>1.1972621413014757E+52</v>
      </c>
    </row>
    <row r="176" spans="1:12">
      <c r="A176" t="s">
        <v>25</v>
      </c>
      <c r="B176" t="s">
        <v>20</v>
      </c>
      <c r="C176" t="s">
        <v>16</v>
      </c>
      <c r="D176" s="9">
        <v>45831</v>
      </c>
      <c r="E176">
        <v>125</v>
      </c>
      <c r="F176" t="s">
        <v>11</v>
      </c>
      <c r="G176">
        <v>3</v>
      </c>
      <c r="H176" t="s">
        <v>5</v>
      </c>
      <c r="I176">
        <v>10</v>
      </c>
      <c r="J176">
        <v>1</v>
      </c>
      <c r="K176">
        <f>IF(Convert_to_Games[[#This Row],[Total Score]]&gt;9, 1, 0)</f>
        <v>1</v>
      </c>
      <c r="L176">
        <f>IF(Convert_to_Games[[#This Row],[DD]]=0, 0, IF(L175 = "Cons DD", Convert_to_Games[[#This Row],[DD]], L175+L175))</f>
        <v>2.3945242826029513E+52</v>
      </c>
    </row>
    <row r="177" spans="1:12">
      <c r="A177" t="s">
        <v>25</v>
      </c>
      <c r="B177" t="s">
        <v>20</v>
      </c>
      <c r="C177" t="s">
        <v>16</v>
      </c>
      <c r="D177" s="9">
        <v>45834</v>
      </c>
      <c r="E177">
        <v>132</v>
      </c>
      <c r="F177" t="s">
        <v>100</v>
      </c>
      <c r="G177">
        <v>3</v>
      </c>
      <c r="H177" t="s">
        <v>4</v>
      </c>
      <c r="I177">
        <v>10</v>
      </c>
      <c r="J177">
        <v>1</v>
      </c>
      <c r="K177">
        <f>IF(Convert_to_Games[[#This Row],[Total Score]]&gt;9, 1, 0)</f>
        <v>1</v>
      </c>
      <c r="L177">
        <f>IF(Convert_to_Games[[#This Row],[DD]]=0, 0, IF(L176 = "Cons DD", Convert_to_Games[[#This Row],[DD]], L176+L176))</f>
        <v>4.7890485652059027E+52</v>
      </c>
    </row>
    <row r="178" spans="1:12">
      <c r="A178" t="s">
        <v>25</v>
      </c>
      <c r="B178" t="s">
        <v>20</v>
      </c>
      <c r="C178" t="s">
        <v>16</v>
      </c>
      <c r="D178" s="9">
        <v>45834</v>
      </c>
      <c r="E178">
        <v>133</v>
      </c>
      <c r="F178" t="s">
        <v>11</v>
      </c>
      <c r="G178">
        <v>3</v>
      </c>
      <c r="H178" t="s">
        <v>4</v>
      </c>
      <c r="I178">
        <v>10</v>
      </c>
      <c r="J178">
        <v>1</v>
      </c>
      <c r="K178">
        <f>IF(Convert_to_Games[[#This Row],[Total Score]]&gt;9, 1, 0)</f>
        <v>1</v>
      </c>
      <c r="L178">
        <f>IF(Convert_to_Games[[#This Row],[DD]]=0, 0, IF(L177 = "Cons DD", Convert_to_Games[[#This Row],[DD]], L177+L177))</f>
        <v>9.5780971304118054E+52</v>
      </c>
    </row>
    <row r="179" spans="1:12">
      <c r="A179" t="s">
        <v>25</v>
      </c>
      <c r="B179" t="s">
        <v>20</v>
      </c>
      <c r="C179" t="s">
        <v>16</v>
      </c>
      <c r="D179" s="9">
        <v>45840</v>
      </c>
      <c r="E179">
        <v>143</v>
      </c>
      <c r="F179" t="s">
        <v>107</v>
      </c>
      <c r="G179">
        <v>3</v>
      </c>
      <c r="H179" t="s">
        <v>5</v>
      </c>
      <c r="I179">
        <v>10</v>
      </c>
      <c r="J179">
        <v>1</v>
      </c>
      <c r="K179">
        <f>IF(Convert_to_Games[[#This Row],[Total Score]]&gt;9, 1, 0)</f>
        <v>1</v>
      </c>
      <c r="L179">
        <f>IF(Convert_to_Games[[#This Row],[DD]]=0, 0, IF(L178 = "Cons DD", Convert_to_Games[[#This Row],[DD]], L178+L178))</f>
        <v>1.9156194260823611E+53</v>
      </c>
    </row>
    <row r="180" spans="1:12">
      <c r="A180" t="s">
        <v>25</v>
      </c>
      <c r="B180" t="s">
        <v>20</v>
      </c>
      <c r="C180" t="s">
        <v>16</v>
      </c>
      <c r="D180" s="9">
        <v>45847</v>
      </c>
      <c r="E180">
        <v>153</v>
      </c>
      <c r="F180" t="s">
        <v>103</v>
      </c>
      <c r="G180">
        <v>3</v>
      </c>
      <c r="H180" t="s">
        <v>78</v>
      </c>
      <c r="I180">
        <v>10</v>
      </c>
      <c r="J180">
        <v>1</v>
      </c>
      <c r="K180">
        <f>IF(Convert_to_Games[[#This Row],[Total Score]]&gt;9, 1, 0)</f>
        <v>1</v>
      </c>
      <c r="L180">
        <f>IF(Convert_to_Games[[#This Row],[DD]]=0, 0, IF(L179 = "Cons DD", Convert_to_Games[[#This Row],[DD]], L179+L179))</f>
        <v>3.8312388521647221E+53</v>
      </c>
    </row>
    <row r="181" spans="1:12">
      <c r="A181" t="s">
        <v>25</v>
      </c>
      <c r="B181" t="s">
        <v>20</v>
      </c>
      <c r="C181" t="s">
        <v>116</v>
      </c>
      <c r="D181" s="9">
        <v>45868</v>
      </c>
      <c r="E181">
        <v>186</v>
      </c>
      <c r="F181" t="s">
        <v>9</v>
      </c>
      <c r="G181">
        <v>3</v>
      </c>
      <c r="H181" t="s">
        <v>4</v>
      </c>
      <c r="I181">
        <v>10</v>
      </c>
      <c r="J181">
        <v>1</v>
      </c>
      <c r="K181">
        <f>IF(Convert_to_Games[[#This Row],[Total Score]]&gt;9, 1, 0)</f>
        <v>1</v>
      </c>
      <c r="L181">
        <f>IF(Convert_to_Games[[#This Row],[DD]]=0, 0, IF(L180 = "Cons DD", Convert_to_Games[[#This Row],[DD]], L180+L180))</f>
        <v>7.6624777043294443E+53</v>
      </c>
    </row>
    <row r="182" spans="1:12">
      <c r="A182" t="s">
        <v>25</v>
      </c>
      <c r="B182" t="s">
        <v>20</v>
      </c>
      <c r="C182" t="s">
        <v>116</v>
      </c>
      <c r="D182" s="9">
        <v>45870</v>
      </c>
      <c r="E182">
        <v>193</v>
      </c>
      <c r="F182" t="s">
        <v>11</v>
      </c>
      <c r="G182">
        <v>3</v>
      </c>
      <c r="H182" t="s">
        <v>5</v>
      </c>
      <c r="I182">
        <v>10</v>
      </c>
      <c r="J182">
        <v>1</v>
      </c>
      <c r="K182">
        <f>IF(Convert_to_Games[[#This Row],[Total Score]]&gt;9, 1, 0)</f>
        <v>1</v>
      </c>
      <c r="L182">
        <f>IF(Convert_to_Games[[#This Row],[DD]]=0, 0, IF(L181 = "Cons DD", Convert_to_Games[[#This Row],[DD]], L181+L181))</f>
        <v>1.5324955408658889E+54</v>
      </c>
    </row>
    <row r="183" spans="1:12">
      <c r="A183" t="s">
        <v>25</v>
      </c>
      <c r="B183">
        <v>256</v>
      </c>
      <c r="C183" t="s">
        <v>116</v>
      </c>
      <c r="D183" s="9">
        <v>45889</v>
      </c>
      <c r="E183">
        <v>208</v>
      </c>
      <c r="F183" t="s">
        <v>11</v>
      </c>
      <c r="G183">
        <v>4</v>
      </c>
      <c r="H183" t="s">
        <v>4</v>
      </c>
      <c r="I183">
        <v>10</v>
      </c>
      <c r="J183">
        <v>0</v>
      </c>
      <c r="K183">
        <f>IF(Convert_to_Games[[#This Row],[Total Score]]&gt;9, 1, 0)</f>
        <v>1</v>
      </c>
      <c r="L183">
        <f>IF(Convert_to_Games[[#This Row],[DD]]=0, 0, IF(L182 = "Cons DD", Convert_to_Games[[#This Row],[DD]], L182+L182))</f>
        <v>3.0649910817317777E+54</v>
      </c>
    </row>
    <row r="184" spans="1:12">
      <c r="A184" t="s">
        <v>25</v>
      </c>
      <c r="B184">
        <v>256</v>
      </c>
      <c r="C184" t="s">
        <v>116</v>
      </c>
      <c r="D184" s="9">
        <v>45890</v>
      </c>
      <c r="E184">
        <v>209</v>
      </c>
      <c r="F184" t="s">
        <v>11</v>
      </c>
      <c r="G184">
        <v>3</v>
      </c>
      <c r="H184" t="s">
        <v>4</v>
      </c>
      <c r="I184">
        <v>10</v>
      </c>
      <c r="J184">
        <v>1</v>
      </c>
      <c r="K184">
        <f>IF(Convert_to_Games[[#This Row],[Total Score]]&gt;9, 1, 0)</f>
        <v>1</v>
      </c>
      <c r="L184">
        <f>IF(Convert_to_Games[[#This Row],[DD]]=0, 0, IF(L183 = "Cons DD", Convert_to_Games[[#This Row],[DD]], L183+L183))</f>
        <v>6.1299821634635554E+54</v>
      </c>
    </row>
    <row r="185" spans="1:12">
      <c r="A185" t="s">
        <v>25</v>
      </c>
      <c r="B185">
        <v>256</v>
      </c>
      <c r="C185" t="s">
        <v>116</v>
      </c>
      <c r="D185" s="9">
        <v>45896</v>
      </c>
      <c r="E185">
        <v>211</v>
      </c>
      <c r="F185" t="s">
        <v>24</v>
      </c>
      <c r="G185">
        <v>3</v>
      </c>
      <c r="H185" t="s">
        <v>23</v>
      </c>
      <c r="I185">
        <v>10</v>
      </c>
      <c r="J185">
        <v>0</v>
      </c>
      <c r="K185">
        <f>IF(Convert_to_Games[[#This Row],[Total Score]]&gt;9, 1, 0)</f>
        <v>1</v>
      </c>
      <c r="L185">
        <f>IF(Convert_to_Games[[#This Row],[DD]]=0, 0, IF(L184 = "Cons DD", Convert_to_Games[[#This Row],[DD]], L184+L184))</f>
        <v>1.2259964326927111E+55</v>
      </c>
    </row>
    <row r="186" spans="1:12">
      <c r="A186" t="s">
        <v>25</v>
      </c>
      <c r="B186">
        <v>256</v>
      </c>
      <c r="C186" t="s">
        <v>116</v>
      </c>
      <c r="D186" s="9">
        <v>45904</v>
      </c>
      <c r="E186">
        <v>216</v>
      </c>
      <c r="F186" t="s">
        <v>11</v>
      </c>
      <c r="G186">
        <v>3</v>
      </c>
      <c r="H186" t="s">
        <v>5</v>
      </c>
      <c r="I186">
        <v>10</v>
      </c>
      <c r="J186">
        <v>0</v>
      </c>
      <c r="K186">
        <f>IF(Convert_to_Games[[#This Row],[Total Score]]&gt;9, 1, 0)</f>
        <v>1</v>
      </c>
      <c r="L186">
        <f>IF(Convert_to_Games[[#This Row],[DD]]=0, 0, IF(L185 = "Cons DD", Convert_to_Games[[#This Row],[DD]], L185+L185))</f>
        <v>2.4519928653854222E+55</v>
      </c>
    </row>
    <row r="187" spans="1:12">
      <c r="A187" t="s">
        <v>25</v>
      </c>
      <c r="B187">
        <v>256</v>
      </c>
      <c r="C187" t="s">
        <v>116</v>
      </c>
      <c r="D187" s="9">
        <v>45911</v>
      </c>
      <c r="E187">
        <v>218</v>
      </c>
      <c r="F187" t="s">
        <v>11</v>
      </c>
      <c r="G187">
        <v>3</v>
      </c>
      <c r="H187" t="s">
        <v>5</v>
      </c>
      <c r="I187">
        <v>10</v>
      </c>
      <c r="J187">
        <v>1</v>
      </c>
      <c r="K187">
        <f>IF(Convert_to_Games[[#This Row],[Total Score]]&gt;9, 1, 0)</f>
        <v>1</v>
      </c>
      <c r="L187">
        <f>IF(Convert_to_Games[[#This Row],[DD]]=0, 0, IF(L186 = "Cons DD", Convert_to_Games[[#This Row],[DD]], L186+L186))</f>
        <v>4.9039857307708443E+55</v>
      </c>
    </row>
    <row r="188" spans="1:12">
      <c r="A188" t="s">
        <v>25</v>
      </c>
      <c r="B188">
        <v>256</v>
      </c>
      <c r="C188" t="s">
        <v>116</v>
      </c>
      <c r="D188" s="9">
        <v>45915</v>
      </c>
      <c r="E188">
        <v>219</v>
      </c>
      <c r="F188" t="s">
        <v>9</v>
      </c>
      <c r="G188">
        <v>3</v>
      </c>
      <c r="H188" t="s">
        <v>5</v>
      </c>
      <c r="I188">
        <v>10</v>
      </c>
      <c r="J188">
        <v>0</v>
      </c>
      <c r="K188">
        <f>IF(Convert_to_Games[[#This Row],[Total Score]]&gt;9, 1, 0)</f>
        <v>1</v>
      </c>
      <c r="L188">
        <f>IF(Convert_to_Games[[#This Row],[DD]]=0, 0, IF(L187 = "Cons DD", Convert_to_Games[[#This Row],[DD]], L187+L187))</f>
        <v>9.8079714615416887E+55</v>
      </c>
    </row>
    <row r="189" spans="1:12">
      <c r="A189" t="s">
        <v>25</v>
      </c>
      <c r="B189">
        <v>256</v>
      </c>
      <c r="C189" t="s">
        <v>116</v>
      </c>
      <c r="D189" s="9">
        <v>45916</v>
      </c>
      <c r="E189">
        <v>220</v>
      </c>
      <c r="F189" t="s">
        <v>9</v>
      </c>
      <c r="G189">
        <v>3</v>
      </c>
      <c r="H189" t="s">
        <v>5</v>
      </c>
      <c r="I189">
        <v>10</v>
      </c>
      <c r="J189">
        <v>1</v>
      </c>
      <c r="K189">
        <f>IF(Convert_to_Games[[#This Row],[Total Score]]&gt;9, 1, 0)</f>
        <v>1</v>
      </c>
      <c r="L189">
        <f>IF(Convert_to_Games[[#This Row],[DD]]=0, 0, IF(L188 = "Cons DD", Convert_to_Games[[#This Row],[DD]], L188+L188))</f>
        <v>1.9615942923083377E+56</v>
      </c>
    </row>
    <row r="190" spans="1:12">
      <c r="A190" t="s">
        <v>25</v>
      </c>
      <c r="B190">
        <v>256</v>
      </c>
      <c r="C190" t="s">
        <v>116</v>
      </c>
      <c r="D190" s="9">
        <v>45924</v>
      </c>
      <c r="E190">
        <v>225</v>
      </c>
      <c r="F190" t="s">
        <v>9</v>
      </c>
      <c r="G190">
        <v>4</v>
      </c>
      <c r="H190" t="s">
        <v>5</v>
      </c>
      <c r="I190">
        <v>10</v>
      </c>
      <c r="J190">
        <v>1</v>
      </c>
      <c r="K190">
        <f>IF(Convert_to_Games[[#This Row],[Total Score]]&gt;9, 1, 0)</f>
        <v>1</v>
      </c>
      <c r="L190">
        <f>IF(Convert_to_Games[[#This Row],[DD]]=0, 0, IF(L189 = "Cons DD", Convert_to_Games[[#This Row],[DD]], L189+L189))</f>
        <v>3.9231885846166755E+56</v>
      </c>
    </row>
    <row r="191" spans="1:12">
      <c r="A191" t="s">
        <v>25</v>
      </c>
      <c r="B191">
        <v>256</v>
      </c>
      <c r="C191" t="s">
        <v>116</v>
      </c>
      <c r="D191" s="9">
        <v>45931</v>
      </c>
      <c r="E191">
        <v>229</v>
      </c>
      <c r="F191" t="s">
        <v>11</v>
      </c>
      <c r="G191">
        <v>3</v>
      </c>
      <c r="H191" t="s">
        <v>5</v>
      </c>
      <c r="I191">
        <v>10</v>
      </c>
      <c r="J191">
        <v>0</v>
      </c>
      <c r="K191">
        <f>IF(Convert_to_Games[[#This Row],[Total Score]]&gt;9, 1, 0)</f>
        <v>1</v>
      </c>
      <c r="L191">
        <f>IF(Convert_to_Games[[#This Row],[DD]]=0, 0, IF(L190 = "Cons DD", Convert_to_Games[[#This Row],[DD]], L190+L190))</f>
        <v>7.846377169233351E+56</v>
      </c>
    </row>
    <row r="192" spans="1:12">
      <c r="A192" t="s">
        <v>25</v>
      </c>
      <c r="B192">
        <v>256</v>
      </c>
      <c r="C192" t="s">
        <v>116</v>
      </c>
      <c r="D192" s="9">
        <v>45938</v>
      </c>
      <c r="E192">
        <v>230</v>
      </c>
      <c r="F192" t="s">
        <v>11</v>
      </c>
      <c r="G192">
        <v>3</v>
      </c>
      <c r="H192" t="s">
        <v>5</v>
      </c>
      <c r="I192">
        <v>10</v>
      </c>
      <c r="J192">
        <v>1</v>
      </c>
      <c r="K192">
        <f>IF(Convert_to_Games[[#This Row],[Total Score]]&gt;9, 1, 0)</f>
        <v>1</v>
      </c>
      <c r="L192">
        <f>IF(Convert_to_Games[[#This Row],[DD]]=0, 0, IF(L191 = "Cons DD", Convert_to_Games[[#This Row],[DD]], L191+L191))</f>
        <v>1.5692754338466702E+57</v>
      </c>
    </row>
    <row r="193" spans="1:12">
      <c r="A193" t="s">
        <v>25</v>
      </c>
      <c r="B193">
        <v>256</v>
      </c>
      <c r="C193" t="s">
        <v>116</v>
      </c>
      <c r="D193" s="9">
        <v>45953</v>
      </c>
      <c r="E193">
        <v>234</v>
      </c>
      <c r="F193" t="s">
        <v>9</v>
      </c>
      <c r="G193">
        <v>3</v>
      </c>
      <c r="H193" t="s">
        <v>4</v>
      </c>
      <c r="I193">
        <v>10</v>
      </c>
      <c r="J193">
        <v>0</v>
      </c>
      <c r="K193">
        <f>IF(Convert_to_Games[[#This Row],[Total Score]]&gt;9, 1, 0)</f>
        <v>1</v>
      </c>
      <c r="L193">
        <f>IF(Convert_to_Games[[#This Row],[DD]]=0, 0, IF(L192 = "Cons DD", Convert_to_Games[[#This Row],[DD]], L192+L192))</f>
        <v>3.1385508676933404E+57</v>
      </c>
    </row>
    <row r="194" spans="1:12">
      <c r="A194" t="s">
        <v>25</v>
      </c>
      <c r="B194">
        <v>256</v>
      </c>
      <c r="C194" t="s">
        <v>116</v>
      </c>
      <c r="D194" s="9">
        <v>45959</v>
      </c>
      <c r="E194">
        <v>237</v>
      </c>
      <c r="F194" t="s">
        <v>11</v>
      </c>
      <c r="G194">
        <v>3</v>
      </c>
      <c r="H194" t="s">
        <v>4</v>
      </c>
      <c r="I194">
        <v>10</v>
      </c>
      <c r="J194">
        <v>0</v>
      </c>
      <c r="K194">
        <f>IF(Convert_to_Games[[#This Row],[Total Score]]&gt;9, 1, 0)</f>
        <v>1</v>
      </c>
      <c r="L194">
        <f>IF(Convert_to_Games[[#This Row],[DD]]=0, 0, IF(L193 = "Cons DD", Convert_to_Games[[#This Row],[DD]], L193+L193))</f>
        <v>6.2771017353866808E+57</v>
      </c>
    </row>
    <row r="195" spans="1:12">
      <c r="A195" t="s">
        <v>25</v>
      </c>
      <c r="B195">
        <v>256</v>
      </c>
      <c r="C195" t="s">
        <v>116</v>
      </c>
      <c r="D195" s="9">
        <v>45981</v>
      </c>
      <c r="E195">
        <v>242</v>
      </c>
      <c r="F195" t="s">
        <v>11</v>
      </c>
      <c r="G195">
        <v>3</v>
      </c>
      <c r="H195" t="s">
        <v>5</v>
      </c>
      <c r="I195">
        <v>10</v>
      </c>
      <c r="J195">
        <v>0</v>
      </c>
      <c r="K195">
        <f>IF(Convert_to_Games[[#This Row],[Total Score]]&gt;9, 1, 0)</f>
        <v>1</v>
      </c>
      <c r="L195">
        <f>IF(Convert_to_Games[[#This Row],[DD]]=0, 0, IF(L194 = "Cons DD", Convert_to_Games[[#This Row],[DD]], L194+L194))</f>
        <v>1.2554203470773362E+58</v>
      </c>
    </row>
    <row r="196" spans="1:12">
      <c r="A196" t="s">
        <v>25</v>
      </c>
      <c r="B196">
        <v>256</v>
      </c>
      <c r="C196" t="s">
        <v>116</v>
      </c>
      <c r="D196" s="9">
        <v>46080</v>
      </c>
      <c r="E196">
        <v>267</v>
      </c>
      <c r="F196" t="s">
        <v>9</v>
      </c>
      <c r="G196">
        <v>3</v>
      </c>
      <c r="H196" t="s">
        <v>5</v>
      </c>
      <c r="I196">
        <v>10</v>
      </c>
      <c r="J196">
        <v>0</v>
      </c>
      <c r="K196">
        <f>IF(Convert_to_Games[[#This Row],[Total Score]]&gt;9, 1, 0)</f>
        <v>1</v>
      </c>
      <c r="L196">
        <f>IF(Convert_to_Games[[#This Row],[DD]]=0, 0, IF(L195 = "Cons DD", Convert_to_Games[[#This Row],[DD]], L195+L195))</f>
        <v>2.5108406941546723E+58</v>
      </c>
    </row>
    <row r="197" spans="1:12">
      <c r="A197" t="s">
        <v>25</v>
      </c>
      <c r="B197">
        <v>256</v>
      </c>
      <c r="C197" t="s">
        <v>116</v>
      </c>
      <c r="D197" s="9">
        <v>46105</v>
      </c>
      <c r="E197">
        <v>276</v>
      </c>
      <c r="F197" t="s">
        <v>11</v>
      </c>
      <c r="G197">
        <v>4</v>
      </c>
      <c r="H197" t="s">
        <v>5</v>
      </c>
      <c r="I197">
        <v>10</v>
      </c>
      <c r="J197">
        <v>0</v>
      </c>
      <c r="K197">
        <f>IF(Convert_to_Games[[#This Row],[Total Score]]&gt;9, 1, 0)</f>
        <v>1</v>
      </c>
      <c r="L197">
        <f>IF(Convert_to_Games[[#This Row],[DD]]=0, 0, IF(L196 = "Cons DD", Convert_to_Games[[#This Row],[DD]], L196+L196))</f>
        <v>5.0216813883093446E+58</v>
      </c>
    </row>
    <row r="198" spans="1:12">
      <c r="A198" t="s">
        <v>25</v>
      </c>
      <c r="B198">
        <v>256</v>
      </c>
      <c r="C198" t="s">
        <v>116</v>
      </c>
      <c r="D198" s="9">
        <v>46114</v>
      </c>
      <c r="E198">
        <v>279</v>
      </c>
      <c r="F198" t="s">
        <v>9</v>
      </c>
      <c r="G198">
        <v>4</v>
      </c>
      <c r="H198" t="s">
        <v>5</v>
      </c>
      <c r="I198">
        <v>10</v>
      </c>
      <c r="J198">
        <v>0</v>
      </c>
      <c r="K198">
        <f>IF(Convert_to_Games[[#This Row],[Total Score]]&gt;9, 1, 0)</f>
        <v>1</v>
      </c>
      <c r="L198">
        <f>IF(Convert_to_Games[[#This Row],[DD]]=0, 0, IF(L197 = "Cons DD", Convert_to_Games[[#This Row],[DD]], L197+L197))</f>
        <v>1.0043362776618689E+59</v>
      </c>
    </row>
    <row r="199" spans="1:12">
      <c r="A199" t="s">
        <v>25</v>
      </c>
      <c r="B199">
        <v>256</v>
      </c>
      <c r="C199" t="s">
        <v>116</v>
      </c>
      <c r="D199" s="9">
        <v>46148</v>
      </c>
      <c r="E199">
        <v>284</v>
      </c>
      <c r="F199" t="s">
        <v>11</v>
      </c>
      <c r="G199">
        <v>4</v>
      </c>
      <c r="H199" t="s">
        <v>4</v>
      </c>
      <c r="I199">
        <v>10</v>
      </c>
      <c r="J199">
        <v>1</v>
      </c>
      <c r="K199">
        <f>IF(Convert_to_Games[[#This Row],[Total Score]]&gt;9, 1, 0)</f>
        <v>1</v>
      </c>
      <c r="L199">
        <f>IF(Convert_to_Games[[#This Row],[DD]]=0, 0, IF(L198 = "Cons DD", Convert_to_Games[[#This Row],[DD]], L198+L198))</f>
        <v>2.0086725553237378E+59</v>
      </c>
    </row>
    <row r="200" spans="1:12">
      <c r="A200" t="s">
        <v>25</v>
      </c>
      <c r="B200" t="s">
        <v>20</v>
      </c>
      <c r="C200" t="s">
        <v>18</v>
      </c>
      <c r="D200" s="9">
        <v>45712</v>
      </c>
      <c r="E200">
        <v>7</v>
      </c>
      <c r="F200" t="s">
        <v>11</v>
      </c>
      <c r="G200">
        <v>3</v>
      </c>
      <c r="H200" t="s">
        <v>5</v>
      </c>
      <c r="I200">
        <v>9</v>
      </c>
      <c r="J200">
        <v>1</v>
      </c>
      <c r="K200">
        <f>IF(Convert_to_Games[[#This Row],[Total Score]]&gt;9, 1, 0)</f>
        <v>0</v>
      </c>
      <c r="L200">
        <f>IF(Convert_to_Games[[#This Row],[DD]]=0, 0, IF(L199 = "Cons DD", Convert_to_Games[[#This Row],[DD]], L199+L199))</f>
        <v>0</v>
      </c>
    </row>
    <row r="201" spans="1:12">
      <c r="A201" t="s">
        <v>25</v>
      </c>
      <c r="B201" t="s">
        <v>20</v>
      </c>
      <c r="C201" t="s">
        <v>18</v>
      </c>
      <c r="D201" s="9">
        <v>45713</v>
      </c>
      <c r="E201">
        <v>9</v>
      </c>
      <c r="F201" t="s">
        <v>8</v>
      </c>
      <c r="G201">
        <v>3</v>
      </c>
      <c r="H201" t="s">
        <v>4</v>
      </c>
      <c r="I201">
        <v>9</v>
      </c>
      <c r="J201">
        <v>0</v>
      </c>
      <c r="K201">
        <f>IF(Convert_to_Games[[#This Row],[Total Score]]&gt;9, 1, 0)</f>
        <v>0</v>
      </c>
      <c r="L201">
        <f>IF(Convert_to_Games[[#This Row],[DD]]=0, 0, IF(L200 = "Cons DD", Convert_to_Games[[#This Row],[DD]], L200+L200))</f>
        <v>0</v>
      </c>
    </row>
    <row r="202" spans="1:12">
      <c r="A202" t="s">
        <v>25</v>
      </c>
      <c r="B202" t="s">
        <v>20</v>
      </c>
      <c r="C202" t="s">
        <v>16</v>
      </c>
      <c r="D202" s="9">
        <v>45720</v>
      </c>
      <c r="E202">
        <v>16</v>
      </c>
      <c r="F202" t="s">
        <v>14</v>
      </c>
      <c r="G202">
        <v>3</v>
      </c>
      <c r="H202" t="s">
        <v>4</v>
      </c>
      <c r="I202">
        <v>9</v>
      </c>
      <c r="J202">
        <v>1</v>
      </c>
      <c r="K202">
        <f>IF(Convert_to_Games[[#This Row],[Total Score]]&gt;9, 1, 0)</f>
        <v>0</v>
      </c>
      <c r="L202">
        <f>IF(Convert_to_Games[[#This Row],[DD]]=0, 0, IF(L201 = "Cons DD", Convert_to_Games[[#This Row],[DD]], L201+L201))</f>
        <v>0</v>
      </c>
    </row>
    <row r="203" spans="1:12">
      <c r="A203" t="s">
        <v>25</v>
      </c>
      <c r="B203" t="s">
        <v>20</v>
      </c>
      <c r="C203" t="s">
        <v>16</v>
      </c>
      <c r="D203" s="9">
        <v>45722</v>
      </c>
      <c r="E203">
        <v>18</v>
      </c>
      <c r="F203" t="s">
        <v>11</v>
      </c>
      <c r="G203">
        <v>3</v>
      </c>
      <c r="H203" t="s">
        <v>4</v>
      </c>
      <c r="I203">
        <v>9</v>
      </c>
      <c r="J203">
        <v>1</v>
      </c>
      <c r="K203">
        <f>IF(Convert_to_Games[[#This Row],[Total Score]]&gt;9, 1, 0)</f>
        <v>0</v>
      </c>
      <c r="L203">
        <f>IF(Convert_to_Games[[#This Row],[DD]]=0, 0, IF(L202 = "Cons DD", Convert_to_Games[[#This Row],[DD]], L202+L202))</f>
        <v>0</v>
      </c>
    </row>
    <row r="204" spans="1:12">
      <c r="A204" t="s">
        <v>25</v>
      </c>
      <c r="B204" t="s">
        <v>21</v>
      </c>
      <c r="C204" t="s">
        <v>16</v>
      </c>
      <c r="D204" s="9">
        <v>45755</v>
      </c>
      <c r="E204">
        <v>38</v>
      </c>
      <c r="F204" t="s">
        <v>13</v>
      </c>
      <c r="G204">
        <v>3</v>
      </c>
      <c r="H204" t="s">
        <v>7</v>
      </c>
      <c r="I204">
        <v>9</v>
      </c>
      <c r="J204">
        <v>1</v>
      </c>
      <c r="K204">
        <f>IF(Convert_to_Games[[#This Row],[Total Score]]&gt;9, 1, 0)</f>
        <v>0</v>
      </c>
      <c r="L204">
        <f>IF(Convert_to_Games[[#This Row],[DD]]=0, 0, IF(L203 = "Cons DD", Convert_to_Games[[#This Row],[DD]], L203+L203))</f>
        <v>0</v>
      </c>
    </row>
    <row r="205" spans="1:12">
      <c r="A205" t="s">
        <v>25</v>
      </c>
      <c r="B205" t="s">
        <v>20</v>
      </c>
      <c r="C205" t="s">
        <v>16</v>
      </c>
      <c r="D205" s="9">
        <v>45765</v>
      </c>
      <c r="E205">
        <v>55</v>
      </c>
      <c r="F205" t="s">
        <v>11</v>
      </c>
      <c r="G205">
        <v>3</v>
      </c>
      <c r="H205" t="s">
        <v>4</v>
      </c>
      <c r="I205">
        <v>9</v>
      </c>
      <c r="J205">
        <v>1</v>
      </c>
      <c r="K205">
        <f>IF(Convert_to_Games[[#This Row],[Total Score]]&gt;9, 1, 0)</f>
        <v>0</v>
      </c>
      <c r="L205">
        <f>IF(Convert_to_Games[[#This Row],[DD]]=0, 0, IF(L204 = "Cons DD", Convert_to_Games[[#This Row],[DD]], L204+L204))</f>
        <v>0</v>
      </c>
    </row>
    <row r="206" spans="1:12">
      <c r="A206" t="s">
        <v>25</v>
      </c>
      <c r="B206" t="s">
        <v>19</v>
      </c>
      <c r="C206" t="s">
        <v>16</v>
      </c>
      <c r="D206" s="9">
        <v>45768</v>
      </c>
      <c r="E206">
        <v>58</v>
      </c>
      <c r="F206" t="s">
        <v>32</v>
      </c>
      <c r="G206">
        <v>5</v>
      </c>
      <c r="H206" t="s">
        <v>4</v>
      </c>
      <c r="I206">
        <v>9</v>
      </c>
      <c r="J206">
        <v>1</v>
      </c>
      <c r="K206">
        <f>IF(Convert_to_Games[[#This Row],[Total Score]]&gt;9, 1, 0)</f>
        <v>0</v>
      </c>
      <c r="L206">
        <f>IF(Convert_to_Games[[#This Row],[DD]]=0, 0, IF(L205 = "Cons DD", Convert_to_Games[[#This Row],[DD]], L205+L205))</f>
        <v>0</v>
      </c>
    </row>
    <row r="207" spans="1:12">
      <c r="A207" t="s">
        <v>25</v>
      </c>
      <c r="B207" t="s">
        <v>20</v>
      </c>
      <c r="C207" t="s">
        <v>16</v>
      </c>
      <c r="D207" s="9">
        <v>45770</v>
      </c>
      <c r="E207">
        <v>63</v>
      </c>
      <c r="F207" t="s">
        <v>11</v>
      </c>
      <c r="G207">
        <v>3</v>
      </c>
      <c r="H207" t="s">
        <v>4</v>
      </c>
      <c r="I207">
        <v>9</v>
      </c>
      <c r="J207">
        <v>1</v>
      </c>
      <c r="K207">
        <f>IF(Convert_to_Games[[#This Row],[Total Score]]&gt;9, 1, 0)</f>
        <v>0</v>
      </c>
      <c r="L207">
        <f>IF(Convert_to_Games[[#This Row],[DD]]=0, 0, IF(L206 = "Cons DD", Convert_to_Games[[#This Row],[DD]], L206+L206))</f>
        <v>0</v>
      </c>
    </row>
    <row r="208" spans="1:12">
      <c r="A208" t="s">
        <v>25</v>
      </c>
      <c r="B208" t="s">
        <v>20</v>
      </c>
      <c r="C208" t="s">
        <v>16</v>
      </c>
      <c r="D208" s="9">
        <v>45770</v>
      </c>
      <c r="E208">
        <v>64</v>
      </c>
      <c r="F208" t="s">
        <v>34</v>
      </c>
      <c r="G208">
        <v>5</v>
      </c>
      <c r="H208" t="s">
        <v>5</v>
      </c>
      <c r="I208">
        <v>9</v>
      </c>
      <c r="J208">
        <v>1</v>
      </c>
      <c r="K208">
        <f>IF(Convert_to_Games[[#This Row],[Total Score]]&gt;9, 1, 0)</f>
        <v>0</v>
      </c>
      <c r="L208">
        <f>IF(Convert_to_Games[[#This Row],[DD]]=0, 0, IF(L207 = "Cons DD", Convert_to_Games[[#This Row],[DD]], L207+L207))</f>
        <v>0</v>
      </c>
    </row>
    <row r="209" spans="1:12">
      <c r="A209" t="s">
        <v>25</v>
      </c>
      <c r="B209" t="s">
        <v>20</v>
      </c>
      <c r="C209" t="s">
        <v>16</v>
      </c>
      <c r="D209" s="9">
        <v>45772</v>
      </c>
      <c r="E209">
        <v>70</v>
      </c>
      <c r="F209" t="s">
        <v>9</v>
      </c>
      <c r="G209">
        <v>3</v>
      </c>
      <c r="H209" t="s">
        <v>4</v>
      </c>
      <c r="I209">
        <v>9</v>
      </c>
      <c r="J209">
        <v>1</v>
      </c>
      <c r="K209">
        <f>IF(Convert_to_Games[[#This Row],[Total Score]]&gt;9, 1, 0)</f>
        <v>0</v>
      </c>
      <c r="L209">
        <f>IF(Convert_to_Games[[#This Row],[DD]]=0, 0, IF(L208 = "Cons DD", Convert_to_Games[[#This Row],[DD]], L208+L208))</f>
        <v>0</v>
      </c>
    </row>
    <row r="210" spans="1:12">
      <c r="A210" t="s">
        <v>25</v>
      </c>
      <c r="B210" t="s">
        <v>20</v>
      </c>
      <c r="C210" t="s">
        <v>16</v>
      </c>
      <c r="D210" s="9">
        <v>45776</v>
      </c>
      <c r="E210">
        <v>78</v>
      </c>
      <c r="F210" t="s">
        <v>58</v>
      </c>
      <c r="G210">
        <v>3</v>
      </c>
      <c r="H210" t="s">
        <v>4</v>
      </c>
      <c r="I210">
        <v>9</v>
      </c>
      <c r="J210">
        <v>1</v>
      </c>
      <c r="K210">
        <f>IF(Convert_to_Games[[#This Row],[Total Score]]&gt;9, 1, 0)</f>
        <v>0</v>
      </c>
      <c r="L210">
        <f>IF(Convert_to_Games[[#This Row],[DD]]=0, 0, IF(L209 = "Cons DD", Convert_to_Games[[#This Row],[DD]], L209+L209))</f>
        <v>0</v>
      </c>
    </row>
    <row r="211" spans="1:12">
      <c r="A211" t="s">
        <v>25</v>
      </c>
      <c r="B211" t="s">
        <v>20</v>
      </c>
      <c r="C211" t="s">
        <v>16</v>
      </c>
      <c r="D211" s="9">
        <v>45779</v>
      </c>
      <c r="E211">
        <v>88</v>
      </c>
      <c r="F211" t="s">
        <v>11</v>
      </c>
      <c r="G211">
        <v>3</v>
      </c>
      <c r="H211" t="s">
        <v>4</v>
      </c>
      <c r="I211">
        <v>9</v>
      </c>
      <c r="J211">
        <v>1</v>
      </c>
      <c r="K211">
        <f>IF(Convert_to_Games[[#This Row],[Total Score]]&gt;9, 1, 0)</f>
        <v>0</v>
      </c>
      <c r="L211">
        <f>IF(Convert_to_Games[[#This Row],[DD]]=0, 0, IF(L210 = "Cons DD", Convert_to_Games[[#This Row],[DD]], L210+L210))</f>
        <v>0</v>
      </c>
    </row>
    <row r="212" spans="1:12">
      <c r="A212" t="s">
        <v>25</v>
      </c>
      <c r="B212" t="s">
        <v>20</v>
      </c>
      <c r="C212" t="s">
        <v>16</v>
      </c>
      <c r="D212" s="9">
        <v>45791</v>
      </c>
      <c r="E212">
        <v>99</v>
      </c>
      <c r="F212" t="s">
        <v>70</v>
      </c>
      <c r="G212">
        <v>3</v>
      </c>
      <c r="H212" t="s">
        <v>6</v>
      </c>
      <c r="I212">
        <v>9</v>
      </c>
      <c r="J212">
        <v>1</v>
      </c>
      <c r="K212">
        <f>IF(Convert_to_Games[[#This Row],[Total Score]]&gt;9, 1, 0)</f>
        <v>0</v>
      </c>
      <c r="L212">
        <f>IF(Convert_to_Games[[#This Row],[DD]]=0, 0, IF(L211 = "Cons DD", Convert_to_Games[[#This Row],[DD]], L211+L211))</f>
        <v>0</v>
      </c>
    </row>
    <row r="213" spans="1:12">
      <c r="A213" t="s">
        <v>25</v>
      </c>
      <c r="B213" t="s">
        <v>19</v>
      </c>
      <c r="C213" t="s">
        <v>16</v>
      </c>
      <c r="D213" s="9">
        <v>45791</v>
      </c>
      <c r="E213">
        <v>100</v>
      </c>
      <c r="F213" t="s">
        <v>11</v>
      </c>
      <c r="G213">
        <v>3</v>
      </c>
      <c r="H213" t="s">
        <v>4</v>
      </c>
      <c r="I213">
        <v>9</v>
      </c>
      <c r="J213">
        <v>1</v>
      </c>
      <c r="K213">
        <f>IF(Convert_to_Games[[#This Row],[Total Score]]&gt;9, 1, 0)</f>
        <v>0</v>
      </c>
      <c r="L213">
        <f>IF(Convert_to_Games[[#This Row],[DD]]=0, 0, IF(L212 = "Cons DD", Convert_to_Games[[#This Row],[DD]], L212+L212))</f>
        <v>0</v>
      </c>
    </row>
    <row r="214" spans="1:12">
      <c r="A214" t="s">
        <v>25</v>
      </c>
      <c r="B214" t="s">
        <v>20</v>
      </c>
      <c r="C214" t="s">
        <v>16</v>
      </c>
      <c r="D214" s="9">
        <v>45797</v>
      </c>
      <c r="E214">
        <v>101</v>
      </c>
      <c r="F214" t="s">
        <v>71</v>
      </c>
      <c r="G214">
        <v>3</v>
      </c>
      <c r="H214" t="s">
        <v>5</v>
      </c>
      <c r="I214">
        <v>9</v>
      </c>
      <c r="J214">
        <v>1</v>
      </c>
      <c r="K214">
        <f>IF(Convert_to_Games[[#This Row],[Total Score]]&gt;9, 1, 0)</f>
        <v>0</v>
      </c>
      <c r="L214">
        <f>IF(Convert_to_Games[[#This Row],[DD]]=0, 0, IF(L213 = "Cons DD", Convert_to_Games[[#This Row],[DD]], L213+L213))</f>
        <v>0</v>
      </c>
    </row>
    <row r="215" spans="1:12">
      <c r="A215" t="s">
        <v>25</v>
      </c>
      <c r="B215" t="s">
        <v>19</v>
      </c>
      <c r="C215" t="s">
        <v>16</v>
      </c>
      <c r="D215" s="9">
        <v>45826</v>
      </c>
      <c r="E215">
        <v>118</v>
      </c>
      <c r="F215" t="s">
        <v>9</v>
      </c>
      <c r="G215">
        <v>3</v>
      </c>
      <c r="H215" t="s">
        <v>4</v>
      </c>
      <c r="I215">
        <v>9</v>
      </c>
      <c r="J215">
        <v>1</v>
      </c>
      <c r="K215">
        <f>IF(Convert_to_Games[[#This Row],[Total Score]]&gt;9, 1, 0)</f>
        <v>0</v>
      </c>
      <c r="L215">
        <f>IF(Convert_to_Games[[#This Row],[DD]]=0, 0, IF(L214 = "Cons DD", Convert_to_Games[[#This Row],[DD]], L214+L214))</f>
        <v>0</v>
      </c>
    </row>
    <row r="216" spans="1:12">
      <c r="A216" t="s">
        <v>25</v>
      </c>
      <c r="B216" t="s">
        <v>20</v>
      </c>
      <c r="C216" t="s">
        <v>16</v>
      </c>
      <c r="D216" s="9">
        <v>45831</v>
      </c>
      <c r="E216">
        <v>125</v>
      </c>
      <c r="F216" t="s">
        <v>11</v>
      </c>
      <c r="G216">
        <v>3</v>
      </c>
      <c r="H216" t="s">
        <v>4</v>
      </c>
      <c r="I216">
        <v>9</v>
      </c>
      <c r="J216">
        <v>0</v>
      </c>
      <c r="K216">
        <f>IF(Convert_to_Games[[#This Row],[Total Score]]&gt;9, 1, 0)</f>
        <v>0</v>
      </c>
      <c r="L216">
        <f>IF(Convert_to_Games[[#This Row],[DD]]=0, 0, IF(L215 = "Cons DD", Convert_to_Games[[#This Row],[DD]], L215+L215))</f>
        <v>0</v>
      </c>
    </row>
    <row r="217" spans="1:12">
      <c r="A217" t="s">
        <v>25</v>
      </c>
      <c r="B217" t="s">
        <v>20</v>
      </c>
      <c r="C217" t="s">
        <v>16</v>
      </c>
      <c r="D217" s="9">
        <v>45832</v>
      </c>
      <c r="E217">
        <v>126</v>
      </c>
      <c r="F217" t="s">
        <v>9</v>
      </c>
      <c r="G217">
        <v>5</v>
      </c>
      <c r="H217" t="s">
        <v>4</v>
      </c>
      <c r="I217">
        <v>9</v>
      </c>
      <c r="J217">
        <v>1</v>
      </c>
      <c r="K217">
        <f>IF(Convert_to_Games[[#This Row],[Total Score]]&gt;9, 1, 0)</f>
        <v>0</v>
      </c>
      <c r="L217">
        <f>IF(Convert_to_Games[[#This Row],[DD]]=0, 0, IF(L216 = "Cons DD", Convert_to_Games[[#This Row],[DD]], L216+L216))</f>
        <v>0</v>
      </c>
    </row>
    <row r="218" spans="1:12">
      <c r="A218" t="s">
        <v>25</v>
      </c>
      <c r="B218" t="s">
        <v>20</v>
      </c>
      <c r="C218" t="s">
        <v>16</v>
      </c>
      <c r="D218" s="9">
        <v>45833</v>
      </c>
      <c r="E218">
        <v>131</v>
      </c>
      <c r="F218" t="s">
        <v>9</v>
      </c>
      <c r="G218">
        <v>4</v>
      </c>
      <c r="H218" t="s">
        <v>4</v>
      </c>
      <c r="I218">
        <v>9</v>
      </c>
      <c r="J218">
        <v>1</v>
      </c>
      <c r="K218">
        <f>IF(Convert_to_Games[[#This Row],[Total Score]]&gt;9, 1, 0)</f>
        <v>0</v>
      </c>
      <c r="L218">
        <f>IF(Convert_to_Games[[#This Row],[DD]]=0, 0, IF(L217 = "Cons DD", Convert_to_Games[[#This Row],[DD]], L217+L217))</f>
        <v>0</v>
      </c>
    </row>
    <row r="219" spans="1:12">
      <c r="A219" t="s">
        <v>25</v>
      </c>
      <c r="B219" t="s">
        <v>19</v>
      </c>
      <c r="C219" t="s">
        <v>16</v>
      </c>
      <c r="D219" s="9">
        <v>45835</v>
      </c>
      <c r="E219">
        <v>136</v>
      </c>
      <c r="F219" t="s">
        <v>9</v>
      </c>
      <c r="G219">
        <v>3</v>
      </c>
      <c r="H219" t="s">
        <v>5</v>
      </c>
      <c r="I219">
        <v>9</v>
      </c>
      <c r="J219">
        <v>1</v>
      </c>
      <c r="K219">
        <f>IF(Convert_to_Games[[#This Row],[Total Score]]&gt;9, 1, 0)</f>
        <v>0</v>
      </c>
      <c r="L219">
        <f>IF(Convert_to_Games[[#This Row],[DD]]=0, 0, IF(L218 = "Cons DD", Convert_to_Games[[#This Row],[DD]], L218+L218))</f>
        <v>0</v>
      </c>
    </row>
    <row r="220" spans="1:12">
      <c r="A220" t="s">
        <v>25</v>
      </c>
      <c r="B220" t="s">
        <v>20</v>
      </c>
      <c r="C220" t="s">
        <v>16</v>
      </c>
      <c r="D220" s="9">
        <v>45838</v>
      </c>
      <c r="E220">
        <v>137</v>
      </c>
      <c r="F220" t="s">
        <v>104</v>
      </c>
      <c r="G220">
        <v>3</v>
      </c>
      <c r="H220" t="s">
        <v>5</v>
      </c>
      <c r="I220">
        <v>9</v>
      </c>
      <c r="J220">
        <v>1</v>
      </c>
      <c r="K220">
        <f>IF(Convert_to_Games[[#This Row],[Total Score]]&gt;9, 1, 0)</f>
        <v>0</v>
      </c>
      <c r="L220">
        <f>IF(Convert_to_Games[[#This Row],[DD]]=0, 0, IF(L219 = "Cons DD", Convert_to_Games[[#This Row],[DD]], L219+L219))</f>
        <v>0</v>
      </c>
    </row>
    <row r="221" spans="1:12">
      <c r="A221" t="s">
        <v>25</v>
      </c>
      <c r="B221" t="s">
        <v>20</v>
      </c>
      <c r="C221" t="s">
        <v>16</v>
      </c>
      <c r="D221" s="9">
        <v>45840</v>
      </c>
      <c r="E221">
        <v>144</v>
      </c>
      <c r="F221" t="s">
        <v>8</v>
      </c>
      <c r="G221">
        <v>3</v>
      </c>
      <c r="H221" t="s">
        <v>5</v>
      </c>
      <c r="I221">
        <v>9</v>
      </c>
      <c r="J221">
        <v>0</v>
      </c>
      <c r="K221">
        <f>IF(Convert_to_Games[[#This Row],[Total Score]]&gt;9, 1, 0)</f>
        <v>0</v>
      </c>
      <c r="L221">
        <f>IF(Convert_to_Games[[#This Row],[DD]]=0, 0, IF(L220 = "Cons DD", Convert_to_Games[[#This Row],[DD]], L220+L220))</f>
        <v>0</v>
      </c>
    </row>
    <row r="222" spans="1:12">
      <c r="A222" t="s">
        <v>25</v>
      </c>
      <c r="B222" t="s">
        <v>19</v>
      </c>
      <c r="C222" t="s">
        <v>16</v>
      </c>
      <c r="D222" s="9">
        <v>45841</v>
      </c>
      <c r="E222">
        <v>146</v>
      </c>
      <c r="F222" t="s">
        <v>104</v>
      </c>
      <c r="G222">
        <v>3</v>
      </c>
      <c r="H222" t="s">
        <v>4</v>
      </c>
      <c r="I222">
        <v>9</v>
      </c>
      <c r="J222">
        <v>0</v>
      </c>
      <c r="K222">
        <f>IF(Convert_to_Games[[#This Row],[Total Score]]&gt;9, 1, 0)</f>
        <v>0</v>
      </c>
      <c r="L222">
        <f>IF(Convert_to_Games[[#This Row],[DD]]=0, 0, IF(L221 = "Cons DD", Convert_to_Games[[#This Row],[DD]], L221+L221))</f>
        <v>0</v>
      </c>
    </row>
    <row r="223" spans="1:12">
      <c r="A223" t="s">
        <v>25</v>
      </c>
      <c r="B223" t="s">
        <v>20</v>
      </c>
      <c r="C223" t="s">
        <v>16</v>
      </c>
      <c r="D223" s="9">
        <v>45845</v>
      </c>
      <c r="E223">
        <v>149</v>
      </c>
      <c r="F223" t="s">
        <v>110</v>
      </c>
      <c r="G223">
        <v>3</v>
      </c>
      <c r="H223" t="s">
        <v>4</v>
      </c>
      <c r="I223">
        <v>9</v>
      </c>
      <c r="J223">
        <v>1</v>
      </c>
      <c r="K223">
        <f>IF(Convert_to_Games[[#This Row],[Total Score]]&gt;9, 1, 0)</f>
        <v>0</v>
      </c>
      <c r="L223">
        <f>IF(Convert_to_Games[[#This Row],[DD]]=0, 0, IF(L222 = "Cons DD", Convert_to_Games[[#This Row],[DD]], L222+L222))</f>
        <v>0</v>
      </c>
    </row>
    <row r="224" spans="1:12">
      <c r="A224" t="s">
        <v>25</v>
      </c>
      <c r="B224" t="s">
        <v>20</v>
      </c>
      <c r="C224" t="s">
        <v>16</v>
      </c>
      <c r="D224" s="9">
        <v>45845</v>
      </c>
      <c r="E224">
        <v>150</v>
      </c>
      <c r="F224" t="s">
        <v>111</v>
      </c>
      <c r="G224">
        <v>3</v>
      </c>
      <c r="H224" t="s">
        <v>4</v>
      </c>
      <c r="I224">
        <v>9</v>
      </c>
      <c r="J224">
        <v>0</v>
      </c>
      <c r="K224">
        <f>IF(Convert_to_Games[[#This Row],[Total Score]]&gt;9, 1, 0)</f>
        <v>0</v>
      </c>
      <c r="L224">
        <f>IF(Convert_to_Games[[#This Row],[DD]]=0, 0, IF(L223 = "Cons DD", Convert_to_Games[[#This Row],[DD]], L223+L223))</f>
        <v>0</v>
      </c>
    </row>
    <row r="225" spans="1:12">
      <c r="A225" t="s">
        <v>25</v>
      </c>
      <c r="B225" t="s">
        <v>20</v>
      </c>
      <c r="C225" t="s">
        <v>16</v>
      </c>
      <c r="D225" s="9">
        <v>45847</v>
      </c>
      <c r="E225">
        <v>155</v>
      </c>
      <c r="F225" t="s">
        <v>103</v>
      </c>
      <c r="G225">
        <v>3</v>
      </c>
      <c r="H225" t="s">
        <v>4</v>
      </c>
      <c r="I225">
        <v>9</v>
      </c>
      <c r="J225">
        <v>1</v>
      </c>
      <c r="K225">
        <f>IF(Convert_to_Games[[#This Row],[Total Score]]&gt;9, 1, 0)</f>
        <v>0</v>
      </c>
      <c r="L225">
        <f>IF(Convert_to_Games[[#This Row],[DD]]=0, 0, IF(L224 = "Cons DD", Convert_to_Games[[#This Row],[DD]], L224+L224))</f>
        <v>0</v>
      </c>
    </row>
    <row r="226" spans="1:12">
      <c r="A226" t="s">
        <v>25</v>
      </c>
      <c r="B226" t="s">
        <v>20</v>
      </c>
      <c r="C226" t="s">
        <v>16</v>
      </c>
      <c r="D226" s="9">
        <v>45852</v>
      </c>
      <c r="E226">
        <v>162</v>
      </c>
      <c r="F226" t="s">
        <v>111</v>
      </c>
      <c r="G226">
        <v>3</v>
      </c>
      <c r="H226" t="s">
        <v>4</v>
      </c>
      <c r="I226">
        <v>9</v>
      </c>
      <c r="J226">
        <v>1</v>
      </c>
      <c r="K226">
        <f>IF(Convert_to_Games[[#This Row],[Total Score]]&gt;9, 1, 0)</f>
        <v>0</v>
      </c>
      <c r="L226">
        <f>IF(Convert_to_Games[[#This Row],[DD]]=0, 0, IF(L225 = "Cons DD", Convert_to_Games[[#This Row],[DD]], L225+L225))</f>
        <v>0</v>
      </c>
    </row>
    <row r="227" spans="1:12">
      <c r="A227" t="s">
        <v>25</v>
      </c>
      <c r="B227" t="s">
        <v>20</v>
      </c>
      <c r="C227" t="s">
        <v>16</v>
      </c>
      <c r="D227" s="9">
        <v>45853</v>
      </c>
      <c r="E227">
        <v>165</v>
      </c>
      <c r="F227" t="s">
        <v>108</v>
      </c>
      <c r="G227">
        <v>3</v>
      </c>
      <c r="H227" t="s">
        <v>78</v>
      </c>
      <c r="I227">
        <v>9</v>
      </c>
      <c r="J227">
        <v>1</v>
      </c>
      <c r="K227">
        <f>IF(Convert_to_Games[[#This Row],[Total Score]]&gt;9, 1, 0)</f>
        <v>0</v>
      </c>
      <c r="L227">
        <f>IF(Convert_to_Games[[#This Row],[DD]]=0, 0, IF(L226 = "Cons DD", Convert_to_Games[[#This Row],[DD]], L226+L226))</f>
        <v>0</v>
      </c>
    </row>
    <row r="228" spans="1:12">
      <c r="A228" t="s">
        <v>25</v>
      </c>
      <c r="B228" t="s">
        <v>20</v>
      </c>
      <c r="C228" t="s">
        <v>16</v>
      </c>
      <c r="D228" s="9">
        <v>45855</v>
      </c>
      <c r="E228">
        <v>170</v>
      </c>
      <c r="F228" t="s">
        <v>108</v>
      </c>
      <c r="G228">
        <v>3</v>
      </c>
      <c r="H228" t="s">
        <v>5</v>
      </c>
      <c r="I228">
        <v>9</v>
      </c>
      <c r="J228">
        <v>1</v>
      </c>
      <c r="K228">
        <f>IF(Convert_to_Games[[#This Row],[Total Score]]&gt;9, 1, 0)</f>
        <v>0</v>
      </c>
      <c r="L228">
        <f>IF(Convert_to_Games[[#This Row],[DD]]=0, 0, IF(L227 = "Cons DD", Convert_to_Games[[#This Row],[DD]], L227+L227))</f>
        <v>0</v>
      </c>
    </row>
    <row r="229" spans="1:12">
      <c r="A229" t="s">
        <v>25</v>
      </c>
      <c r="B229" t="s">
        <v>20</v>
      </c>
      <c r="C229" t="s">
        <v>16</v>
      </c>
      <c r="D229" s="9">
        <v>45861</v>
      </c>
      <c r="E229">
        <v>178</v>
      </c>
      <c r="F229" t="s">
        <v>8</v>
      </c>
      <c r="G229">
        <v>3</v>
      </c>
      <c r="H229" t="s">
        <v>4</v>
      </c>
      <c r="I229">
        <v>9</v>
      </c>
      <c r="J229">
        <v>1</v>
      </c>
      <c r="K229">
        <f>IF(Convert_to_Games[[#This Row],[Total Score]]&gt;9, 1, 0)</f>
        <v>0</v>
      </c>
      <c r="L229">
        <f>IF(Convert_to_Games[[#This Row],[DD]]=0, 0, IF(L228 = "Cons DD", Convert_to_Games[[#This Row],[DD]], L228+L228))</f>
        <v>0</v>
      </c>
    </row>
    <row r="230" spans="1:12">
      <c r="A230" t="s">
        <v>25</v>
      </c>
      <c r="B230" t="s">
        <v>20</v>
      </c>
      <c r="C230" t="s">
        <v>116</v>
      </c>
      <c r="D230" s="9">
        <v>45869</v>
      </c>
      <c r="E230">
        <v>190</v>
      </c>
      <c r="F230" t="s">
        <v>11</v>
      </c>
      <c r="G230">
        <v>4</v>
      </c>
      <c r="H230" t="s">
        <v>4</v>
      </c>
      <c r="I230">
        <v>9</v>
      </c>
      <c r="J230">
        <v>1</v>
      </c>
      <c r="K230">
        <f>IF(Convert_to_Games[[#This Row],[Total Score]]&gt;9, 1, 0)</f>
        <v>0</v>
      </c>
      <c r="L230">
        <f>IF(Convert_to_Games[[#This Row],[DD]]=0, 0, IF(L229 = "Cons DD", Convert_to_Games[[#This Row],[DD]], L229+L229))</f>
        <v>0</v>
      </c>
    </row>
    <row r="231" spans="1:12">
      <c r="A231" t="s">
        <v>25</v>
      </c>
      <c r="B231" t="s">
        <v>19</v>
      </c>
      <c r="C231" t="s">
        <v>116</v>
      </c>
      <c r="D231" s="9">
        <v>45870</v>
      </c>
      <c r="E231">
        <v>192</v>
      </c>
      <c r="F231" t="s">
        <v>11</v>
      </c>
      <c r="G231">
        <v>3</v>
      </c>
      <c r="H231" t="s">
        <v>5</v>
      </c>
      <c r="I231">
        <v>9</v>
      </c>
      <c r="J231">
        <v>1</v>
      </c>
      <c r="K231">
        <f>IF(Convert_to_Games[[#This Row],[Total Score]]&gt;9, 1, 0)</f>
        <v>0</v>
      </c>
      <c r="L231">
        <f>IF(Convert_to_Games[[#This Row],[DD]]=0, 0, IF(L230 = "Cons DD", Convert_to_Games[[#This Row],[DD]], L230+L230))</f>
        <v>0</v>
      </c>
    </row>
    <row r="232" spans="1:12">
      <c r="A232" t="s">
        <v>25</v>
      </c>
      <c r="B232" t="s">
        <v>20</v>
      </c>
      <c r="C232" t="s">
        <v>116</v>
      </c>
      <c r="D232" s="9">
        <v>45870</v>
      </c>
      <c r="E232">
        <v>194</v>
      </c>
      <c r="F232" t="s">
        <v>9</v>
      </c>
      <c r="G232">
        <v>3</v>
      </c>
      <c r="H232" t="s">
        <v>4</v>
      </c>
      <c r="I232">
        <v>9</v>
      </c>
      <c r="J232">
        <v>1</v>
      </c>
      <c r="K232">
        <f>IF(Convert_to_Games[[#This Row],[Total Score]]&gt;9, 1, 0)</f>
        <v>0</v>
      </c>
      <c r="L232">
        <f>IF(Convert_to_Games[[#This Row],[DD]]=0, 0, IF(L231 = "Cons DD", Convert_to_Games[[#This Row],[DD]], L231+L231))</f>
        <v>0</v>
      </c>
    </row>
    <row r="233" spans="1:12">
      <c r="A233" t="s">
        <v>25</v>
      </c>
      <c r="B233" t="s">
        <v>20</v>
      </c>
      <c r="C233" t="s">
        <v>116</v>
      </c>
      <c r="D233" s="9">
        <v>45875</v>
      </c>
      <c r="E233">
        <v>198</v>
      </c>
      <c r="F233" t="s">
        <v>9</v>
      </c>
      <c r="G233">
        <v>3</v>
      </c>
      <c r="H233" t="s">
        <v>4</v>
      </c>
      <c r="I233">
        <v>9</v>
      </c>
      <c r="J233">
        <v>0</v>
      </c>
      <c r="K233">
        <f>IF(Convert_to_Games[[#This Row],[Total Score]]&gt;9, 1, 0)</f>
        <v>0</v>
      </c>
      <c r="L233">
        <f>IF(Convert_to_Games[[#This Row],[DD]]=0, 0, IF(L232 = "Cons DD", Convert_to_Games[[#This Row],[DD]], L232+L232))</f>
        <v>0</v>
      </c>
    </row>
    <row r="234" spans="1:12">
      <c r="A234" t="s">
        <v>25</v>
      </c>
      <c r="B234" t="s">
        <v>20</v>
      </c>
      <c r="C234" t="s">
        <v>116</v>
      </c>
      <c r="D234" s="9">
        <v>45875</v>
      </c>
      <c r="E234">
        <v>199</v>
      </c>
      <c r="F234" t="s">
        <v>11</v>
      </c>
      <c r="G234">
        <v>3</v>
      </c>
      <c r="H234" t="s">
        <v>4</v>
      </c>
      <c r="I234">
        <v>9</v>
      </c>
      <c r="J234">
        <v>1</v>
      </c>
      <c r="K234">
        <f>IF(Convert_to_Games[[#This Row],[Total Score]]&gt;9, 1, 0)</f>
        <v>0</v>
      </c>
      <c r="L234">
        <f>IF(Convert_to_Games[[#This Row],[DD]]=0, 0, IF(L233 = "Cons DD", Convert_to_Games[[#This Row],[DD]], L233+L233))</f>
        <v>0</v>
      </c>
    </row>
    <row r="235" spans="1:12">
      <c r="A235" t="s">
        <v>25</v>
      </c>
      <c r="B235">
        <v>256</v>
      </c>
      <c r="C235" t="s">
        <v>116</v>
      </c>
      <c r="D235" s="9">
        <v>45880</v>
      </c>
      <c r="E235">
        <v>201</v>
      </c>
      <c r="F235" t="s">
        <v>9</v>
      </c>
      <c r="G235">
        <v>3</v>
      </c>
      <c r="H235" t="s">
        <v>4</v>
      </c>
      <c r="I235">
        <v>9</v>
      </c>
      <c r="J235">
        <v>1</v>
      </c>
      <c r="K235">
        <f>IF(Convert_to_Games[[#This Row],[Total Score]]&gt;9, 1, 0)</f>
        <v>0</v>
      </c>
      <c r="L235">
        <f>IF(Convert_to_Games[[#This Row],[DD]]=0, 0, IF(L234 = "Cons DD", Convert_to_Games[[#This Row],[DD]], L234+L234))</f>
        <v>0</v>
      </c>
    </row>
    <row r="236" spans="1:12">
      <c r="A236" t="s">
        <v>25</v>
      </c>
      <c r="B236">
        <v>256</v>
      </c>
      <c r="C236" t="s">
        <v>116</v>
      </c>
      <c r="D236" s="9">
        <v>45883</v>
      </c>
      <c r="E236">
        <v>205</v>
      </c>
      <c r="F236" t="s">
        <v>11</v>
      </c>
      <c r="G236">
        <v>3</v>
      </c>
      <c r="H236" t="s">
        <v>5</v>
      </c>
      <c r="I236">
        <v>9</v>
      </c>
      <c r="J236">
        <v>1</v>
      </c>
      <c r="K236">
        <f>IF(Convert_to_Games[[#This Row],[Total Score]]&gt;9, 1, 0)</f>
        <v>0</v>
      </c>
      <c r="L236">
        <f>IF(Convert_to_Games[[#This Row],[DD]]=0, 0, IF(L235 = "Cons DD", Convert_to_Games[[#This Row],[DD]], L235+L235))</f>
        <v>0</v>
      </c>
    </row>
    <row r="237" spans="1:12">
      <c r="A237" t="s">
        <v>25</v>
      </c>
      <c r="B237">
        <v>256</v>
      </c>
      <c r="C237" t="s">
        <v>116</v>
      </c>
      <c r="D237" s="9">
        <v>45888</v>
      </c>
      <c r="E237">
        <v>207</v>
      </c>
      <c r="F237" t="s">
        <v>11</v>
      </c>
      <c r="G237">
        <v>3</v>
      </c>
      <c r="H237" t="s">
        <v>5</v>
      </c>
      <c r="I237">
        <v>9</v>
      </c>
      <c r="J237">
        <v>0</v>
      </c>
      <c r="K237">
        <f>IF(Convert_to_Games[[#This Row],[Total Score]]&gt;9, 1, 0)</f>
        <v>0</v>
      </c>
      <c r="L237">
        <f>IF(Convert_to_Games[[#This Row],[DD]]=0, 0, IF(L236 = "Cons DD", Convert_to_Games[[#This Row],[DD]], L236+L236))</f>
        <v>0</v>
      </c>
    </row>
    <row r="238" spans="1:12">
      <c r="A238" t="s">
        <v>25</v>
      </c>
      <c r="B238">
        <v>256</v>
      </c>
      <c r="C238" t="s">
        <v>116</v>
      </c>
      <c r="D238" s="9">
        <v>45890</v>
      </c>
      <c r="E238">
        <v>209</v>
      </c>
      <c r="F238" t="s">
        <v>11</v>
      </c>
      <c r="G238">
        <v>3</v>
      </c>
      <c r="H238" t="s">
        <v>5</v>
      </c>
      <c r="I238">
        <v>9</v>
      </c>
      <c r="J238">
        <v>0</v>
      </c>
      <c r="K238">
        <f>IF(Convert_to_Games[[#This Row],[Total Score]]&gt;9, 1, 0)</f>
        <v>0</v>
      </c>
      <c r="L238">
        <f>IF(Convert_to_Games[[#This Row],[DD]]=0, 0, IF(L237 = "Cons DD", Convert_to_Games[[#This Row],[DD]], L237+L237))</f>
        <v>0</v>
      </c>
    </row>
    <row r="239" spans="1:12">
      <c r="A239" t="s">
        <v>25</v>
      </c>
      <c r="B239">
        <v>256</v>
      </c>
      <c r="C239" t="s">
        <v>116</v>
      </c>
      <c r="D239" s="9">
        <v>45897</v>
      </c>
      <c r="E239">
        <v>212</v>
      </c>
      <c r="F239" t="s">
        <v>11</v>
      </c>
      <c r="G239">
        <v>3</v>
      </c>
      <c r="H239" t="s">
        <v>5</v>
      </c>
      <c r="I239">
        <v>9</v>
      </c>
      <c r="J239">
        <v>0</v>
      </c>
      <c r="K239">
        <f>IF(Convert_to_Games[[#This Row],[Total Score]]&gt;9, 1, 0)</f>
        <v>0</v>
      </c>
      <c r="L239">
        <f>IF(Convert_to_Games[[#This Row],[DD]]=0, 0, IF(L238 = "Cons DD", Convert_to_Games[[#This Row],[DD]], L238+L238))</f>
        <v>0</v>
      </c>
    </row>
    <row r="240" spans="1:12">
      <c r="A240" t="s">
        <v>25</v>
      </c>
      <c r="B240">
        <v>256</v>
      </c>
      <c r="C240" t="s">
        <v>116</v>
      </c>
      <c r="D240" s="9">
        <v>45898</v>
      </c>
      <c r="E240">
        <v>213</v>
      </c>
      <c r="F240" t="s">
        <v>15</v>
      </c>
      <c r="G240">
        <v>3</v>
      </c>
      <c r="H240" t="s">
        <v>5</v>
      </c>
      <c r="I240">
        <v>9</v>
      </c>
      <c r="J240">
        <v>0</v>
      </c>
      <c r="K240">
        <f>IF(Convert_to_Games[[#This Row],[Total Score]]&gt;9, 1, 0)</f>
        <v>0</v>
      </c>
      <c r="L240">
        <f>IF(Convert_to_Games[[#This Row],[DD]]=0, 0, IF(L239 = "Cons DD", Convert_to_Games[[#This Row],[DD]], L239+L239))</f>
        <v>0</v>
      </c>
    </row>
    <row r="241" spans="1:12">
      <c r="A241" t="s">
        <v>25</v>
      </c>
      <c r="B241">
        <v>256</v>
      </c>
      <c r="C241" t="s">
        <v>116</v>
      </c>
      <c r="D241" s="9">
        <v>45902</v>
      </c>
      <c r="E241">
        <v>214</v>
      </c>
      <c r="F241" t="s">
        <v>11</v>
      </c>
      <c r="G241">
        <v>3</v>
      </c>
      <c r="H241" t="s">
        <v>5</v>
      </c>
      <c r="I241">
        <v>9</v>
      </c>
      <c r="J241">
        <v>1</v>
      </c>
      <c r="K241">
        <f>IF(Convert_to_Games[[#This Row],[Total Score]]&gt;9, 1, 0)</f>
        <v>0</v>
      </c>
      <c r="L241">
        <f>IF(Convert_to_Games[[#This Row],[DD]]=0, 0, IF(L240 = "Cons DD", Convert_to_Games[[#This Row],[DD]], L240+L240))</f>
        <v>0</v>
      </c>
    </row>
    <row r="242" spans="1:12">
      <c r="A242" t="s">
        <v>25</v>
      </c>
      <c r="B242">
        <v>256</v>
      </c>
      <c r="C242" t="s">
        <v>116</v>
      </c>
      <c r="D242" s="9">
        <v>45938</v>
      </c>
      <c r="E242">
        <v>230</v>
      </c>
      <c r="F242" t="s">
        <v>11</v>
      </c>
      <c r="G242">
        <v>3</v>
      </c>
      <c r="H242" t="s">
        <v>4</v>
      </c>
      <c r="I242">
        <v>9</v>
      </c>
      <c r="J242">
        <v>0</v>
      </c>
      <c r="K242">
        <f>IF(Convert_to_Games[[#This Row],[Total Score]]&gt;9, 1, 0)</f>
        <v>0</v>
      </c>
      <c r="L242">
        <f>IF(Convert_to_Games[[#This Row],[DD]]=0, 0, IF(L241 = "Cons DD", Convert_to_Games[[#This Row],[DD]], L241+L241))</f>
        <v>0</v>
      </c>
    </row>
    <row r="243" spans="1:12">
      <c r="A243" t="s">
        <v>25</v>
      </c>
      <c r="B243">
        <v>256</v>
      </c>
      <c r="C243" t="s">
        <v>116</v>
      </c>
      <c r="D243" s="9">
        <v>45952</v>
      </c>
      <c r="E243">
        <v>233</v>
      </c>
      <c r="F243" t="s">
        <v>15</v>
      </c>
      <c r="G243">
        <v>3</v>
      </c>
      <c r="H243" t="s">
        <v>5</v>
      </c>
      <c r="I243">
        <v>9</v>
      </c>
      <c r="J243">
        <v>1</v>
      </c>
      <c r="K243">
        <f>IF(Convert_to_Games[[#This Row],[Total Score]]&gt;9, 1, 0)</f>
        <v>0</v>
      </c>
      <c r="L243">
        <f>IF(Convert_to_Games[[#This Row],[DD]]=0, 0, IF(L242 = "Cons DD", Convert_to_Games[[#This Row],[DD]], L242+L242))</f>
        <v>0</v>
      </c>
    </row>
    <row r="244" spans="1:12">
      <c r="A244" t="s">
        <v>25</v>
      </c>
      <c r="B244">
        <v>256</v>
      </c>
      <c r="C244" t="s">
        <v>116</v>
      </c>
      <c r="D244" s="9">
        <v>45954</v>
      </c>
      <c r="E244">
        <v>235</v>
      </c>
      <c r="F244" t="s">
        <v>8</v>
      </c>
      <c r="G244">
        <v>3</v>
      </c>
      <c r="H244" t="s">
        <v>5</v>
      </c>
      <c r="I244">
        <v>9</v>
      </c>
      <c r="J244">
        <v>0</v>
      </c>
      <c r="K244">
        <f>IF(Convert_to_Games[[#This Row],[Total Score]]&gt;9, 1, 0)</f>
        <v>0</v>
      </c>
      <c r="L244">
        <f>IF(Convert_to_Games[[#This Row],[DD]]=0, 0, IF(L243 = "Cons DD", Convert_to_Games[[#This Row],[DD]], L243+L243))</f>
        <v>0</v>
      </c>
    </row>
    <row r="245" spans="1:12">
      <c r="A245" t="s">
        <v>25</v>
      </c>
      <c r="B245">
        <v>256</v>
      </c>
      <c r="C245" t="s">
        <v>116</v>
      </c>
      <c r="D245" s="9">
        <v>45972</v>
      </c>
      <c r="E245">
        <v>239</v>
      </c>
      <c r="F245" t="s">
        <v>15</v>
      </c>
      <c r="G245">
        <v>3</v>
      </c>
      <c r="H245" t="s">
        <v>4</v>
      </c>
      <c r="I245">
        <v>9</v>
      </c>
      <c r="J245">
        <v>0</v>
      </c>
      <c r="K245">
        <f>IF(Convert_to_Games[[#This Row],[Total Score]]&gt;9, 1, 0)</f>
        <v>0</v>
      </c>
      <c r="L245">
        <f>IF(Convert_to_Games[[#This Row],[DD]]=0, 0, IF(L244 = "Cons DD", Convert_to_Games[[#This Row],[DD]], L244+L244))</f>
        <v>0</v>
      </c>
    </row>
    <row r="246" spans="1:12">
      <c r="A246" t="s">
        <v>25</v>
      </c>
      <c r="B246">
        <v>256</v>
      </c>
      <c r="C246" t="s">
        <v>116</v>
      </c>
      <c r="D246" s="9">
        <v>45982</v>
      </c>
      <c r="E246">
        <v>243</v>
      </c>
      <c r="F246" t="s">
        <v>11</v>
      </c>
      <c r="G246">
        <v>3</v>
      </c>
      <c r="H246" t="s">
        <v>4</v>
      </c>
      <c r="I246">
        <v>9</v>
      </c>
      <c r="J246">
        <v>0</v>
      </c>
      <c r="K246">
        <f>IF(Convert_to_Games[[#This Row],[Total Score]]&gt;9, 1, 0)</f>
        <v>0</v>
      </c>
      <c r="L246">
        <f>IF(Convert_to_Games[[#This Row],[DD]]=0, 0, IF(L245 = "Cons DD", Convert_to_Games[[#This Row],[DD]], L245+L245))</f>
        <v>0</v>
      </c>
    </row>
    <row r="247" spans="1:12">
      <c r="A247" t="s">
        <v>25</v>
      </c>
      <c r="B247">
        <v>256</v>
      </c>
      <c r="C247" t="s">
        <v>116</v>
      </c>
      <c r="D247" s="9">
        <v>46036</v>
      </c>
      <c r="E247">
        <v>255</v>
      </c>
      <c r="F247" t="s">
        <v>11</v>
      </c>
      <c r="G247">
        <v>3</v>
      </c>
      <c r="H247" t="s">
        <v>5</v>
      </c>
      <c r="I247">
        <v>9</v>
      </c>
      <c r="J247">
        <v>0</v>
      </c>
      <c r="K247">
        <f>IF(Convert_to_Games[[#This Row],[Total Score]]&gt;9, 1, 0)</f>
        <v>0</v>
      </c>
      <c r="L247">
        <f>IF(Convert_to_Games[[#This Row],[DD]]=0, 0, IF(L246 = "Cons DD", Convert_to_Games[[#This Row],[DD]], L246+L246))</f>
        <v>0</v>
      </c>
    </row>
    <row r="248" spans="1:12">
      <c r="A248" t="s">
        <v>25</v>
      </c>
      <c r="B248">
        <v>256</v>
      </c>
      <c r="C248" t="s">
        <v>116</v>
      </c>
      <c r="D248" s="9">
        <v>46084</v>
      </c>
      <c r="E248">
        <v>268</v>
      </c>
      <c r="F248" t="s">
        <v>9</v>
      </c>
      <c r="G248">
        <v>3</v>
      </c>
      <c r="H248" t="s">
        <v>5</v>
      </c>
      <c r="I248">
        <v>9</v>
      </c>
      <c r="J248">
        <v>0</v>
      </c>
      <c r="K248">
        <f>IF(Convert_to_Games[[#This Row],[Total Score]]&gt;9, 1, 0)</f>
        <v>0</v>
      </c>
      <c r="L248">
        <f>IF(Convert_to_Games[[#This Row],[DD]]=0, 0, IF(L247 = "Cons DD", Convert_to_Games[[#This Row],[DD]], L247+L247))</f>
        <v>0</v>
      </c>
    </row>
    <row r="249" spans="1:12">
      <c r="A249" t="s">
        <v>25</v>
      </c>
      <c r="B249">
        <v>256</v>
      </c>
      <c r="C249" t="s">
        <v>116</v>
      </c>
      <c r="D249" s="9">
        <v>46086</v>
      </c>
      <c r="E249">
        <v>270</v>
      </c>
      <c r="F249" t="s">
        <v>117</v>
      </c>
      <c r="G249">
        <v>3</v>
      </c>
      <c r="H249" t="s">
        <v>5</v>
      </c>
      <c r="I249">
        <v>9</v>
      </c>
      <c r="J249">
        <v>0</v>
      </c>
      <c r="K249">
        <f>IF(Convert_to_Games[[#This Row],[Total Score]]&gt;9, 1, 0)</f>
        <v>0</v>
      </c>
      <c r="L249">
        <f>IF(Convert_to_Games[[#This Row],[DD]]=0, 0, IF(L248 = "Cons DD", Convert_to_Games[[#This Row],[DD]], L248+L248))</f>
        <v>0</v>
      </c>
    </row>
    <row r="250" spans="1:12">
      <c r="A250" t="s">
        <v>25</v>
      </c>
      <c r="B250">
        <v>256</v>
      </c>
      <c r="C250" t="s">
        <v>116</v>
      </c>
      <c r="D250" s="9">
        <v>46106</v>
      </c>
      <c r="E250">
        <v>277</v>
      </c>
      <c r="F250" t="s">
        <v>11</v>
      </c>
      <c r="G250">
        <v>4</v>
      </c>
      <c r="H250" t="s">
        <v>5</v>
      </c>
      <c r="I250">
        <v>9</v>
      </c>
      <c r="J250">
        <v>0</v>
      </c>
      <c r="K250">
        <f>IF(Convert_to_Games[[#This Row],[Total Score]]&gt;9, 1, 0)</f>
        <v>0</v>
      </c>
      <c r="L250">
        <f>IF(Convert_to_Games[[#This Row],[DD]]=0, 0, IF(L249 = "Cons DD", Convert_to_Games[[#This Row],[DD]], L249+L249))</f>
        <v>0</v>
      </c>
    </row>
    <row r="251" spans="1:12">
      <c r="A251" t="s">
        <v>25</v>
      </c>
      <c r="B251">
        <v>256</v>
      </c>
      <c r="C251" t="s">
        <v>116</v>
      </c>
      <c r="D251" s="9">
        <v>46106</v>
      </c>
      <c r="E251">
        <v>277</v>
      </c>
      <c r="F251" t="s">
        <v>11</v>
      </c>
      <c r="G251">
        <v>4</v>
      </c>
      <c r="H251" t="s">
        <v>7</v>
      </c>
      <c r="I251">
        <v>9</v>
      </c>
      <c r="J251">
        <v>0</v>
      </c>
      <c r="K251">
        <f>IF(Convert_to_Games[[#This Row],[Total Score]]&gt;9, 1, 0)</f>
        <v>0</v>
      </c>
      <c r="L251">
        <f>IF(Convert_to_Games[[#This Row],[DD]]=0, 0, IF(L250 = "Cons DD", Convert_to_Games[[#This Row],[DD]], L250+L250))</f>
        <v>0</v>
      </c>
    </row>
    <row r="252" spans="1:12">
      <c r="A252" t="s">
        <v>25</v>
      </c>
      <c r="B252">
        <v>256</v>
      </c>
      <c r="C252" t="s">
        <v>116</v>
      </c>
      <c r="D252" s="9">
        <v>46108</v>
      </c>
      <c r="E252">
        <v>278</v>
      </c>
      <c r="F252" t="s">
        <v>9</v>
      </c>
      <c r="G252">
        <v>4</v>
      </c>
      <c r="H252" t="s">
        <v>5</v>
      </c>
      <c r="I252">
        <v>9</v>
      </c>
      <c r="J252">
        <v>0</v>
      </c>
      <c r="K252">
        <f>IF(Convert_to_Games[[#This Row],[Total Score]]&gt;9, 1, 0)</f>
        <v>0</v>
      </c>
      <c r="L252">
        <f>IF(Convert_to_Games[[#This Row],[DD]]=0, 0, IF(L251 = "Cons DD", Convert_to_Games[[#This Row],[DD]], L251+L251))</f>
        <v>0</v>
      </c>
    </row>
    <row r="253" spans="1:12">
      <c r="A253" t="s">
        <v>25</v>
      </c>
      <c r="B253">
        <v>256</v>
      </c>
      <c r="C253" t="s">
        <v>116</v>
      </c>
      <c r="D253" s="9">
        <v>46122</v>
      </c>
      <c r="E253">
        <v>281</v>
      </c>
      <c r="F253" t="s">
        <v>9</v>
      </c>
      <c r="G253">
        <v>4</v>
      </c>
      <c r="H253" t="s">
        <v>5</v>
      </c>
      <c r="I253">
        <v>9</v>
      </c>
      <c r="J253">
        <v>0</v>
      </c>
      <c r="K253">
        <f>IF(Convert_to_Games[[#This Row],[Total Score]]&gt;9, 1, 0)</f>
        <v>0</v>
      </c>
      <c r="L253">
        <f>IF(Convert_to_Games[[#This Row],[DD]]=0, 0, IF(L252 = "Cons DD", Convert_to_Games[[#This Row],[DD]], L252+L252))</f>
        <v>0</v>
      </c>
    </row>
    <row r="254" spans="1:12">
      <c r="A254" t="s">
        <v>25</v>
      </c>
      <c r="B254">
        <v>256</v>
      </c>
      <c r="C254" t="s">
        <v>116</v>
      </c>
      <c r="D254" s="9">
        <v>46154</v>
      </c>
      <c r="E254">
        <v>285</v>
      </c>
      <c r="F254" t="s">
        <v>11</v>
      </c>
      <c r="G254">
        <v>4</v>
      </c>
      <c r="H254" t="s">
        <v>5</v>
      </c>
      <c r="I254">
        <v>9</v>
      </c>
      <c r="J254">
        <v>0</v>
      </c>
      <c r="K254">
        <f>IF(Convert_to_Games[[#This Row],[Total Score]]&gt;9, 1, 0)</f>
        <v>0</v>
      </c>
      <c r="L254">
        <f>IF(Convert_to_Games[[#This Row],[DD]]=0, 0, IF(L253 = "Cons DD", Convert_to_Games[[#This Row],[DD]], L253+L253))</f>
        <v>0</v>
      </c>
    </row>
    <row r="255" spans="1:12">
      <c r="A255" t="s">
        <v>25</v>
      </c>
      <c r="B255" t="s">
        <v>20</v>
      </c>
      <c r="C255" t="s">
        <v>16</v>
      </c>
      <c r="D255" s="9">
        <v>45721</v>
      </c>
      <c r="E255">
        <v>17</v>
      </c>
      <c r="F255" t="s">
        <v>9</v>
      </c>
      <c r="G255">
        <v>3</v>
      </c>
      <c r="H255" t="s">
        <v>4</v>
      </c>
      <c r="I255">
        <v>8</v>
      </c>
      <c r="J255">
        <v>1</v>
      </c>
      <c r="K255">
        <f>IF(Convert_to_Games[[#This Row],[Total Score]]&gt;9, 1, 0)</f>
        <v>0</v>
      </c>
      <c r="L255">
        <f>IF(Convert_to_Games[[#This Row],[DD]]=0, 0, IF(L254 = "Cons DD", Convert_to_Games[[#This Row],[DD]], L254+L254))</f>
        <v>0</v>
      </c>
    </row>
    <row r="256" spans="1:12">
      <c r="A256" t="s">
        <v>25</v>
      </c>
      <c r="B256" t="s">
        <v>20</v>
      </c>
      <c r="C256" t="s">
        <v>17</v>
      </c>
      <c r="D256" s="9">
        <v>45722</v>
      </c>
      <c r="E256">
        <v>19</v>
      </c>
      <c r="F256" t="s">
        <v>9</v>
      </c>
      <c r="G256">
        <v>3</v>
      </c>
      <c r="H256" t="s">
        <v>5</v>
      </c>
      <c r="I256">
        <v>8</v>
      </c>
      <c r="J256">
        <v>1</v>
      </c>
      <c r="K256">
        <f>IF(Convert_to_Games[[#This Row],[Total Score]]&gt;9, 1, 0)</f>
        <v>0</v>
      </c>
      <c r="L256">
        <f>IF(Convert_to_Games[[#This Row],[DD]]=0, 0, IF(L255 = "Cons DD", Convert_to_Games[[#This Row],[DD]], L255+L255))</f>
        <v>0</v>
      </c>
    </row>
    <row r="257" spans="1:12">
      <c r="A257" t="s">
        <v>25</v>
      </c>
      <c r="B257" t="s">
        <v>21</v>
      </c>
      <c r="C257" t="s">
        <v>16</v>
      </c>
      <c r="D257" s="9">
        <v>45750</v>
      </c>
      <c r="E257">
        <v>34</v>
      </c>
      <c r="F257" t="s">
        <v>15</v>
      </c>
      <c r="G257">
        <v>3</v>
      </c>
      <c r="H257" t="s">
        <v>4</v>
      </c>
      <c r="I257">
        <v>8</v>
      </c>
      <c r="J257">
        <v>1</v>
      </c>
      <c r="K257">
        <f>IF(Convert_to_Games[[#This Row],[Total Score]]&gt;9, 1, 0)</f>
        <v>0</v>
      </c>
      <c r="L257">
        <f>IF(Convert_to_Games[[#This Row],[DD]]=0, 0, IF(L256 = "Cons DD", Convert_to_Games[[#This Row],[DD]], L256+L256))</f>
        <v>0</v>
      </c>
    </row>
    <row r="258" spans="1:12">
      <c r="A258" t="s">
        <v>25</v>
      </c>
      <c r="B258" t="s">
        <v>20</v>
      </c>
      <c r="C258" t="s">
        <v>16</v>
      </c>
      <c r="D258" s="9">
        <v>45751</v>
      </c>
      <c r="E258">
        <v>35</v>
      </c>
      <c r="F258" t="s">
        <v>11</v>
      </c>
      <c r="G258">
        <v>3</v>
      </c>
      <c r="H258" t="s">
        <v>4</v>
      </c>
      <c r="I258">
        <v>8</v>
      </c>
      <c r="J258">
        <v>1</v>
      </c>
      <c r="K258">
        <f>IF(Convert_to_Games[[#This Row],[Total Score]]&gt;9, 1, 0)</f>
        <v>0</v>
      </c>
      <c r="L258">
        <f>IF(Convert_to_Games[[#This Row],[DD]]=0, 0, IF(L257 = "Cons DD", Convert_to_Games[[#This Row],[DD]], L257+L257))</f>
        <v>0</v>
      </c>
    </row>
    <row r="259" spans="1:12">
      <c r="A259" t="s">
        <v>25</v>
      </c>
      <c r="B259" t="s">
        <v>20</v>
      </c>
      <c r="C259" t="s">
        <v>16</v>
      </c>
      <c r="D259" s="9">
        <v>45754</v>
      </c>
      <c r="E259">
        <v>37</v>
      </c>
      <c r="F259" t="s">
        <v>9</v>
      </c>
      <c r="G259">
        <v>3</v>
      </c>
      <c r="H259" t="s">
        <v>4</v>
      </c>
      <c r="I259">
        <v>8</v>
      </c>
      <c r="J259">
        <v>1</v>
      </c>
      <c r="K259">
        <f>IF(Convert_to_Games[[#This Row],[Total Score]]&gt;9, 1, 0)</f>
        <v>0</v>
      </c>
      <c r="L259">
        <f>IF(Convert_to_Games[[#This Row],[DD]]=0, 0, IF(L258 = "Cons DD", Convert_to_Games[[#This Row],[DD]], L258+L258))</f>
        <v>0</v>
      </c>
    </row>
    <row r="260" spans="1:12">
      <c r="A260" t="s">
        <v>25</v>
      </c>
      <c r="B260" t="s">
        <v>19</v>
      </c>
      <c r="C260" t="s">
        <v>16</v>
      </c>
      <c r="D260" s="9">
        <v>45756</v>
      </c>
      <c r="E260">
        <v>40</v>
      </c>
      <c r="F260" t="s">
        <v>11</v>
      </c>
      <c r="G260">
        <v>3</v>
      </c>
      <c r="H260" t="s">
        <v>4</v>
      </c>
      <c r="I260">
        <v>8</v>
      </c>
      <c r="J260">
        <v>1</v>
      </c>
      <c r="K260">
        <f>IF(Convert_to_Games[[#This Row],[Total Score]]&gt;9, 1, 0)</f>
        <v>0</v>
      </c>
      <c r="L260">
        <f>IF(Convert_to_Games[[#This Row],[DD]]=0, 0, IF(L259 = "Cons DD", Convert_to_Games[[#This Row],[DD]], L259+L259))</f>
        <v>0</v>
      </c>
    </row>
    <row r="261" spans="1:12">
      <c r="A261" t="s">
        <v>25</v>
      </c>
      <c r="B261" t="s">
        <v>20</v>
      </c>
      <c r="C261" t="s">
        <v>16</v>
      </c>
      <c r="D261" s="9">
        <v>45761</v>
      </c>
      <c r="E261">
        <v>43</v>
      </c>
      <c r="F261" t="s">
        <v>33</v>
      </c>
      <c r="G261">
        <v>3</v>
      </c>
      <c r="H261" t="s">
        <v>4</v>
      </c>
      <c r="I261">
        <v>8</v>
      </c>
      <c r="J261">
        <v>1</v>
      </c>
      <c r="K261">
        <f>IF(Convert_to_Games[[#This Row],[Total Score]]&gt;9, 1, 0)</f>
        <v>0</v>
      </c>
      <c r="L261">
        <f>IF(Convert_to_Games[[#This Row],[DD]]=0, 0, IF(L260 = "Cons DD", Convert_to_Games[[#This Row],[DD]], L260+L260))</f>
        <v>0</v>
      </c>
    </row>
    <row r="262" spans="1:12">
      <c r="A262" t="s">
        <v>25</v>
      </c>
      <c r="B262" t="s">
        <v>21</v>
      </c>
      <c r="C262" t="s">
        <v>16</v>
      </c>
      <c r="D262" s="9">
        <v>45769</v>
      </c>
      <c r="E262">
        <v>62</v>
      </c>
      <c r="F262" t="s">
        <v>33</v>
      </c>
      <c r="G262">
        <v>3</v>
      </c>
      <c r="H262" t="s">
        <v>4</v>
      </c>
      <c r="I262">
        <v>8</v>
      </c>
      <c r="J262">
        <v>1</v>
      </c>
      <c r="K262">
        <f>IF(Convert_to_Games[[#This Row],[Total Score]]&gt;9, 1, 0)</f>
        <v>0</v>
      </c>
      <c r="L262">
        <f>IF(Convert_to_Games[[#This Row],[DD]]=0, 0, IF(L261 = "Cons DD", Convert_to_Games[[#This Row],[DD]], L261+L261))</f>
        <v>0</v>
      </c>
    </row>
    <row r="263" spans="1:12">
      <c r="A263" t="s">
        <v>25</v>
      </c>
      <c r="B263" t="s">
        <v>19</v>
      </c>
      <c r="C263" t="s">
        <v>16</v>
      </c>
      <c r="D263" s="9">
        <v>45772</v>
      </c>
      <c r="E263">
        <v>71</v>
      </c>
      <c r="F263" t="s">
        <v>11</v>
      </c>
      <c r="G263">
        <v>3</v>
      </c>
      <c r="H263" t="s">
        <v>5</v>
      </c>
      <c r="I263">
        <v>8</v>
      </c>
      <c r="J263">
        <v>0</v>
      </c>
      <c r="K263">
        <f>IF(Convert_to_Games[[#This Row],[Total Score]]&gt;9, 1, 0)</f>
        <v>0</v>
      </c>
      <c r="L263">
        <f>IF(Convert_to_Games[[#This Row],[DD]]=0, 0, IF(L262 = "Cons DD", Convert_to_Games[[#This Row],[DD]], L262+L262))</f>
        <v>0</v>
      </c>
    </row>
    <row r="264" spans="1:12">
      <c r="A264" t="s">
        <v>25</v>
      </c>
      <c r="B264" t="s">
        <v>20</v>
      </c>
      <c r="C264" t="s">
        <v>16</v>
      </c>
      <c r="D264" s="9">
        <v>45775</v>
      </c>
      <c r="E264">
        <v>75</v>
      </c>
      <c r="F264" t="s">
        <v>11</v>
      </c>
      <c r="G264">
        <v>4</v>
      </c>
      <c r="H264" t="s">
        <v>5</v>
      </c>
      <c r="I264">
        <v>8</v>
      </c>
      <c r="J264">
        <v>0</v>
      </c>
      <c r="K264">
        <f>IF(Convert_to_Games[[#This Row],[Total Score]]&gt;9, 1, 0)</f>
        <v>0</v>
      </c>
      <c r="L264">
        <f>IF(Convert_to_Games[[#This Row],[DD]]=0, 0, IF(L263 = "Cons DD", Convert_to_Games[[#This Row],[DD]], L263+L263))</f>
        <v>0</v>
      </c>
    </row>
    <row r="265" spans="1:12">
      <c r="A265" t="s">
        <v>25</v>
      </c>
      <c r="B265" t="s">
        <v>20</v>
      </c>
      <c r="C265" t="s">
        <v>16</v>
      </c>
      <c r="D265" s="9">
        <v>45776</v>
      </c>
      <c r="E265">
        <v>77</v>
      </c>
      <c r="F265" t="s">
        <v>57</v>
      </c>
      <c r="G265">
        <v>3</v>
      </c>
      <c r="H265" t="s">
        <v>6</v>
      </c>
      <c r="I265">
        <v>8</v>
      </c>
      <c r="J265">
        <v>1</v>
      </c>
      <c r="K265">
        <f>IF(Convert_to_Games[[#This Row],[Total Score]]&gt;9, 1, 0)</f>
        <v>0</v>
      </c>
      <c r="L265">
        <f>IF(Convert_to_Games[[#This Row],[DD]]=0, 0, IF(L264 = "Cons DD", Convert_to_Games[[#This Row],[DD]], L264+L264))</f>
        <v>0</v>
      </c>
    </row>
    <row r="266" spans="1:12">
      <c r="A266" t="s">
        <v>25</v>
      </c>
      <c r="B266" t="s">
        <v>21</v>
      </c>
      <c r="C266" t="s">
        <v>16</v>
      </c>
      <c r="D266" s="9">
        <v>45778</v>
      </c>
      <c r="E266">
        <v>86</v>
      </c>
      <c r="F266" t="s">
        <v>11</v>
      </c>
      <c r="G266">
        <v>3</v>
      </c>
      <c r="H266" t="s">
        <v>4</v>
      </c>
      <c r="I266">
        <v>8</v>
      </c>
      <c r="J266">
        <v>1</v>
      </c>
      <c r="K266">
        <f>IF(Convert_to_Games[[#This Row],[Total Score]]&gt;9, 1, 0)</f>
        <v>0</v>
      </c>
      <c r="L266">
        <f>IF(Convert_to_Games[[#This Row],[DD]]=0, 0, IF(L265 = "Cons DD", Convert_to_Games[[#This Row],[DD]], L265+L265))</f>
        <v>0</v>
      </c>
    </row>
    <row r="267" spans="1:12">
      <c r="A267" t="s">
        <v>25</v>
      </c>
      <c r="B267" t="s">
        <v>20</v>
      </c>
      <c r="C267" t="s">
        <v>16</v>
      </c>
      <c r="D267" s="9">
        <v>45779</v>
      </c>
      <c r="E267">
        <v>88</v>
      </c>
      <c r="F267" t="s">
        <v>11</v>
      </c>
      <c r="G267">
        <v>3</v>
      </c>
      <c r="H267" t="s">
        <v>5</v>
      </c>
      <c r="I267">
        <v>8</v>
      </c>
      <c r="J267">
        <v>0</v>
      </c>
      <c r="K267">
        <f>IF(Convert_to_Games[[#This Row],[Total Score]]&gt;9, 1, 0)</f>
        <v>0</v>
      </c>
      <c r="L267">
        <f>IF(Convert_to_Games[[#This Row],[DD]]=0, 0, IF(L266 = "Cons DD", Convert_to_Games[[#This Row],[DD]], L266+L266))</f>
        <v>0</v>
      </c>
    </row>
    <row r="268" spans="1:12">
      <c r="A268" t="s">
        <v>25</v>
      </c>
      <c r="B268" t="s">
        <v>19</v>
      </c>
      <c r="C268" t="s">
        <v>16</v>
      </c>
      <c r="D268" s="9">
        <v>45784</v>
      </c>
      <c r="E268">
        <v>94</v>
      </c>
      <c r="F268" t="s">
        <v>9</v>
      </c>
      <c r="G268">
        <v>3</v>
      </c>
      <c r="H268" t="s">
        <v>5</v>
      </c>
      <c r="I268">
        <v>8</v>
      </c>
      <c r="J268">
        <v>1</v>
      </c>
      <c r="K268">
        <f>IF(Convert_to_Games[[#This Row],[Total Score]]&gt;9, 1, 0)</f>
        <v>0</v>
      </c>
      <c r="L268">
        <f>IF(Convert_to_Games[[#This Row],[DD]]=0, 0, IF(L267 = "Cons DD", Convert_to_Games[[#This Row],[DD]], L267+L267))</f>
        <v>0</v>
      </c>
    </row>
    <row r="269" spans="1:12">
      <c r="A269" t="s">
        <v>25</v>
      </c>
      <c r="B269" t="s">
        <v>20</v>
      </c>
      <c r="C269" t="s">
        <v>16</v>
      </c>
      <c r="D269" s="9">
        <v>45797</v>
      </c>
      <c r="E269">
        <v>102</v>
      </c>
      <c r="F269" t="s">
        <v>27</v>
      </c>
      <c r="G269">
        <v>3</v>
      </c>
      <c r="H269" t="s">
        <v>5</v>
      </c>
      <c r="I269">
        <v>8</v>
      </c>
      <c r="J269">
        <v>1</v>
      </c>
      <c r="K269">
        <f>IF(Convert_to_Games[[#This Row],[Total Score]]&gt;9, 1, 0)</f>
        <v>0</v>
      </c>
      <c r="L269">
        <f>IF(Convert_to_Games[[#This Row],[DD]]=0, 0, IF(L268 = "Cons DD", Convert_to_Games[[#This Row],[DD]], L268+L268))</f>
        <v>0</v>
      </c>
    </row>
    <row r="270" spans="1:12">
      <c r="A270" t="s">
        <v>25</v>
      </c>
      <c r="B270" t="s">
        <v>20</v>
      </c>
      <c r="C270" t="s">
        <v>16</v>
      </c>
      <c r="D270" s="9">
        <v>45819</v>
      </c>
      <c r="E270">
        <v>108</v>
      </c>
      <c r="F270" t="s">
        <v>9</v>
      </c>
      <c r="G270">
        <v>3</v>
      </c>
      <c r="H270" t="s">
        <v>4</v>
      </c>
      <c r="I270">
        <v>8</v>
      </c>
      <c r="J270">
        <v>1</v>
      </c>
      <c r="K270">
        <f>IF(Convert_to_Games[[#This Row],[Total Score]]&gt;9, 1, 0)</f>
        <v>0</v>
      </c>
      <c r="L270">
        <f>IF(Convert_to_Games[[#This Row],[DD]]=0, 0, IF(L269 = "Cons DD", Convert_to_Games[[#This Row],[DD]], L269+L269))</f>
        <v>0</v>
      </c>
    </row>
    <row r="271" spans="1:12">
      <c r="A271" t="s">
        <v>25</v>
      </c>
      <c r="B271" t="s">
        <v>20</v>
      </c>
      <c r="C271" t="s">
        <v>16</v>
      </c>
      <c r="D271" s="9">
        <v>45820</v>
      </c>
      <c r="E271">
        <v>109</v>
      </c>
      <c r="F271" t="s">
        <v>11</v>
      </c>
      <c r="G271">
        <v>3</v>
      </c>
      <c r="H271" t="s">
        <v>5</v>
      </c>
      <c r="I271">
        <v>8</v>
      </c>
      <c r="J271">
        <v>1</v>
      </c>
      <c r="K271">
        <f>IF(Convert_to_Games[[#This Row],[Total Score]]&gt;9, 1, 0)</f>
        <v>0</v>
      </c>
      <c r="L271">
        <f>IF(Convert_to_Games[[#This Row],[DD]]=0, 0, IF(L270 = "Cons DD", Convert_to_Games[[#This Row],[DD]], L270+L270))</f>
        <v>0</v>
      </c>
    </row>
    <row r="272" spans="1:12">
      <c r="A272" t="s">
        <v>25</v>
      </c>
      <c r="B272" t="s">
        <v>20</v>
      </c>
      <c r="C272" t="s">
        <v>16</v>
      </c>
      <c r="D272" s="9">
        <v>45827</v>
      </c>
      <c r="E272">
        <v>119</v>
      </c>
      <c r="F272" t="s">
        <v>9</v>
      </c>
      <c r="G272">
        <v>3</v>
      </c>
      <c r="H272" t="s">
        <v>4</v>
      </c>
      <c r="I272">
        <v>8</v>
      </c>
      <c r="J272">
        <v>0</v>
      </c>
      <c r="K272">
        <f>IF(Convert_to_Games[[#This Row],[Total Score]]&gt;9, 1, 0)</f>
        <v>0</v>
      </c>
      <c r="L272">
        <f>IF(Convert_to_Games[[#This Row],[DD]]=0, 0, IF(L271 = "Cons DD", Convert_to_Games[[#This Row],[DD]], L271+L271))</f>
        <v>0</v>
      </c>
    </row>
    <row r="273" spans="1:12">
      <c r="A273" t="s">
        <v>25</v>
      </c>
      <c r="B273" t="s">
        <v>20</v>
      </c>
      <c r="C273" t="s">
        <v>16</v>
      </c>
      <c r="D273" s="9">
        <v>45827</v>
      </c>
      <c r="E273">
        <v>120</v>
      </c>
      <c r="F273" t="s">
        <v>11</v>
      </c>
      <c r="G273">
        <v>4</v>
      </c>
      <c r="H273" t="s">
        <v>5</v>
      </c>
      <c r="I273">
        <v>8</v>
      </c>
      <c r="J273">
        <v>0</v>
      </c>
      <c r="K273">
        <f>IF(Convert_to_Games[[#This Row],[Total Score]]&gt;9, 1, 0)</f>
        <v>0</v>
      </c>
      <c r="L273">
        <f>IF(Convert_to_Games[[#This Row],[DD]]=0, 0, IF(L272 = "Cons DD", Convert_to_Games[[#This Row],[DD]], L272+L272))</f>
        <v>0</v>
      </c>
    </row>
    <row r="274" spans="1:12">
      <c r="A274" t="s">
        <v>25</v>
      </c>
      <c r="B274" t="s">
        <v>20</v>
      </c>
      <c r="C274" t="s">
        <v>16</v>
      </c>
      <c r="D274" s="9">
        <v>45839</v>
      </c>
      <c r="E274">
        <v>140</v>
      </c>
      <c r="F274" t="s">
        <v>100</v>
      </c>
      <c r="G274">
        <v>4</v>
      </c>
      <c r="H274" t="s">
        <v>4</v>
      </c>
      <c r="I274">
        <v>8</v>
      </c>
      <c r="J274">
        <v>0</v>
      </c>
      <c r="K274">
        <f>IF(Convert_to_Games[[#This Row],[Total Score]]&gt;9, 1, 0)</f>
        <v>0</v>
      </c>
      <c r="L274">
        <f>IF(Convert_to_Games[[#This Row],[DD]]=0, 0, IF(L273 = "Cons DD", Convert_to_Games[[#This Row],[DD]], L273+L273))</f>
        <v>0</v>
      </c>
    </row>
    <row r="275" spans="1:12">
      <c r="A275" t="s">
        <v>25</v>
      </c>
      <c r="B275" t="s">
        <v>20</v>
      </c>
      <c r="C275" t="s">
        <v>16</v>
      </c>
      <c r="D275" s="9">
        <v>45839</v>
      </c>
      <c r="E275">
        <v>142</v>
      </c>
      <c r="F275" t="s">
        <v>106</v>
      </c>
      <c r="G275">
        <v>3</v>
      </c>
      <c r="H275" t="s">
        <v>5</v>
      </c>
      <c r="I275">
        <v>8</v>
      </c>
      <c r="J275">
        <v>1</v>
      </c>
      <c r="K275">
        <f>IF(Convert_to_Games[[#This Row],[Total Score]]&gt;9, 1, 0)</f>
        <v>0</v>
      </c>
      <c r="L275">
        <f>IF(Convert_to_Games[[#This Row],[DD]]=0, 0, IF(L274 = "Cons DD", Convert_to_Games[[#This Row],[DD]], L274+L274))</f>
        <v>0</v>
      </c>
    </row>
    <row r="276" spans="1:12">
      <c r="A276" t="s">
        <v>25</v>
      </c>
      <c r="B276" t="s">
        <v>20</v>
      </c>
      <c r="C276" t="s">
        <v>16</v>
      </c>
      <c r="D276" s="9">
        <v>45840</v>
      </c>
      <c r="E276">
        <v>143</v>
      </c>
      <c r="F276" t="s">
        <v>107</v>
      </c>
      <c r="G276">
        <v>3</v>
      </c>
      <c r="H276" t="s">
        <v>78</v>
      </c>
      <c r="I276">
        <v>8</v>
      </c>
      <c r="J276">
        <v>0</v>
      </c>
      <c r="K276">
        <f>IF(Convert_to_Games[[#This Row],[Total Score]]&gt;9, 1, 0)</f>
        <v>0</v>
      </c>
      <c r="L276">
        <f>IF(Convert_to_Games[[#This Row],[DD]]=0, 0, IF(L275 = "Cons DD", Convert_to_Games[[#This Row],[DD]], L275+L275))</f>
        <v>0</v>
      </c>
    </row>
    <row r="277" spans="1:12">
      <c r="A277" t="s">
        <v>25</v>
      </c>
      <c r="B277" t="s">
        <v>19</v>
      </c>
      <c r="C277" t="s">
        <v>16</v>
      </c>
      <c r="D277" s="9">
        <v>45853</v>
      </c>
      <c r="E277">
        <v>166</v>
      </c>
      <c r="F277" t="s">
        <v>94</v>
      </c>
      <c r="G277">
        <v>3</v>
      </c>
      <c r="H277" t="s">
        <v>78</v>
      </c>
      <c r="I277">
        <v>8</v>
      </c>
      <c r="J277">
        <v>1</v>
      </c>
      <c r="K277">
        <f>IF(Convert_to_Games[[#This Row],[Total Score]]&gt;9, 1, 0)</f>
        <v>0</v>
      </c>
      <c r="L277">
        <f>IF(Convert_to_Games[[#This Row],[DD]]=0, 0, IF(L276 = "Cons DD", Convert_to_Games[[#This Row],[DD]], L276+L276))</f>
        <v>0</v>
      </c>
    </row>
    <row r="278" spans="1:12">
      <c r="A278" t="s">
        <v>25</v>
      </c>
      <c r="B278" t="s">
        <v>21</v>
      </c>
      <c r="C278" t="s">
        <v>16</v>
      </c>
      <c r="D278" s="9">
        <v>45853</v>
      </c>
      <c r="E278">
        <v>167</v>
      </c>
      <c r="F278" t="s">
        <v>111</v>
      </c>
      <c r="G278">
        <v>3</v>
      </c>
      <c r="H278" t="s">
        <v>4</v>
      </c>
      <c r="I278">
        <v>8</v>
      </c>
      <c r="J278">
        <v>1</v>
      </c>
      <c r="K278">
        <f>IF(Convert_to_Games[[#This Row],[Total Score]]&gt;9, 1, 0)</f>
        <v>0</v>
      </c>
      <c r="L278">
        <f>IF(Convert_to_Games[[#This Row],[DD]]=0, 0, IF(L277 = "Cons DD", Convert_to_Games[[#This Row],[DD]], L277+L277))</f>
        <v>0</v>
      </c>
    </row>
    <row r="279" spans="1:12">
      <c r="A279" t="s">
        <v>25</v>
      </c>
      <c r="B279" t="s">
        <v>20</v>
      </c>
      <c r="C279" t="s">
        <v>16</v>
      </c>
      <c r="D279" s="9">
        <v>45854</v>
      </c>
      <c r="E279">
        <v>169</v>
      </c>
      <c r="F279" t="s">
        <v>108</v>
      </c>
      <c r="G279">
        <v>3</v>
      </c>
      <c r="H279" t="s">
        <v>4</v>
      </c>
      <c r="I279">
        <v>8</v>
      </c>
      <c r="J279">
        <v>1</v>
      </c>
      <c r="K279">
        <f>IF(Convert_to_Games[[#This Row],[Total Score]]&gt;9, 1, 0)</f>
        <v>0</v>
      </c>
      <c r="L279">
        <f>IF(Convert_to_Games[[#This Row],[DD]]=0, 0, IF(L278 = "Cons DD", Convert_to_Games[[#This Row],[DD]], L278+L278))</f>
        <v>0</v>
      </c>
    </row>
    <row r="280" spans="1:12">
      <c r="A280" t="s">
        <v>25</v>
      </c>
      <c r="B280" t="s">
        <v>20</v>
      </c>
      <c r="C280" t="s">
        <v>16</v>
      </c>
      <c r="D280" s="9">
        <v>45860</v>
      </c>
      <c r="E280">
        <v>176</v>
      </c>
      <c r="F280" t="s">
        <v>11</v>
      </c>
      <c r="G280">
        <v>3</v>
      </c>
      <c r="H280" t="s">
        <v>4</v>
      </c>
      <c r="I280">
        <v>8</v>
      </c>
      <c r="J280">
        <v>1</v>
      </c>
      <c r="K280">
        <f>IF(Convert_to_Games[[#This Row],[Total Score]]&gt;9, 1, 0)</f>
        <v>0</v>
      </c>
      <c r="L280">
        <f>IF(Convert_to_Games[[#This Row],[DD]]=0, 0, IF(L279 = "Cons DD", Convert_to_Games[[#This Row],[DD]], L279+L279))</f>
        <v>0</v>
      </c>
    </row>
    <row r="281" spans="1:12">
      <c r="A281" t="s">
        <v>25</v>
      </c>
      <c r="B281" t="s">
        <v>20</v>
      </c>
      <c r="C281" t="s">
        <v>16</v>
      </c>
      <c r="D281" s="9">
        <v>45862</v>
      </c>
      <c r="E281">
        <v>180</v>
      </c>
      <c r="F281" t="s">
        <v>34</v>
      </c>
      <c r="G281">
        <v>3</v>
      </c>
      <c r="H281" t="s">
        <v>6</v>
      </c>
      <c r="I281">
        <v>8</v>
      </c>
      <c r="J281">
        <v>1</v>
      </c>
      <c r="K281">
        <f>IF(Convert_to_Games[[#This Row],[Total Score]]&gt;9, 1, 0)</f>
        <v>0</v>
      </c>
      <c r="L281">
        <f>IF(Convert_to_Games[[#This Row],[DD]]=0, 0, IF(L280 = "Cons DD", Convert_to_Games[[#This Row],[DD]], L280+L280))</f>
        <v>0</v>
      </c>
    </row>
    <row r="282" spans="1:12">
      <c r="A282" t="s">
        <v>25</v>
      </c>
      <c r="B282" t="s">
        <v>20</v>
      </c>
      <c r="C282" t="s">
        <v>16</v>
      </c>
      <c r="D282" s="9">
        <v>45866</v>
      </c>
      <c r="E282">
        <v>184</v>
      </c>
      <c r="F282" t="s">
        <v>71</v>
      </c>
      <c r="G282">
        <v>3</v>
      </c>
      <c r="H282" t="s">
        <v>5</v>
      </c>
      <c r="I282">
        <v>8</v>
      </c>
      <c r="J282">
        <v>1</v>
      </c>
      <c r="K282">
        <f>IF(Convert_to_Games[[#This Row],[Total Score]]&gt;9, 1, 0)</f>
        <v>0</v>
      </c>
      <c r="L282">
        <f>IF(Convert_to_Games[[#This Row],[DD]]=0, 0, IF(L281 = "Cons DD", Convert_to_Games[[#This Row],[DD]], L281+L281))</f>
        <v>0</v>
      </c>
    </row>
    <row r="283" spans="1:12">
      <c r="A283" t="s">
        <v>25</v>
      </c>
      <c r="B283" t="s">
        <v>20</v>
      </c>
      <c r="C283" t="s">
        <v>116</v>
      </c>
      <c r="D283" s="9">
        <v>45868</v>
      </c>
      <c r="E283">
        <v>188</v>
      </c>
      <c r="F283" t="s">
        <v>11</v>
      </c>
      <c r="G283">
        <v>3</v>
      </c>
      <c r="H283" t="s">
        <v>4</v>
      </c>
      <c r="I283">
        <v>8</v>
      </c>
      <c r="J283">
        <v>1</v>
      </c>
      <c r="K283">
        <f>IF(Convert_to_Games[[#This Row],[Total Score]]&gt;9, 1, 0)</f>
        <v>0</v>
      </c>
      <c r="L283">
        <f>IF(Convert_to_Games[[#This Row],[DD]]=0, 0, IF(L282 = "Cons DD", Convert_to_Games[[#This Row],[DD]], L282+L282))</f>
        <v>0</v>
      </c>
    </row>
    <row r="284" spans="1:12">
      <c r="A284" t="s">
        <v>25</v>
      </c>
      <c r="B284" t="s">
        <v>19</v>
      </c>
      <c r="C284" t="s">
        <v>116</v>
      </c>
      <c r="D284" s="9">
        <v>45870</v>
      </c>
      <c r="E284">
        <v>192</v>
      </c>
      <c r="F284" t="s">
        <v>11</v>
      </c>
      <c r="G284">
        <v>3</v>
      </c>
      <c r="H284" t="s">
        <v>4</v>
      </c>
      <c r="I284">
        <v>8</v>
      </c>
      <c r="J284">
        <v>0</v>
      </c>
      <c r="K284">
        <f>IF(Convert_to_Games[[#This Row],[Total Score]]&gt;9, 1, 0)</f>
        <v>0</v>
      </c>
      <c r="L284">
        <f>IF(Convert_to_Games[[#This Row],[DD]]=0, 0, IF(L283 = "Cons DD", Convert_to_Games[[#This Row],[DD]], L283+L283))</f>
        <v>0</v>
      </c>
    </row>
    <row r="285" spans="1:12">
      <c r="A285" t="s">
        <v>25</v>
      </c>
      <c r="B285" t="s">
        <v>20</v>
      </c>
      <c r="C285" t="s">
        <v>116</v>
      </c>
      <c r="D285" s="9">
        <v>45870</v>
      </c>
      <c r="E285">
        <v>193</v>
      </c>
      <c r="F285" t="s">
        <v>11</v>
      </c>
      <c r="G285">
        <v>3</v>
      </c>
      <c r="H285" t="s">
        <v>4</v>
      </c>
      <c r="I285">
        <v>8</v>
      </c>
      <c r="J285">
        <v>0</v>
      </c>
      <c r="K285">
        <f>IF(Convert_to_Games[[#This Row],[Total Score]]&gt;9, 1, 0)</f>
        <v>0</v>
      </c>
      <c r="L285">
        <f>IF(Convert_to_Games[[#This Row],[DD]]=0, 0, IF(L284 = "Cons DD", Convert_to_Games[[#This Row],[DD]], L284+L284))</f>
        <v>0</v>
      </c>
    </row>
    <row r="286" spans="1:12">
      <c r="A286" t="s">
        <v>25</v>
      </c>
      <c r="B286">
        <v>256</v>
      </c>
      <c r="C286" t="s">
        <v>116</v>
      </c>
      <c r="D286" s="9">
        <v>45883</v>
      </c>
      <c r="E286">
        <v>205</v>
      </c>
      <c r="F286" t="s">
        <v>11</v>
      </c>
      <c r="G286">
        <v>3</v>
      </c>
      <c r="H286" t="s">
        <v>4</v>
      </c>
      <c r="I286">
        <v>8</v>
      </c>
      <c r="J286">
        <v>0</v>
      </c>
      <c r="K286">
        <f>IF(Convert_to_Games[[#This Row],[Total Score]]&gt;9, 1, 0)</f>
        <v>0</v>
      </c>
      <c r="L286">
        <f>IF(Convert_to_Games[[#This Row],[DD]]=0, 0, IF(L285 = "Cons DD", Convert_to_Games[[#This Row],[DD]], L285+L285))</f>
        <v>0</v>
      </c>
    </row>
    <row r="287" spans="1:12">
      <c r="A287" t="s">
        <v>25</v>
      </c>
      <c r="B287">
        <v>256</v>
      </c>
      <c r="C287" t="s">
        <v>116</v>
      </c>
      <c r="D287" s="9">
        <v>45887</v>
      </c>
      <c r="E287">
        <v>206</v>
      </c>
      <c r="F287" t="s">
        <v>9</v>
      </c>
      <c r="G287">
        <v>3</v>
      </c>
      <c r="H287" t="s">
        <v>4</v>
      </c>
      <c r="I287">
        <v>8</v>
      </c>
      <c r="J287">
        <v>1</v>
      </c>
      <c r="K287">
        <f>IF(Convert_to_Games[[#This Row],[Total Score]]&gt;9, 1, 0)</f>
        <v>0</v>
      </c>
      <c r="L287">
        <f>IF(Convert_to_Games[[#This Row],[DD]]=0, 0, IF(L286 = "Cons DD", Convert_to_Games[[#This Row],[DD]], L286+L286))</f>
        <v>0</v>
      </c>
    </row>
    <row r="288" spans="1:12">
      <c r="A288" t="s">
        <v>25</v>
      </c>
      <c r="B288">
        <v>256</v>
      </c>
      <c r="C288" t="s">
        <v>116</v>
      </c>
      <c r="D288" s="9">
        <v>45898</v>
      </c>
      <c r="E288">
        <v>213</v>
      </c>
      <c r="F288" t="s">
        <v>15</v>
      </c>
      <c r="G288">
        <v>3</v>
      </c>
      <c r="H288" t="s">
        <v>6</v>
      </c>
      <c r="I288">
        <v>8</v>
      </c>
      <c r="J288">
        <v>0</v>
      </c>
      <c r="K288">
        <f>IF(Convert_to_Games[[#This Row],[Total Score]]&gt;9, 1, 0)</f>
        <v>0</v>
      </c>
      <c r="L288">
        <f>IF(Convert_to_Games[[#This Row],[DD]]=0, 0, IF(L287 = "Cons DD", Convert_to_Games[[#This Row],[DD]], L287+L287))</f>
        <v>0</v>
      </c>
    </row>
    <row r="289" spans="1:12">
      <c r="A289" t="s">
        <v>25</v>
      </c>
      <c r="B289">
        <v>256</v>
      </c>
      <c r="C289" t="s">
        <v>116</v>
      </c>
      <c r="D289" s="9">
        <v>45902</v>
      </c>
      <c r="E289">
        <v>214</v>
      </c>
      <c r="F289" t="s">
        <v>11</v>
      </c>
      <c r="G289">
        <v>3</v>
      </c>
      <c r="H289" t="s">
        <v>4</v>
      </c>
      <c r="I289">
        <v>8</v>
      </c>
      <c r="J289">
        <v>0</v>
      </c>
      <c r="K289">
        <f>IF(Convert_to_Games[[#This Row],[Total Score]]&gt;9, 1, 0)</f>
        <v>0</v>
      </c>
      <c r="L289">
        <f>IF(Convert_to_Games[[#This Row],[DD]]=0, 0, IF(L288 = "Cons DD", Convert_to_Games[[#This Row],[DD]], L288+L288))</f>
        <v>0</v>
      </c>
    </row>
    <row r="290" spans="1:12">
      <c r="A290" t="s">
        <v>25</v>
      </c>
      <c r="B290">
        <v>256</v>
      </c>
      <c r="C290" t="s">
        <v>116</v>
      </c>
      <c r="D290" s="9">
        <v>45903</v>
      </c>
      <c r="E290">
        <v>215</v>
      </c>
      <c r="F290" t="s">
        <v>11</v>
      </c>
      <c r="G290">
        <v>3</v>
      </c>
      <c r="H290" t="s">
        <v>5</v>
      </c>
      <c r="I290">
        <v>8</v>
      </c>
      <c r="J290">
        <v>0</v>
      </c>
      <c r="K290">
        <f>IF(Convert_to_Games[[#This Row],[Total Score]]&gt;9, 1, 0)</f>
        <v>0</v>
      </c>
      <c r="L290">
        <f>IF(Convert_to_Games[[#This Row],[DD]]=0, 0, IF(L289 = "Cons DD", Convert_to_Games[[#This Row],[DD]], L289+L289))</f>
        <v>0</v>
      </c>
    </row>
    <row r="291" spans="1:12">
      <c r="A291" t="s">
        <v>25</v>
      </c>
      <c r="B291">
        <v>256</v>
      </c>
      <c r="C291" t="s">
        <v>116</v>
      </c>
      <c r="D291" s="9">
        <v>45911</v>
      </c>
      <c r="E291">
        <v>218</v>
      </c>
      <c r="F291" t="s">
        <v>11</v>
      </c>
      <c r="G291">
        <v>3</v>
      </c>
      <c r="H291" t="s">
        <v>4</v>
      </c>
      <c r="I291">
        <v>8</v>
      </c>
      <c r="J291">
        <v>0</v>
      </c>
      <c r="K291">
        <f>IF(Convert_to_Games[[#This Row],[Total Score]]&gt;9, 1, 0)</f>
        <v>0</v>
      </c>
      <c r="L291">
        <f>IF(Convert_to_Games[[#This Row],[DD]]=0, 0, IF(L290 = "Cons DD", Convert_to_Games[[#This Row],[DD]], L290+L290))</f>
        <v>0</v>
      </c>
    </row>
    <row r="292" spans="1:12">
      <c r="A292" t="s">
        <v>25</v>
      </c>
      <c r="B292">
        <v>256</v>
      </c>
      <c r="C292" t="s">
        <v>116</v>
      </c>
      <c r="D292" s="9">
        <v>45916</v>
      </c>
      <c r="E292">
        <v>220</v>
      </c>
      <c r="F292" t="s">
        <v>9</v>
      </c>
      <c r="G292">
        <v>3</v>
      </c>
      <c r="H292" t="s">
        <v>4</v>
      </c>
      <c r="I292">
        <v>8</v>
      </c>
      <c r="J292">
        <v>0</v>
      </c>
      <c r="K292">
        <f>IF(Convert_to_Games[[#This Row],[Total Score]]&gt;9, 1, 0)</f>
        <v>0</v>
      </c>
      <c r="L292">
        <f>IF(Convert_to_Games[[#This Row],[DD]]=0, 0, IF(L291 = "Cons DD", Convert_to_Games[[#This Row],[DD]], L291+L291))</f>
        <v>0</v>
      </c>
    </row>
    <row r="293" spans="1:12">
      <c r="A293" t="s">
        <v>25</v>
      </c>
      <c r="B293">
        <v>256</v>
      </c>
      <c r="C293" t="s">
        <v>116</v>
      </c>
      <c r="D293" s="9">
        <v>45917</v>
      </c>
      <c r="E293">
        <v>221</v>
      </c>
      <c r="F293" t="s">
        <v>11</v>
      </c>
      <c r="G293">
        <v>3</v>
      </c>
      <c r="H293" t="s">
        <v>4</v>
      </c>
      <c r="I293">
        <v>8</v>
      </c>
      <c r="J293">
        <v>1</v>
      </c>
      <c r="K293">
        <f>IF(Convert_to_Games[[#This Row],[Total Score]]&gt;9, 1, 0)</f>
        <v>0</v>
      </c>
      <c r="L293">
        <f>IF(Convert_to_Games[[#This Row],[DD]]=0, 0, IF(L292 = "Cons DD", Convert_to_Games[[#This Row],[DD]], L292+L292))</f>
        <v>0</v>
      </c>
    </row>
    <row r="294" spans="1:12">
      <c r="A294" t="s">
        <v>25</v>
      </c>
      <c r="B294">
        <v>256</v>
      </c>
      <c r="C294" t="s">
        <v>116</v>
      </c>
      <c r="D294" s="9">
        <v>45923</v>
      </c>
      <c r="E294">
        <v>224</v>
      </c>
      <c r="F294" t="s">
        <v>9</v>
      </c>
      <c r="G294">
        <v>3</v>
      </c>
      <c r="H294" t="s">
        <v>5</v>
      </c>
      <c r="I294">
        <v>8</v>
      </c>
      <c r="J294">
        <v>0</v>
      </c>
      <c r="K294">
        <f>IF(Convert_to_Games[[#This Row],[Total Score]]&gt;9, 1, 0)</f>
        <v>0</v>
      </c>
      <c r="L294">
        <f>IF(Convert_to_Games[[#This Row],[DD]]=0, 0, IF(L293 = "Cons DD", Convert_to_Games[[#This Row],[DD]], L293+L293))</f>
        <v>0</v>
      </c>
    </row>
    <row r="295" spans="1:12">
      <c r="A295" t="s">
        <v>25</v>
      </c>
      <c r="B295">
        <v>256</v>
      </c>
      <c r="C295" t="s">
        <v>116</v>
      </c>
      <c r="D295" s="9">
        <v>45952</v>
      </c>
      <c r="E295">
        <v>233</v>
      </c>
      <c r="F295" t="s">
        <v>15</v>
      </c>
      <c r="G295">
        <v>3</v>
      </c>
      <c r="H295" t="s">
        <v>6</v>
      </c>
      <c r="I295">
        <v>8</v>
      </c>
      <c r="J295">
        <v>0</v>
      </c>
      <c r="K295">
        <f>IF(Convert_to_Games[[#This Row],[Total Score]]&gt;9, 1, 0)</f>
        <v>0</v>
      </c>
      <c r="L295">
        <f>IF(Convert_to_Games[[#This Row],[DD]]=0, 0, IF(L294 = "Cons DD", Convert_to_Games[[#This Row],[DD]], L294+L294))</f>
        <v>0</v>
      </c>
    </row>
    <row r="296" spans="1:12">
      <c r="A296" t="s">
        <v>25</v>
      </c>
      <c r="B296">
        <v>256</v>
      </c>
      <c r="C296" t="s">
        <v>116</v>
      </c>
      <c r="D296" s="9">
        <v>45972</v>
      </c>
      <c r="E296">
        <v>239</v>
      </c>
      <c r="F296" t="s">
        <v>15</v>
      </c>
      <c r="G296">
        <v>3</v>
      </c>
      <c r="H296" t="s">
        <v>5</v>
      </c>
      <c r="I296">
        <v>8</v>
      </c>
      <c r="J296">
        <v>0</v>
      </c>
      <c r="K296">
        <f>IF(Convert_to_Games[[#This Row],[Total Score]]&gt;9, 1, 0)</f>
        <v>0</v>
      </c>
      <c r="L296">
        <f>IF(Convert_to_Games[[#This Row],[DD]]=0, 0, IF(L295 = "Cons DD", Convert_to_Games[[#This Row],[DD]], L295+L295))</f>
        <v>0</v>
      </c>
    </row>
    <row r="297" spans="1:12">
      <c r="A297" t="s">
        <v>25</v>
      </c>
      <c r="B297">
        <v>256</v>
      </c>
      <c r="C297" t="s">
        <v>116</v>
      </c>
      <c r="D297" s="9">
        <v>46035</v>
      </c>
      <c r="E297">
        <v>254</v>
      </c>
      <c r="F297" t="s">
        <v>11</v>
      </c>
      <c r="G297">
        <v>3</v>
      </c>
      <c r="H297" t="s">
        <v>5</v>
      </c>
      <c r="I297">
        <v>8</v>
      </c>
      <c r="J297">
        <v>1</v>
      </c>
      <c r="K297">
        <f>IF(Convert_to_Games[[#This Row],[Total Score]]&gt;9, 1, 0)</f>
        <v>0</v>
      </c>
      <c r="L297">
        <f>IF(Convert_to_Games[[#This Row],[DD]]=0, 0, IF(L296 = "Cons DD", Convert_to_Games[[#This Row],[DD]], L296+L296))</f>
        <v>0</v>
      </c>
    </row>
    <row r="298" spans="1:12">
      <c r="A298" t="s">
        <v>25</v>
      </c>
      <c r="B298">
        <v>256</v>
      </c>
      <c r="C298" t="s">
        <v>116</v>
      </c>
      <c r="D298" s="9">
        <v>46051</v>
      </c>
      <c r="E298">
        <v>257</v>
      </c>
      <c r="F298" t="s">
        <v>9</v>
      </c>
      <c r="G298">
        <v>3</v>
      </c>
      <c r="H298" t="s">
        <v>5</v>
      </c>
      <c r="I298">
        <v>8</v>
      </c>
      <c r="J298">
        <v>0</v>
      </c>
      <c r="K298">
        <f>IF(Convert_to_Games[[#This Row],[Total Score]]&gt;9, 1, 0)</f>
        <v>0</v>
      </c>
      <c r="L298">
        <f>IF(Convert_to_Games[[#This Row],[DD]]=0, 0, IF(L297 = "Cons DD", Convert_to_Games[[#This Row],[DD]], L297+L297))</f>
        <v>0</v>
      </c>
    </row>
    <row r="299" spans="1:12">
      <c r="A299" t="s">
        <v>25</v>
      </c>
      <c r="B299">
        <v>256</v>
      </c>
      <c r="C299" t="s">
        <v>116</v>
      </c>
      <c r="D299" s="9">
        <v>46093</v>
      </c>
      <c r="E299">
        <v>274</v>
      </c>
      <c r="F299" t="s">
        <v>9</v>
      </c>
      <c r="G299">
        <v>4</v>
      </c>
      <c r="H299" t="s">
        <v>5</v>
      </c>
      <c r="I299">
        <v>8</v>
      </c>
      <c r="J299">
        <v>0</v>
      </c>
      <c r="K299">
        <f>IF(Convert_to_Games[[#This Row],[Total Score]]&gt;9, 1, 0)</f>
        <v>0</v>
      </c>
      <c r="L299">
        <f>IF(Convert_to_Games[[#This Row],[DD]]=0, 0, IF(L298 = "Cons DD", Convert_to_Games[[#This Row],[DD]], L298+L298))</f>
        <v>0</v>
      </c>
    </row>
    <row r="300" spans="1:12">
      <c r="A300" t="s">
        <v>25</v>
      </c>
      <c r="B300">
        <v>256</v>
      </c>
      <c r="C300" t="s">
        <v>116</v>
      </c>
      <c r="D300" s="9">
        <v>46127</v>
      </c>
      <c r="E300">
        <v>282</v>
      </c>
      <c r="F300" t="s">
        <v>11</v>
      </c>
      <c r="G300">
        <v>4</v>
      </c>
      <c r="H300" t="s">
        <v>5</v>
      </c>
      <c r="I300">
        <v>8</v>
      </c>
      <c r="J300">
        <v>0</v>
      </c>
      <c r="K300">
        <f>IF(Convert_to_Games[[#This Row],[Total Score]]&gt;9, 1, 0)</f>
        <v>0</v>
      </c>
      <c r="L300">
        <f>IF(Convert_to_Games[[#This Row],[DD]]=0, 0, IF(L299 = "Cons DD", Convert_to_Games[[#This Row],[DD]], L299+L299))</f>
        <v>0</v>
      </c>
    </row>
    <row r="301" spans="1:12">
      <c r="A301" t="s">
        <v>25</v>
      </c>
      <c r="B301" t="s">
        <v>20</v>
      </c>
      <c r="C301" t="s">
        <v>18</v>
      </c>
      <c r="D301" s="9">
        <v>45708</v>
      </c>
      <c r="E301">
        <v>4</v>
      </c>
      <c r="F301" t="s">
        <v>8</v>
      </c>
      <c r="G301">
        <v>3</v>
      </c>
      <c r="H301" t="s">
        <v>6</v>
      </c>
      <c r="I301">
        <v>7</v>
      </c>
      <c r="J301">
        <v>1</v>
      </c>
      <c r="K301">
        <f>IF(Convert_to_Games[[#This Row],[Total Score]]&gt;9, 1, 0)</f>
        <v>0</v>
      </c>
      <c r="L301">
        <f>IF(Convert_to_Games[[#This Row],[DD]]=0, 0, IF(L300 = "Cons DD", Convert_to_Games[[#This Row],[DD]], L300+L300))</f>
        <v>0</v>
      </c>
    </row>
    <row r="302" spans="1:12">
      <c r="A302" t="s">
        <v>25</v>
      </c>
      <c r="B302" t="s">
        <v>20</v>
      </c>
      <c r="C302" t="s">
        <v>16</v>
      </c>
      <c r="D302" s="9">
        <v>45726</v>
      </c>
      <c r="E302">
        <v>21</v>
      </c>
      <c r="F302" t="s">
        <v>11</v>
      </c>
      <c r="G302">
        <v>3</v>
      </c>
      <c r="H302" t="s">
        <v>5</v>
      </c>
      <c r="I302">
        <v>7</v>
      </c>
      <c r="J302">
        <v>0</v>
      </c>
      <c r="K302">
        <f>IF(Convert_to_Games[[#This Row],[Total Score]]&gt;9, 1, 0)</f>
        <v>0</v>
      </c>
      <c r="L302">
        <f>IF(Convert_to_Games[[#This Row],[DD]]=0, 0, IF(L301 = "Cons DD", Convert_to_Games[[#This Row],[DD]], L301+L301))</f>
        <v>0</v>
      </c>
    </row>
    <row r="303" spans="1:12">
      <c r="A303" t="s">
        <v>25</v>
      </c>
      <c r="B303" t="s">
        <v>20</v>
      </c>
      <c r="C303" t="s">
        <v>16</v>
      </c>
      <c r="D303" s="9">
        <v>45743</v>
      </c>
      <c r="E303">
        <v>28</v>
      </c>
      <c r="F303" t="s">
        <v>11</v>
      </c>
      <c r="G303">
        <v>3</v>
      </c>
      <c r="H303" t="s">
        <v>4</v>
      </c>
      <c r="I303">
        <v>7</v>
      </c>
      <c r="J303">
        <v>1</v>
      </c>
      <c r="K303">
        <f>IF(Convert_to_Games[[#This Row],[Total Score]]&gt;9, 1, 0)</f>
        <v>0</v>
      </c>
      <c r="L303">
        <f>IF(Convert_to_Games[[#This Row],[DD]]=0, 0, IF(L302 = "Cons DD", Convert_to_Games[[#This Row],[DD]], L302+L302))</f>
        <v>0</v>
      </c>
    </row>
    <row r="304" spans="1:12">
      <c r="A304" t="s">
        <v>25</v>
      </c>
      <c r="B304" t="s">
        <v>20</v>
      </c>
      <c r="C304" t="s">
        <v>16</v>
      </c>
      <c r="D304" s="9">
        <v>45747</v>
      </c>
      <c r="E304">
        <v>30</v>
      </c>
      <c r="F304" t="s">
        <v>9</v>
      </c>
      <c r="G304">
        <v>3</v>
      </c>
      <c r="H304" t="s">
        <v>4</v>
      </c>
      <c r="I304">
        <v>7</v>
      </c>
      <c r="J304">
        <v>1</v>
      </c>
      <c r="K304">
        <f>IF(Convert_to_Games[[#This Row],[Total Score]]&gt;9, 1, 0)</f>
        <v>0</v>
      </c>
      <c r="L304">
        <f>IF(Convert_to_Games[[#This Row],[DD]]=0, 0, IF(L303 = "Cons DD", Convert_to_Games[[#This Row],[DD]], L303+L303))</f>
        <v>0</v>
      </c>
    </row>
    <row r="305" spans="1:12">
      <c r="A305" t="s">
        <v>25</v>
      </c>
      <c r="B305" t="s">
        <v>20</v>
      </c>
      <c r="C305" t="s">
        <v>16</v>
      </c>
      <c r="D305" s="9">
        <v>45761</v>
      </c>
      <c r="E305">
        <v>43</v>
      </c>
      <c r="F305" t="s">
        <v>33</v>
      </c>
      <c r="G305">
        <v>3</v>
      </c>
      <c r="H305" t="s">
        <v>5</v>
      </c>
      <c r="I305">
        <v>7</v>
      </c>
      <c r="J305">
        <v>0</v>
      </c>
      <c r="K305">
        <f>IF(Convert_to_Games[[#This Row],[Total Score]]&gt;9, 1, 0)</f>
        <v>0</v>
      </c>
      <c r="L305">
        <f>IF(Convert_to_Games[[#This Row],[DD]]=0, 0, IF(L304 = "Cons DD", Convert_to_Games[[#This Row],[DD]], L304+L304))</f>
        <v>0</v>
      </c>
    </row>
    <row r="306" spans="1:12">
      <c r="A306" t="s">
        <v>25</v>
      </c>
      <c r="B306" t="s">
        <v>20</v>
      </c>
      <c r="C306" t="s">
        <v>16</v>
      </c>
      <c r="D306" s="9">
        <v>45762</v>
      </c>
      <c r="E306">
        <v>44</v>
      </c>
      <c r="F306" t="s">
        <v>24</v>
      </c>
      <c r="G306">
        <v>3</v>
      </c>
      <c r="H306" t="s">
        <v>4</v>
      </c>
      <c r="I306">
        <v>7</v>
      </c>
      <c r="J306">
        <v>1</v>
      </c>
      <c r="K306">
        <f>IF(Convert_to_Games[[#This Row],[Total Score]]&gt;9, 1, 0)</f>
        <v>0</v>
      </c>
      <c r="L306">
        <f>IF(Convert_to_Games[[#This Row],[DD]]=0, 0, IF(L305 = "Cons DD", Convert_to_Games[[#This Row],[DD]], L305+L305))</f>
        <v>0</v>
      </c>
    </row>
    <row r="307" spans="1:12">
      <c r="A307" t="s">
        <v>26</v>
      </c>
      <c r="B307" t="s">
        <v>20</v>
      </c>
      <c r="C307" t="s">
        <v>16</v>
      </c>
      <c r="D307" s="9">
        <v>45762</v>
      </c>
      <c r="E307">
        <v>45</v>
      </c>
      <c r="F307" t="s">
        <v>9</v>
      </c>
      <c r="G307">
        <v>3</v>
      </c>
      <c r="H307" t="s">
        <v>4</v>
      </c>
      <c r="I307">
        <v>7</v>
      </c>
      <c r="J307">
        <v>1</v>
      </c>
      <c r="K307">
        <f>IF(Convert_to_Games[[#This Row],[Total Score]]&gt;9, 1, 0)</f>
        <v>0</v>
      </c>
      <c r="L307">
        <f>IF(Convert_to_Games[[#This Row],[DD]]=0, 0, IF(L306 = "Cons DD", Convert_to_Games[[#This Row],[DD]], L306+L306))</f>
        <v>0</v>
      </c>
    </row>
    <row r="308" spans="1:12">
      <c r="A308" t="s">
        <v>25</v>
      </c>
      <c r="B308" t="s">
        <v>19</v>
      </c>
      <c r="C308" t="s">
        <v>16</v>
      </c>
      <c r="D308" s="9">
        <v>45763</v>
      </c>
      <c r="E308">
        <v>49</v>
      </c>
      <c r="F308" t="s">
        <v>11</v>
      </c>
      <c r="G308">
        <v>3</v>
      </c>
      <c r="H308" t="s">
        <v>4</v>
      </c>
      <c r="I308">
        <v>7</v>
      </c>
      <c r="J308">
        <v>1</v>
      </c>
      <c r="K308">
        <f>IF(Convert_to_Games[[#This Row],[Total Score]]&gt;9, 1, 0)</f>
        <v>0</v>
      </c>
      <c r="L308">
        <f>IF(Convert_to_Games[[#This Row],[DD]]=0, 0, IF(L307 = "Cons DD", Convert_to_Games[[#This Row],[DD]], L307+L307))</f>
        <v>0</v>
      </c>
    </row>
    <row r="309" spans="1:12">
      <c r="A309" t="s">
        <v>25</v>
      </c>
      <c r="B309" t="s">
        <v>20</v>
      </c>
      <c r="C309" t="s">
        <v>16</v>
      </c>
      <c r="D309" s="9">
        <v>45763</v>
      </c>
      <c r="E309">
        <v>51</v>
      </c>
      <c r="F309" t="s">
        <v>9</v>
      </c>
      <c r="G309">
        <v>3</v>
      </c>
      <c r="H309" t="s">
        <v>5</v>
      </c>
      <c r="I309">
        <v>7</v>
      </c>
      <c r="J309">
        <v>1</v>
      </c>
      <c r="K309">
        <f>IF(Convert_to_Games[[#This Row],[Total Score]]&gt;9, 1, 0)</f>
        <v>0</v>
      </c>
      <c r="L309">
        <f>IF(Convert_to_Games[[#This Row],[DD]]=0, 0, IF(L308 = "Cons DD", Convert_to_Games[[#This Row],[DD]], L308+L308))</f>
        <v>0</v>
      </c>
    </row>
    <row r="310" spans="1:12">
      <c r="A310" t="s">
        <v>25</v>
      </c>
      <c r="B310" t="s">
        <v>20</v>
      </c>
      <c r="C310" t="s">
        <v>16</v>
      </c>
      <c r="D310" s="9">
        <v>45765</v>
      </c>
      <c r="E310">
        <v>55</v>
      </c>
      <c r="F310" t="s">
        <v>11</v>
      </c>
      <c r="G310">
        <v>3</v>
      </c>
      <c r="H310" t="s">
        <v>5</v>
      </c>
      <c r="I310">
        <v>7</v>
      </c>
      <c r="J310">
        <v>0</v>
      </c>
      <c r="K310">
        <f>IF(Convert_to_Games[[#This Row],[Total Score]]&gt;9, 1, 0)</f>
        <v>0</v>
      </c>
      <c r="L310">
        <f>IF(Convert_to_Games[[#This Row],[DD]]=0, 0, IF(L309 = "Cons DD", Convert_to_Games[[#This Row],[DD]], L309+L309))</f>
        <v>0</v>
      </c>
    </row>
    <row r="311" spans="1:12">
      <c r="A311" t="s">
        <v>25</v>
      </c>
      <c r="B311" t="s">
        <v>20</v>
      </c>
      <c r="C311" t="s">
        <v>16</v>
      </c>
      <c r="D311" s="9">
        <v>45768</v>
      </c>
      <c r="E311">
        <v>57</v>
      </c>
      <c r="F311" t="s">
        <v>30</v>
      </c>
      <c r="G311">
        <v>3</v>
      </c>
      <c r="H311" t="s">
        <v>5</v>
      </c>
      <c r="I311">
        <v>7</v>
      </c>
      <c r="J311">
        <v>1</v>
      </c>
      <c r="K311">
        <f>IF(Convert_to_Games[[#This Row],[Total Score]]&gt;9, 1, 0)</f>
        <v>0</v>
      </c>
      <c r="L311">
        <f>IF(Convert_to_Games[[#This Row],[DD]]=0, 0, IF(L310 = "Cons DD", Convert_to_Games[[#This Row],[DD]], L310+L310))</f>
        <v>0</v>
      </c>
    </row>
    <row r="312" spans="1:12">
      <c r="A312" t="s">
        <v>25</v>
      </c>
      <c r="B312" t="s">
        <v>20</v>
      </c>
      <c r="C312" t="s">
        <v>16</v>
      </c>
      <c r="D312" s="9">
        <v>45770</v>
      </c>
      <c r="E312">
        <v>64</v>
      </c>
      <c r="F312" t="s">
        <v>34</v>
      </c>
      <c r="G312">
        <v>5</v>
      </c>
      <c r="H312" t="s">
        <v>6</v>
      </c>
      <c r="I312">
        <v>7</v>
      </c>
      <c r="J312">
        <v>0</v>
      </c>
      <c r="K312">
        <f>IF(Convert_to_Games[[#This Row],[Total Score]]&gt;9, 1, 0)</f>
        <v>0</v>
      </c>
      <c r="L312">
        <f>IF(Convert_to_Games[[#This Row],[DD]]=0, 0, IF(L311 = "Cons DD", Convert_to_Games[[#This Row],[DD]], L311+L311))</f>
        <v>0</v>
      </c>
    </row>
    <row r="313" spans="1:12">
      <c r="A313" t="s">
        <v>25</v>
      </c>
      <c r="B313" t="s">
        <v>20</v>
      </c>
      <c r="C313" t="s">
        <v>16</v>
      </c>
      <c r="D313" s="9">
        <v>45770</v>
      </c>
      <c r="E313">
        <v>65</v>
      </c>
      <c r="F313" t="s">
        <v>12</v>
      </c>
      <c r="G313">
        <v>3</v>
      </c>
      <c r="H313" t="s">
        <v>4</v>
      </c>
      <c r="I313">
        <v>7</v>
      </c>
      <c r="J313">
        <v>1</v>
      </c>
      <c r="K313">
        <f>IF(Convert_to_Games[[#This Row],[Total Score]]&gt;9, 1, 0)</f>
        <v>0</v>
      </c>
      <c r="L313">
        <f>IF(Convert_to_Games[[#This Row],[DD]]=0, 0, IF(L312 = "Cons DD", Convert_to_Games[[#This Row],[DD]], L312+L312))</f>
        <v>0</v>
      </c>
    </row>
    <row r="314" spans="1:12">
      <c r="A314" t="s">
        <v>25</v>
      </c>
      <c r="B314" t="s">
        <v>20</v>
      </c>
      <c r="C314" t="s">
        <v>16</v>
      </c>
      <c r="D314" s="9">
        <v>45772</v>
      </c>
      <c r="E314">
        <v>70</v>
      </c>
      <c r="F314" t="s">
        <v>9</v>
      </c>
      <c r="G314">
        <v>3</v>
      </c>
      <c r="H314" t="s">
        <v>5</v>
      </c>
      <c r="I314">
        <v>7</v>
      </c>
      <c r="J314">
        <v>0</v>
      </c>
      <c r="K314">
        <f>IF(Convert_to_Games[[#This Row],[Total Score]]&gt;9, 1, 0)</f>
        <v>0</v>
      </c>
      <c r="L314">
        <f>IF(Convert_to_Games[[#This Row],[DD]]=0, 0, IF(L313 = "Cons DD", Convert_to_Games[[#This Row],[DD]], L313+L313))</f>
        <v>0</v>
      </c>
    </row>
    <row r="315" spans="1:12">
      <c r="A315" t="s">
        <v>25</v>
      </c>
      <c r="B315" t="s">
        <v>21</v>
      </c>
      <c r="C315" t="s">
        <v>16</v>
      </c>
      <c r="D315" s="9">
        <v>45775</v>
      </c>
      <c r="E315">
        <v>74</v>
      </c>
      <c r="F315" t="s">
        <v>33</v>
      </c>
      <c r="G315">
        <v>3</v>
      </c>
      <c r="H315" t="s">
        <v>4</v>
      </c>
      <c r="I315">
        <v>7</v>
      </c>
      <c r="J315">
        <v>1</v>
      </c>
      <c r="K315">
        <f>IF(Convert_to_Games[[#This Row],[Total Score]]&gt;9, 1, 0)</f>
        <v>0</v>
      </c>
      <c r="L315">
        <f>IF(Convert_to_Games[[#This Row],[DD]]=0, 0, IF(L314 = "Cons DD", Convert_to_Games[[#This Row],[DD]], L314+L314))</f>
        <v>0</v>
      </c>
    </row>
    <row r="316" spans="1:12">
      <c r="A316" t="s">
        <v>25</v>
      </c>
      <c r="B316" t="s">
        <v>20</v>
      </c>
      <c r="C316" t="s">
        <v>16</v>
      </c>
      <c r="D316" s="9">
        <v>45776</v>
      </c>
      <c r="E316">
        <v>79</v>
      </c>
      <c r="F316" t="s">
        <v>59</v>
      </c>
      <c r="G316">
        <v>3</v>
      </c>
      <c r="H316" t="s">
        <v>4</v>
      </c>
      <c r="I316">
        <v>7</v>
      </c>
      <c r="J316">
        <v>1</v>
      </c>
      <c r="K316">
        <f>IF(Convert_to_Games[[#This Row],[Total Score]]&gt;9, 1, 0)</f>
        <v>0</v>
      </c>
      <c r="L316">
        <f>IF(Convert_to_Games[[#This Row],[DD]]=0, 0, IF(L315 = "Cons DD", Convert_to_Games[[#This Row],[DD]], L315+L315))</f>
        <v>0</v>
      </c>
    </row>
    <row r="317" spans="1:12">
      <c r="A317" t="s">
        <v>25</v>
      </c>
      <c r="B317" t="s">
        <v>20</v>
      </c>
      <c r="C317" t="s">
        <v>16</v>
      </c>
      <c r="D317" s="9">
        <v>45782</v>
      </c>
      <c r="E317">
        <v>91</v>
      </c>
      <c r="F317" t="s">
        <v>9</v>
      </c>
      <c r="G317">
        <v>3</v>
      </c>
      <c r="H317" t="s">
        <v>4</v>
      </c>
      <c r="I317">
        <v>7</v>
      </c>
      <c r="J317">
        <v>0</v>
      </c>
      <c r="K317">
        <f>IF(Convert_to_Games[[#This Row],[Total Score]]&gt;9, 1, 0)</f>
        <v>0</v>
      </c>
      <c r="L317">
        <f>IF(Convert_to_Games[[#This Row],[DD]]=0, 0, IF(L316 = "Cons DD", Convert_to_Games[[#This Row],[DD]], L316+L316))</f>
        <v>0</v>
      </c>
    </row>
    <row r="318" spans="1:12">
      <c r="A318" t="s">
        <v>25</v>
      </c>
      <c r="B318" t="s">
        <v>20</v>
      </c>
      <c r="C318" t="s">
        <v>16</v>
      </c>
      <c r="D318" s="9">
        <v>45783</v>
      </c>
      <c r="E318">
        <v>92</v>
      </c>
      <c r="F318" t="s">
        <v>11</v>
      </c>
      <c r="G318">
        <v>3</v>
      </c>
      <c r="H318" t="s">
        <v>4</v>
      </c>
      <c r="I318">
        <v>7</v>
      </c>
      <c r="J318">
        <v>1</v>
      </c>
      <c r="K318">
        <f>IF(Convert_to_Games[[#This Row],[Total Score]]&gt;9, 1, 0)</f>
        <v>0</v>
      </c>
      <c r="L318">
        <f>IF(Convert_to_Games[[#This Row],[DD]]=0, 0, IF(L317 = "Cons DD", Convert_to_Games[[#This Row],[DD]], L317+L317))</f>
        <v>0</v>
      </c>
    </row>
    <row r="319" spans="1:12">
      <c r="A319" t="s">
        <v>25</v>
      </c>
      <c r="B319" t="s">
        <v>19</v>
      </c>
      <c r="C319" t="s">
        <v>16</v>
      </c>
      <c r="D319" s="9">
        <v>45784</v>
      </c>
      <c r="E319">
        <v>94</v>
      </c>
      <c r="F319" t="s">
        <v>9</v>
      </c>
      <c r="G319">
        <v>3</v>
      </c>
      <c r="H319" t="s">
        <v>4</v>
      </c>
      <c r="I319">
        <v>7</v>
      </c>
      <c r="J319">
        <v>0</v>
      </c>
      <c r="K319">
        <f>IF(Convert_to_Games[[#This Row],[Total Score]]&gt;9, 1, 0)</f>
        <v>0</v>
      </c>
      <c r="L319">
        <f>IF(Convert_to_Games[[#This Row],[DD]]=0, 0, IF(L318 = "Cons DD", Convert_to_Games[[#This Row],[DD]], L318+L318))</f>
        <v>0</v>
      </c>
    </row>
    <row r="320" spans="1:12">
      <c r="A320" t="s">
        <v>25</v>
      </c>
      <c r="B320" t="s">
        <v>20</v>
      </c>
      <c r="C320" t="s">
        <v>16</v>
      </c>
      <c r="D320" s="9">
        <v>45791</v>
      </c>
      <c r="E320">
        <v>99</v>
      </c>
      <c r="F320" t="s">
        <v>70</v>
      </c>
      <c r="G320">
        <v>3</v>
      </c>
      <c r="H320" t="s">
        <v>5</v>
      </c>
      <c r="I320">
        <v>7</v>
      </c>
      <c r="J320">
        <v>0</v>
      </c>
      <c r="K320">
        <f>IF(Convert_to_Games[[#This Row],[Total Score]]&gt;9, 1, 0)</f>
        <v>0</v>
      </c>
      <c r="L320">
        <f>IF(Convert_to_Games[[#This Row],[DD]]=0, 0, IF(L319 = "Cons DD", Convert_to_Games[[#This Row],[DD]], L319+L319))</f>
        <v>0</v>
      </c>
    </row>
    <row r="321" spans="1:12">
      <c r="A321" t="s">
        <v>25</v>
      </c>
      <c r="B321" t="s">
        <v>19</v>
      </c>
      <c r="C321" t="s">
        <v>16</v>
      </c>
      <c r="D321" s="9">
        <v>45791</v>
      </c>
      <c r="E321">
        <v>100</v>
      </c>
      <c r="F321" t="s">
        <v>11</v>
      </c>
      <c r="G321">
        <v>3</v>
      </c>
      <c r="H321" t="s">
        <v>5</v>
      </c>
      <c r="I321">
        <v>7</v>
      </c>
      <c r="J321">
        <v>0</v>
      </c>
      <c r="K321">
        <f>IF(Convert_to_Games[[#This Row],[Total Score]]&gt;9, 1, 0)</f>
        <v>0</v>
      </c>
      <c r="L321">
        <f>IF(Convert_to_Games[[#This Row],[DD]]=0, 0, IF(L320 = "Cons DD", Convert_to_Games[[#This Row],[DD]], L320+L320))</f>
        <v>0</v>
      </c>
    </row>
    <row r="322" spans="1:12">
      <c r="A322" t="s">
        <v>25</v>
      </c>
      <c r="B322" t="s">
        <v>20</v>
      </c>
      <c r="C322" t="s">
        <v>16</v>
      </c>
      <c r="D322" s="9">
        <v>45824</v>
      </c>
      <c r="E322">
        <v>111</v>
      </c>
      <c r="F322" t="s">
        <v>9</v>
      </c>
      <c r="G322">
        <v>3</v>
      </c>
      <c r="H322" t="s">
        <v>4</v>
      </c>
      <c r="I322">
        <v>7</v>
      </c>
      <c r="J322">
        <v>1</v>
      </c>
      <c r="K322">
        <f>IF(Convert_to_Games[[#This Row],[Total Score]]&gt;9, 1, 0)</f>
        <v>0</v>
      </c>
      <c r="L322">
        <f>IF(Convert_to_Games[[#This Row],[DD]]=0, 0, IF(L321 = "Cons DD", Convert_to_Games[[#This Row],[DD]], L321+L321))</f>
        <v>0</v>
      </c>
    </row>
    <row r="323" spans="1:12">
      <c r="A323" t="s">
        <v>25</v>
      </c>
      <c r="B323" t="s">
        <v>20</v>
      </c>
      <c r="C323" t="s">
        <v>16</v>
      </c>
      <c r="D323" s="9">
        <v>45825</v>
      </c>
      <c r="E323">
        <v>113</v>
      </c>
      <c r="F323" t="s">
        <v>11</v>
      </c>
      <c r="G323">
        <v>3</v>
      </c>
      <c r="H323" t="s">
        <v>5</v>
      </c>
      <c r="I323">
        <v>7</v>
      </c>
      <c r="J323">
        <v>0</v>
      </c>
      <c r="K323">
        <f>IF(Convert_to_Games[[#This Row],[Total Score]]&gt;9, 1, 0)</f>
        <v>0</v>
      </c>
      <c r="L323">
        <f>IF(Convert_to_Games[[#This Row],[DD]]=0, 0, IF(L322 = "Cons DD", Convert_to_Games[[#This Row],[DD]], L322+L322))</f>
        <v>0</v>
      </c>
    </row>
    <row r="324" spans="1:12">
      <c r="A324" t="s">
        <v>25</v>
      </c>
      <c r="B324" t="s">
        <v>20</v>
      </c>
      <c r="C324" t="s">
        <v>16</v>
      </c>
      <c r="D324" s="9">
        <v>45826</v>
      </c>
      <c r="E324">
        <v>116</v>
      </c>
      <c r="F324" t="s">
        <v>9</v>
      </c>
      <c r="G324">
        <v>4</v>
      </c>
      <c r="H324" t="s">
        <v>4</v>
      </c>
      <c r="I324">
        <v>7</v>
      </c>
      <c r="J324">
        <v>0</v>
      </c>
      <c r="K324">
        <f>IF(Convert_to_Games[[#This Row],[Total Score]]&gt;9, 1, 0)</f>
        <v>0</v>
      </c>
      <c r="L324">
        <f>IF(Convert_to_Games[[#This Row],[DD]]=0, 0, IF(L323 = "Cons DD", Convert_to_Games[[#This Row],[DD]], L323+L323))</f>
        <v>0</v>
      </c>
    </row>
    <row r="325" spans="1:12">
      <c r="A325" t="s">
        <v>25</v>
      </c>
      <c r="B325" t="s">
        <v>19</v>
      </c>
      <c r="C325" t="s">
        <v>16</v>
      </c>
      <c r="D325" s="9">
        <v>45828</v>
      </c>
      <c r="E325">
        <v>122</v>
      </c>
      <c r="F325" t="s">
        <v>11</v>
      </c>
      <c r="G325">
        <v>3</v>
      </c>
      <c r="H325" t="s">
        <v>4</v>
      </c>
      <c r="I325">
        <v>7</v>
      </c>
      <c r="J325">
        <v>0</v>
      </c>
      <c r="K325">
        <f>IF(Convert_to_Games[[#This Row],[Total Score]]&gt;9, 1, 0)</f>
        <v>0</v>
      </c>
      <c r="L325">
        <f>IF(Convert_to_Games[[#This Row],[DD]]=0, 0, IF(L324 = "Cons DD", Convert_to_Games[[#This Row],[DD]], L324+L324))</f>
        <v>0</v>
      </c>
    </row>
    <row r="326" spans="1:12">
      <c r="A326" t="s">
        <v>25</v>
      </c>
      <c r="B326" t="s">
        <v>20</v>
      </c>
      <c r="C326" t="s">
        <v>16</v>
      </c>
      <c r="D326" s="9">
        <v>45832</v>
      </c>
      <c r="E326">
        <v>128</v>
      </c>
      <c r="F326" t="s">
        <v>9</v>
      </c>
      <c r="G326">
        <v>3</v>
      </c>
      <c r="H326" t="s">
        <v>4</v>
      </c>
      <c r="I326">
        <v>7</v>
      </c>
      <c r="J326">
        <v>1</v>
      </c>
      <c r="K326">
        <f>IF(Convert_to_Games[[#This Row],[Total Score]]&gt;9, 1, 0)</f>
        <v>0</v>
      </c>
      <c r="L326">
        <f>IF(Convert_to_Games[[#This Row],[DD]]=0, 0, IF(L325 = "Cons DD", Convert_to_Games[[#This Row],[DD]], L325+L325))</f>
        <v>0</v>
      </c>
    </row>
    <row r="327" spans="1:12">
      <c r="A327" t="s">
        <v>25</v>
      </c>
      <c r="B327" t="s">
        <v>20</v>
      </c>
      <c r="C327" t="s">
        <v>16</v>
      </c>
      <c r="D327" s="9">
        <v>45833</v>
      </c>
      <c r="E327">
        <v>129</v>
      </c>
      <c r="F327" t="s">
        <v>11</v>
      </c>
      <c r="G327">
        <v>3</v>
      </c>
      <c r="H327" t="s">
        <v>5</v>
      </c>
      <c r="I327">
        <v>7</v>
      </c>
      <c r="J327">
        <v>1</v>
      </c>
      <c r="K327">
        <f>IF(Convert_to_Games[[#This Row],[Total Score]]&gt;9, 1, 0)</f>
        <v>0</v>
      </c>
      <c r="L327">
        <f>IF(Convert_to_Games[[#This Row],[DD]]=0, 0, IF(L326 = "Cons DD", Convert_to_Games[[#This Row],[DD]], L326+L326))</f>
        <v>0</v>
      </c>
    </row>
    <row r="328" spans="1:12">
      <c r="A328" t="s">
        <v>25</v>
      </c>
      <c r="B328" t="s">
        <v>20</v>
      </c>
      <c r="C328" t="s">
        <v>16</v>
      </c>
      <c r="D328" s="9">
        <v>45833</v>
      </c>
      <c r="E328">
        <v>131</v>
      </c>
      <c r="F328" t="s">
        <v>9</v>
      </c>
      <c r="G328">
        <v>4</v>
      </c>
      <c r="H328" t="s">
        <v>5</v>
      </c>
      <c r="I328">
        <v>7</v>
      </c>
      <c r="J328">
        <v>0</v>
      </c>
      <c r="K328">
        <f>IF(Convert_to_Games[[#This Row],[Total Score]]&gt;9, 1, 0)</f>
        <v>0</v>
      </c>
      <c r="L328">
        <f>IF(Convert_to_Games[[#This Row],[DD]]=0, 0, IF(L327 = "Cons DD", Convert_to_Games[[#This Row],[DD]], L327+L327))</f>
        <v>0</v>
      </c>
    </row>
    <row r="329" spans="1:12">
      <c r="A329" t="s">
        <v>25</v>
      </c>
      <c r="B329" t="s">
        <v>20</v>
      </c>
      <c r="C329" t="s">
        <v>16</v>
      </c>
      <c r="D329" s="9">
        <v>45852</v>
      </c>
      <c r="E329">
        <v>163</v>
      </c>
      <c r="F329" t="s">
        <v>103</v>
      </c>
      <c r="G329">
        <v>3</v>
      </c>
      <c r="H329" t="s">
        <v>78</v>
      </c>
      <c r="I329">
        <v>7</v>
      </c>
      <c r="J329">
        <v>1</v>
      </c>
      <c r="K329">
        <f>IF(Convert_to_Games[[#This Row],[Total Score]]&gt;9, 1, 0)</f>
        <v>0</v>
      </c>
      <c r="L329">
        <f>IF(Convert_to_Games[[#This Row],[DD]]=0, 0, IF(L328 = "Cons DD", Convert_to_Games[[#This Row],[DD]], L328+L328))</f>
        <v>0</v>
      </c>
    </row>
    <row r="330" spans="1:12">
      <c r="A330" t="s">
        <v>25</v>
      </c>
      <c r="B330" t="s">
        <v>19</v>
      </c>
      <c r="C330" t="s">
        <v>16</v>
      </c>
      <c r="D330" s="9">
        <v>45860</v>
      </c>
      <c r="E330">
        <v>177</v>
      </c>
      <c r="F330" t="s">
        <v>9</v>
      </c>
      <c r="G330">
        <v>3</v>
      </c>
      <c r="H330" t="s">
        <v>5</v>
      </c>
      <c r="I330">
        <v>7</v>
      </c>
      <c r="J330">
        <v>1</v>
      </c>
      <c r="K330">
        <f>IF(Convert_to_Games[[#This Row],[Total Score]]&gt;9, 1, 0)</f>
        <v>0</v>
      </c>
      <c r="L330">
        <f>IF(Convert_to_Games[[#This Row],[DD]]=0, 0, IF(L329 = "Cons DD", Convert_to_Games[[#This Row],[DD]], L329+L329))</f>
        <v>0</v>
      </c>
    </row>
    <row r="331" spans="1:12">
      <c r="A331" t="s">
        <v>25</v>
      </c>
      <c r="B331" t="s">
        <v>20</v>
      </c>
      <c r="C331" t="s">
        <v>116</v>
      </c>
      <c r="D331" s="9">
        <v>45868</v>
      </c>
      <c r="E331">
        <v>186</v>
      </c>
      <c r="F331" t="s">
        <v>9</v>
      </c>
      <c r="G331">
        <v>3</v>
      </c>
      <c r="H331" t="s">
        <v>5</v>
      </c>
      <c r="I331">
        <v>7</v>
      </c>
      <c r="J331">
        <v>0</v>
      </c>
      <c r="K331">
        <f>IF(Convert_to_Games[[#This Row],[Total Score]]&gt;9, 1, 0)</f>
        <v>0</v>
      </c>
      <c r="L331">
        <f>IF(Convert_to_Games[[#This Row],[DD]]=0, 0, IF(L330 = "Cons DD", Convert_to_Games[[#This Row],[DD]], L330+L330))</f>
        <v>0</v>
      </c>
    </row>
    <row r="332" spans="1:12">
      <c r="A332" t="s">
        <v>25</v>
      </c>
      <c r="B332" t="s">
        <v>20</v>
      </c>
      <c r="C332" t="s">
        <v>116</v>
      </c>
      <c r="D332" s="9">
        <v>45869</v>
      </c>
      <c r="E332">
        <v>191</v>
      </c>
      <c r="F332" t="s">
        <v>9</v>
      </c>
      <c r="G332">
        <v>3</v>
      </c>
      <c r="H332" t="s">
        <v>5</v>
      </c>
      <c r="I332">
        <v>7</v>
      </c>
      <c r="J332">
        <v>1</v>
      </c>
      <c r="K332">
        <f>IF(Convert_to_Games[[#This Row],[Total Score]]&gt;9, 1, 0)</f>
        <v>0</v>
      </c>
      <c r="L332">
        <f>IF(Convert_to_Games[[#This Row],[DD]]=0, 0, IF(L331 = "Cons DD", Convert_to_Games[[#This Row],[DD]], L331+L331))</f>
        <v>0</v>
      </c>
    </row>
    <row r="333" spans="1:12">
      <c r="A333" t="s">
        <v>25</v>
      </c>
      <c r="B333" t="s">
        <v>20</v>
      </c>
      <c r="C333" t="s">
        <v>116</v>
      </c>
      <c r="D333" s="9">
        <v>45870</v>
      </c>
      <c r="E333">
        <v>194</v>
      </c>
      <c r="F333" t="s">
        <v>9</v>
      </c>
      <c r="G333">
        <v>3</v>
      </c>
      <c r="H333" t="s">
        <v>5</v>
      </c>
      <c r="I333">
        <v>7</v>
      </c>
      <c r="J333">
        <v>0</v>
      </c>
      <c r="K333">
        <f>IF(Convert_to_Games[[#This Row],[Total Score]]&gt;9, 1, 0)</f>
        <v>0</v>
      </c>
      <c r="L333">
        <f>IF(Convert_to_Games[[#This Row],[DD]]=0, 0, IF(L332 = "Cons DD", Convert_to_Games[[#This Row],[DD]], L332+L332))</f>
        <v>0</v>
      </c>
    </row>
    <row r="334" spans="1:12">
      <c r="A334" t="s">
        <v>25</v>
      </c>
      <c r="B334" t="s">
        <v>20</v>
      </c>
      <c r="C334" t="s">
        <v>116</v>
      </c>
      <c r="D334" s="9">
        <v>45875</v>
      </c>
      <c r="E334">
        <v>199</v>
      </c>
      <c r="F334" t="s">
        <v>11</v>
      </c>
      <c r="G334">
        <v>3</v>
      </c>
      <c r="H334" t="s">
        <v>5</v>
      </c>
      <c r="I334">
        <v>7</v>
      </c>
      <c r="J334">
        <v>0</v>
      </c>
      <c r="K334">
        <f>IF(Convert_to_Games[[#This Row],[Total Score]]&gt;9, 1, 0)</f>
        <v>0</v>
      </c>
      <c r="L334">
        <f>IF(Convert_to_Games[[#This Row],[DD]]=0, 0, IF(L333 = "Cons DD", Convert_to_Games[[#This Row],[DD]], L333+L333))</f>
        <v>0</v>
      </c>
    </row>
    <row r="335" spans="1:12">
      <c r="A335" t="s">
        <v>25</v>
      </c>
      <c r="B335" t="s">
        <v>20</v>
      </c>
      <c r="C335" t="s">
        <v>116</v>
      </c>
      <c r="D335" s="9">
        <v>45876</v>
      </c>
      <c r="E335">
        <v>200</v>
      </c>
      <c r="F335" t="s">
        <v>9</v>
      </c>
      <c r="G335">
        <v>3</v>
      </c>
      <c r="H335" t="s">
        <v>5</v>
      </c>
      <c r="I335">
        <v>7</v>
      </c>
      <c r="J335">
        <v>0</v>
      </c>
      <c r="K335">
        <f>IF(Convert_to_Games[[#This Row],[Total Score]]&gt;9, 1, 0)</f>
        <v>0</v>
      </c>
      <c r="L335">
        <f>IF(Convert_to_Games[[#This Row],[DD]]=0, 0, IF(L334 = "Cons DD", Convert_to_Games[[#This Row],[DD]], L334+L334))</f>
        <v>0</v>
      </c>
    </row>
    <row r="336" spans="1:12">
      <c r="A336" t="s">
        <v>25</v>
      </c>
      <c r="B336">
        <v>256</v>
      </c>
      <c r="C336" t="s">
        <v>116</v>
      </c>
      <c r="D336" s="9">
        <v>45924</v>
      </c>
      <c r="E336">
        <v>225</v>
      </c>
      <c r="F336" t="s">
        <v>9</v>
      </c>
      <c r="G336">
        <v>4</v>
      </c>
      <c r="H336" t="s">
        <v>4</v>
      </c>
      <c r="I336">
        <v>7</v>
      </c>
      <c r="J336">
        <v>0</v>
      </c>
      <c r="K336">
        <f>IF(Convert_to_Games[[#This Row],[Total Score]]&gt;9, 1, 0)</f>
        <v>0</v>
      </c>
      <c r="L336">
        <f>IF(Convert_to_Games[[#This Row],[DD]]=0, 0, IF(L335 = "Cons DD", Convert_to_Games[[#This Row],[DD]], L335+L335))</f>
        <v>0</v>
      </c>
    </row>
    <row r="337" spans="1:12">
      <c r="A337" t="s">
        <v>25</v>
      </c>
      <c r="B337">
        <v>256</v>
      </c>
      <c r="C337" t="s">
        <v>116</v>
      </c>
      <c r="D337" s="9">
        <v>45940</v>
      </c>
      <c r="E337">
        <v>231</v>
      </c>
      <c r="F337" t="s">
        <v>11</v>
      </c>
      <c r="G337">
        <v>3</v>
      </c>
      <c r="H337" t="s">
        <v>5</v>
      </c>
      <c r="I337">
        <v>7</v>
      </c>
      <c r="J337">
        <v>0</v>
      </c>
      <c r="K337">
        <f>IF(Convert_to_Games[[#This Row],[Total Score]]&gt;9, 1, 0)</f>
        <v>0</v>
      </c>
      <c r="L337">
        <f>IF(Convert_to_Games[[#This Row],[DD]]=0, 0, IF(L336 = "Cons DD", Convert_to_Games[[#This Row],[DD]], L336+L336))</f>
        <v>0</v>
      </c>
    </row>
    <row r="338" spans="1:12">
      <c r="A338" t="s">
        <v>25</v>
      </c>
      <c r="B338">
        <v>256</v>
      </c>
      <c r="C338" t="s">
        <v>116</v>
      </c>
      <c r="D338" s="9">
        <v>45952</v>
      </c>
      <c r="E338">
        <v>233</v>
      </c>
      <c r="F338" t="s">
        <v>15</v>
      </c>
      <c r="G338">
        <v>3</v>
      </c>
      <c r="H338" t="s">
        <v>4</v>
      </c>
      <c r="I338">
        <v>7</v>
      </c>
      <c r="J338">
        <v>0</v>
      </c>
      <c r="K338">
        <f>IF(Convert_to_Games[[#This Row],[Total Score]]&gt;9, 1, 0)</f>
        <v>0</v>
      </c>
      <c r="L338">
        <f>IF(Convert_to_Games[[#This Row],[DD]]=0, 0, IF(L337 = "Cons DD", Convert_to_Games[[#This Row],[DD]], L337+L337))</f>
        <v>0</v>
      </c>
    </row>
    <row r="339" spans="1:12">
      <c r="A339" t="s">
        <v>25</v>
      </c>
      <c r="B339">
        <v>256</v>
      </c>
      <c r="C339" t="s">
        <v>116</v>
      </c>
      <c r="D339" s="9">
        <v>45973</v>
      </c>
      <c r="E339">
        <v>240</v>
      </c>
      <c r="F339" t="s">
        <v>57</v>
      </c>
      <c r="G339">
        <v>3</v>
      </c>
      <c r="H339" t="s">
        <v>5</v>
      </c>
      <c r="I339">
        <v>7</v>
      </c>
      <c r="J339">
        <v>0</v>
      </c>
      <c r="K339">
        <f>IF(Convert_to_Games[[#This Row],[Total Score]]&gt;9, 1, 0)</f>
        <v>0</v>
      </c>
      <c r="L339">
        <f>IF(Convert_to_Games[[#This Row],[DD]]=0, 0, IF(L338 = "Cons DD", Convert_to_Games[[#This Row],[DD]], L338+L338))</f>
        <v>0</v>
      </c>
    </row>
    <row r="340" spans="1:12">
      <c r="A340" t="s">
        <v>25</v>
      </c>
      <c r="B340">
        <v>256</v>
      </c>
      <c r="C340" t="s">
        <v>116</v>
      </c>
      <c r="D340" s="9">
        <v>45995</v>
      </c>
      <c r="E340">
        <v>247</v>
      </c>
      <c r="F340" t="s">
        <v>11</v>
      </c>
      <c r="G340">
        <v>3</v>
      </c>
      <c r="H340" t="s">
        <v>4</v>
      </c>
      <c r="I340">
        <v>7</v>
      </c>
      <c r="J340">
        <v>1</v>
      </c>
      <c r="K340">
        <f>IF(Convert_to_Games[[#This Row],[Total Score]]&gt;9, 1, 0)</f>
        <v>0</v>
      </c>
      <c r="L340">
        <f>IF(Convert_to_Games[[#This Row],[DD]]=0, 0, IF(L339 = "Cons DD", Convert_to_Games[[#This Row],[DD]], L339+L339))</f>
        <v>0</v>
      </c>
    </row>
    <row r="341" spans="1:12">
      <c r="A341" t="s">
        <v>25</v>
      </c>
      <c r="B341">
        <v>256</v>
      </c>
      <c r="C341" t="s">
        <v>116</v>
      </c>
      <c r="D341" s="9">
        <v>45999</v>
      </c>
      <c r="E341">
        <v>250</v>
      </c>
      <c r="F341" t="s">
        <v>10</v>
      </c>
      <c r="G341">
        <v>3</v>
      </c>
      <c r="H341" t="s">
        <v>6</v>
      </c>
      <c r="I341">
        <v>7</v>
      </c>
      <c r="J341">
        <v>0</v>
      </c>
      <c r="K341">
        <f>IF(Convert_to_Games[[#This Row],[Total Score]]&gt;9, 1, 0)</f>
        <v>0</v>
      </c>
      <c r="L341">
        <f>IF(Convert_to_Games[[#This Row],[DD]]=0, 0, IF(L340 = "Cons DD", Convert_to_Games[[#This Row],[DD]], L340+L340))</f>
        <v>0</v>
      </c>
    </row>
    <row r="342" spans="1:12">
      <c r="A342" t="s">
        <v>25</v>
      </c>
      <c r="B342">
        <v>256</v>
      </c>
      <c r="C342" t="s">
        <v>116</v>
      </c>
      <c r="D342" s="9">
        <v>46035</v>
      </c>
      <c r="E342">
        <v>254</v>
      </c>
      <c r="F342" t="s">
        <v>11</v>
      </c>
      <c r="G342">
        <v>3</v>
      </c>
      <c r="H342" t="s">
        <v>4</v>
      </c>
      <c r="I342">
        <v>7</v>
      </c>
      <c r="J342">
        <v>0</v>
      </c>
      <c r="K342">
        <f>IF(Convert_to_Games[[#This Row],[Total Score]]&gt;9, 1, 0)</f>
        <v>0</v>
      </c>
      <c r="L342">
        <f>IF(Convert_to_Games[[#This Row],[DD]]=0, 0, IF(L341 = "Cons DD", Convert_to_Games[[#This Row],[DD]], L341+L341))</f>
        <v>0</v>
      </c>
    </row>
    <row r="343" spans="1:12">
      <c r="A343" t="s">
        <v>25</v>
      </c>
      <c r="B343">
        <v>256</v>
      </c>
      <c r="C343" t="s">
        <v>116</v>
      </c>
      <c r="D343" s="9">
        <v>46077</v>
      </c>
      <c r="E343">
        <v>265</v>
      </c>
      <c r="F343" t="s">
        <v>11</v>
      </c>
      <c r="G343">
        <v>3</v>
      </c>
      <c r="H343" t="s">
        <v>4</v>
      </c>
      <c r="I343">
        <v>7</v>
      </c>
      <c r="J343">
        <v>0</v>
      </c>
      <c r="K343">
        <f>IF(Convert_to_Games[[#This Row],[Total Score]]&gt;9, 1, 0)</f>
        <v>0</v>
      </c>
      <c r="L343">
        <f>IF(Convert_to_Games[[#This Row],[DD]]=0, 0, IF(L342 = "Cons DD", Convert_to_Games[[#This Row],[DD]], L342+L342))</f>
        <v>0</v>
      </c>
    </row>
    <row r="344" spans="1:12">
      <c r="A344" t="s">
        <v>25</v>
      </c>
      <c r="B344">
        <v>256</v>
      </c>
      <c r="C344" t="s">
        <v>116</v>
      </c>
      <c r="D344" s="9">
        <v>46148</v>
      </c>
      <c r="E344">
        <v>284</v>
      </c>
      <c r="F344" t="s">
        <v>11</v>
      </c>
      <c r="G344">
        <v>4</v>
      </c>
      <c r="H344" t="s">
        <v>5</v>
      </c>
      <c r="I344">
        <v>7</v>
      </c>
      <c r="J344">
        <v>0</v>
      </c>
      <c r="K344">
        <f>IF(Convert_to_Games[[#This Row],[Total Score]]&gt;9, 1, 0)</f>
        <v>0</v>
      </c>
      <c r="L344">
        <f>IF(Convert_to_Games[[#This Row],[DD]]=0, 0, IF(L343 = "Cons DD", Convert_to_Games[[#This Row],[DD]], L343+L343))</f>
        <v>0</v>
      </c>
    </row>
    <row r="345" spans="1:12">
      <c r="A345" t="s">
        <v>25</v>
      </c>
      <c r="B345" t="s">
        <v>20</v>
      </c>
      <c r="C345" t="s">
        <v>18</v>
      </c>
      <c r="D345" s="9">
        <v>45712</v>
      </c>
      <c r="E345">
        <v>8</v>
      </c>
      <c r="F345" t="s">
        <v>11</v>
      </c>
      <c r="G345">
        <v>3</v>
      </c>
      <c r="H345" t="s">
        <v>4</v>
      </c>
      <c r="I345">
        <v>6</v>
      </c>
      <c r="J345">
        <v>1</v>
      </c>
      <c r="K345">
        <f>IF(Convert_to_Games[[#This Row],[Total Score]]&gt;9, 1, 0)</f>
        <v>0</v>
      </c>
      <c r="L345">
        <f>IF(Convert_to_Games[[#This Row],[DD]]=0, 0, IF(L344 = "Cons DD", Convert_to_Games[[#This Row],[DD]], L344+L344))</f>
        <v>0</v>
      </c>
    </row>
    <row r="346" spans="1:12">
      <c r="A346" t="s">
        <v>25</v>
      </c>
      <c r="B346" t="s">
        <v>20</v>
      </c>
      <c r="C346" t="s">
        <v>18</v>
      </c>
      <c r="D346" s="9">
        <v>45713</v>
      </c>
      <c r="E346">
        <v>10</v>
      </c>
      <c r="F346" t="s">
        <v>11</v>
      </c>
      <c r="G346">
        <v>3</v>
      </c>
      <c r="H346" t="s">
        <v>4</v>
      </c>
      <c r="I346">
        <v>6</v>
      </c>
      <c r="J346">
        <v>1</v>
      </c>
      <c r="K346">
        <f>IF(Convert_to_Games[[#This Row],[Total Score]]&gt;9, 1, 0)</f>
        <v>0</v>
      </c>
      <c r="L346">
        <f>IF(Convert_to_Games[[#This Row],[DD]]=0, 0, IF(L345 = "Cons DD", Convert_to_Games[[#This Row],[DD]], L345+L345))</f>
        <v>0</v>
      </c>
    </row>
    <row r="347" spans="1:12">
      <c r="A347" t="s">
        <v>25</v>
      </c>
      <c r="B347" t="s">
        <v>20</v>
      </c>
      <c r="C347" t="s">
        <v>16</v>
      </c>
      <c r="D347" s="9">
        <v>45714</v>
      </c>
      <c r="E347">
        <v>11</v>
      </c>
      <c r="F347" t="s">
        <v>12</v>
      </c>
      <c r="G347">
        <v>3</v>
      </c>
      <c r="H347" t="s">
        <v>7</v>
      </c>
      <c r="I347">
        <v>6</v>
      </c>
      <c r="J347">
        <v>0</v>
      </c>
      <c r="K347">
        <f>IF(Convert_to_Games[[#This Row],[Total Score]]&gt;9, 1, 0)</f>
        <v>0</v>
      </c>
      <c r="L347">
        <f>IF(Convert_to_Games[[#This Row],[DD]]=0, 0, IF(L346 = "Cons DD", Convert_to_Games[[#This Row],[DD]], L346+L346))</f>
        <v>0</v>
      </c>
    </row>
    <row r="348" spans="1:12">
      <c r="A348" t="s">
        <v>25</v>
      </c>
      <c r="B348" t="s">
        <v>20</v>
      </c>
      <c r="C348" t="s">
        <v>18</v>
      </c>
      <c r="D348" s="9">
        <v>45740</v>
      </c>
      <c r="E348">
        <v>25</v>
      </c>
      <c r="F348" t="s">
        <v>13</v>
      </c>
      <c r="G348">
        <v>3</v>
      </c>
      <c r="H348" t="s">
        <v>4</v>
      </c>
      <c r="I348">
        <v>6</v>
      </c>
      <c r="J348">
        <v>1</v>
      </c>
      <c r="K348">
        <f>IF(Convert_to_Games[[#This Row],[Total Score]]&gt;9, 1, 0)</f>
        <v>0</v>
      </c>
      <c r="L348">
        <f>IF(Convert_to_Games[[#This Row],[DD]]=0, 0, IF(L347 = "Cons DD", Convert_to_Games[[#This Row],[DD]], L347+L347))</f>
        <v>0</v>
      </c>
    </row>
    <row r="349" spans="1:12">
      <c r="A349" t="s">
        <v>25</v>
      </c>
      <c r="B349" t="s">
        <v>20</v>
      </c>
      <c r="C349" t="s">
        <v>16</v>
      </c>
      <c r="D349" s="9">
        <v>45748</v>
      </c>
      <c r="E349">
        <v>31</v>
      </c>
      <c r="F349" t="s">
        <v>11</v>
      </c>
      <c r="G349">
        <v>3</v>
      </c>
      <c r="H349" t="s">
        <v>4</v>
      </c>
      <c r="I349">
        <v>6</v>
      </c>
      <c r="J349">
        <v>1</v>
      </c>
      <c r="K349">
        <f>IF(Convert_to_Games[[#This Row],[Total Score]]&gt;9, 1, 0)</f>
        <v>0</v>
      </c>
      <c r="L349">
        <f>IF(Convert_to_Games[[#This Row],[DD]]=0, 0, IF(L348 = "Cons DD", Convert_to_Games[[#This Row],[DD]], L348+L348))</f>
        <v>0</v>
      </c>
    </row>
    <row r="350" spans="1:12">
      <c r="A350" t="s">
        <v>25</v>
      </c>
      <c r="B350" t="s">
        <v>20</v>
      </c>
      <c r="C350" t="s">
        <v>16</v>
      </c>
      <c r="D350" s="9">
        <v>45754</v>
      </c>
      <c r="E350">
        <v>37</v>
      </c>
      <c r="F350" t="s">
        <v>9</v>
      </c>
      <c r="G350">
        <v>3</v>
      </c>
      <c r="H350" t="s">
        <v>5</v>
      </c>
      <c r="I350">
        <v>6</v>
      </c>
      <c r="J350">
        <v>0</v>
      </c>
      <c r="K350">
        <f>IF(Convert_to_Games[[#This Row],[Total Score]]&gt;9, 1, 0)</f>
        <v>0</v>
      </c>
      <c r="L350">
        <f>IF(Convert_to_Games[[#This Row],[DD]]=0, 0, IF(L349 = "Cons DD", Convert_to_Games[[#This Row],[DD]], L349+L349))</f>
        <v>0</v>
      </c>
    </row>
    <row r="351" spans="1:12">
      <c r="A351" t="s">
        <v>25</v>
      </c>
      <c r="B351" t="s">
        <v>20</v>
      </c>
      <c r="C351" t="s">
        <v>16</v>
      </c>
      <c r="D351" s="9">
        <v>45756</v>
      </c>
      <c r="E351">
        <v>39</v>
      </c>
      <c r="F351" t="s">
        <v>11</v>
      </c>
      <c r="G351">
        <v>3</v>
      </c>
      <c r="H351" t="s">
        <v>5</v>
      </c>
      <c r="I351">
        <v>6</v>
      </c>
      <c r="J351">
        <v>0</v>
      </c>
      <c r="K351">
        <f>IF(Convert_to_Games[[#This Row],[Total Score]]&gt;9, 1, 0)</f>
        <v>0</v>
      </c>
      <c r="L351">
        <f>IF(Convert_to_Games[[#This Row],[DD]]=0, 0, IF(L350 = "Cons DD", Convert_to_Games[[#This Row],[DD]], L350+L350))</f>
        <v>0</v>
      </c>
    </row>
    <row r="352" spans="1:12">
      <c r="A352" t="s">
        <v>25</v>
      </c>
      <c r="B352" t="s">
        <v>19</v>
      </c>
      <c r="C352" t="s">
        <v>16</v>
      </c>
      <c r="D352" s="9">
        <v>45756</v>
      </c>
      <c r="E352">
        <v>40</v>
      </c>
      <c r="F352" t="s">
        <v>11</v>
      </c>
      <c r="G352">
        <v>3</v>
      </c>
      <c r="H352" t="s">
        <v>5</v>
      </c>
      <c r="I352">
        <v>6</v>
      </c>
      <c r="J352">
        <v>0</v>
      </c>
      <c r="K352">
        <f>IF(Convert_to_Games[[#This Row],[Total Score]]&gt;9, 1, 0)</f>
        <v>0</v>
      </c>
      <c r="L352">
        <f>IF(Convert_to_Games[[#This Row],[DD]]=0, 0, IF(L351 = "Cons DD", Convert_to_Games[[#This Row],[DD]], L351+L351))</f>
        <v>0</v>
      </c>
    </row>
    <row r="353" spans="1:12">
      <c r="A353" t="s">
        <v>25</v>
      </c>
      <c r="B353" t="s">
        <v>19</v>
      </c>
      <c r="C353" t="s">
        <v>16</v>
      </c>
      <c r="D353" s="9">
        <v>45757</v>
      </c>
      <c r="E353">
        <v>42</v>
      </c>
      <c r="F353" t="s">
        <v>9</v>
      </c>
      <c r="G353">
        <v>3</v>
      </c>
      <c r="H353" t="s">
        <v>5</v>
      </c>
      <c r="I353">
        <v>6</v>
      </c>
      <c r="J353">
        <v>1</v>
      </c>
      <c r="K353">
        <f>IF(Convert_to_Games[[#This Row],[Total Score]]&gt;9, 1, 0)</f>
        <v>0</v>
      </c>
      <c r="L353">
        <f>IF(Convert_to_Games[[#This Row],[DD]]=0, 0, IF(L352 = "Cons DD", Convert_to_Games[[#This Row],[DD]], L352+L352))</f>
        <v>0</v>
      </c>
    </row>
    <row r="354" spans="1:12">
      <c r="A354" t="s">
        <v>25</v>
      </c>
      <c r="B354" t="s">
        <v>20</v>
      </c>
      <c r="C354" t="s">
        <v>16</v>
      </c>
      <c r="D354" s="9">
        <v>45763</v>
      </c>
      <c r="E354">
        <v>51</v>
      </c>
      <c r="F354" t="s">
        <v>9</v>
      </c>
      <c r="G354">
        <v>3</v>
      </c>
      <c r="H354" t="s">
        <v>4</v>
      </c>
      <c r="I354">
        <v>6</v>
      </c>
      <c r="J354">
        <v>0</v>
      </c>
      <c r="K354">
        <f>IF(Convert_to_Games[[#This Row],[Total Score]]&gt;9, 1, 0)</f>
        <v>0</v>
      </c>
      <c r="L354">
        <f>IF(Convert_to_Games[[#This Row],[DD]]=0, 0, IF(L353 = "Cons DD", Convert_to_Games[[#This Row],[DD]], L353+L353))</f>
        <v>0</v>
      </c>
    </row>
    <row r="355" spans="1:12">
      <c r="A355" t="s">
        <v>25</v>
      </c>
      <c r="B355" t="s">
        <v>21</v>
      </c>
      <c r="C355" t="s">
        <v>16</v>
      </c>
      <c r="D355" s="9">
        <v>45764</v>
      </c>
      <c r="E355">
        <v>54</v>
      </c>
      <c r="F355" t="s">
        <v>28</v>
      </c>
      <c r="G355">
        <v>3</v>
      </c>
      <c r="H355" t="s">
        <v>4</v>
      </c>
      <c r="I355">
        <v>6</v>
      </c>
      <c r="J355">
        <v>1</v>
      </c>
      <c r="K355">
        <f>IF(Convert_to_Games[[#This Row],[Total Score]]&gt;9, 1, 0)</f>
        <v>0</v>
      </c>
      <c r="L355">
        <f>IF(Convert_to_Games[[#This Row],[DD]]=0, 0, IF(L354 = "Cons DD", Convert_to_Games[[#This Row],[DD]], L354+L354))</f>
        <v>0</v>
      </c>
    </row>
    <row r="356" spans="1:12">
      <c r="A356" t="s">
        <v>25</v>
      </c>
      <c r="B356" t="s">
        <v>21</v>
      </c>
      <c r="C356" t="s">
        <v>16</v>
      </c>
      <c r="D356" s="9">
        <v>45771</v>
      </c>
      <c r="E356">
        <v>66</v>
      </c>
      <c r="F356" t="s">
        <v>9</v>
      </c>
      <c r="G356">
        <v>3</v>
      </c>
      <c r="H356" t="s">
        <v>4</v>
      </c>
      <c r="I356">
        <v>6</v>
      </c>
      <c r="J356">
        <v>1</v>
      </c>
      <c r="K356">
        <f>IF(Convert_to_Games[[#This Row],[Total Score]]&gt;9, 1, 0)</f>
        <v>0</v>
      </c>
      <c r="L356">
        <f>IF(Convert_to_Games[[#This Row],[DD]]=0, 0, IF(L355 = "Cons DD", Convert_to_Games[[#This Row],[DD]], L355+L355))</f>
        <v>0</v>
      </c>
    </row>
    <row r="357" spans="1:12">
      <c r="A357" t="s">
        <v>25</v>
      </c>
      <c r="B357" t="s">
        <v>19</v>
      </c>
      <c r="C357" t="s">
        <v>16</v>
      </c>
      <c r="D357" s="9">
        <v>45777</v>
      </c>
      <c r="E357">
        <v>81</v>
      </c>
      <c r="F357" t="s">
        <v>11</v>
      </c>
      <c r="G357">
        <v>3</v>
      </c>
      <c r="H357" t="s">
        <v>4</v>
      </c>
      <c r="I357">
        <v>6</v>
      </c>
      <c r="J357">
        <v>1</v>
      </c>
      <c r="K357">
        <f>IF(Convert_to_Games[[#This Row],[Total Score]]&gt;9, 1, 0)</f>
        <v>0</v>
      </c>
      <c r="L357">
        <f>IF(Convert_to_Games[[#This Row],[DD]]=0, 0, IF(L356 = "Cons DD", Convert_to_Games[[#This Row],[DD]], L356+L356))</f>
        <v>0</v>
      </c>
    </row>
    <row r="358" spans="1:12">
      <c r="A358" t="s">
        <v>25</v>
      </c>
      <c r="B358" t="s">
        <v>19</v>
      </c>
      <c r="C358" t="s">
        <v>16</v>
      </c>
      <c r="D358" s="9">
        <v>45778</v>
      </c>
      <c r="E358">
        <v>85</v>
      </c>
      <c r="F358" t="s">
        <v>9</v>
      </c>
      <c r="G358">
        <v>4</v>
      </c>
      <c r="H358" t="s">
        <v>5</v>
      </c>
      <c r="I358">
        <v>6</v>
      </c>
      <c r="J358">
        <v>0</v>
      </c>
      <c r="K358">
        <f>IF(Convert_to_Games[[#This Row],[Total Score]]&gt;9, 1, 0)</f>
        <v>0</v>
      </c>
      <c r="L358">
        <f>IF(Convert_to_Games[[#This Row],[DD]]=0, 0, IF(L357 = "Cons DD", Convert_to_Games[[#This Row],[DD]], L357+L357))</f>
        <v>0</v>
      </c>
    </row>
    <row r="359" spans="1:12">
      <c r="A359" t="s">
        <v>25</v>
      </c>
      <c r="B359" t="s">
        <v>20</v>
      </c>
      <c r="C359" t="s">
        <v>16</v>
      </c>
      <c r="D359" s="9">
        <v>45790</v>
      </c>
      <c r="E359">
        <v>97</v>
      </c>
      <c r="F359" t="s">
        <v>11</v>
      </c>
      <c r="G359">
        <v>4</v>
      </c>
      <c r="H359" t="s">
        <v>4</v>
      </c>
      <c r="I359">
        <v>6</v>
      </c>
      <c r="J359">
        <v>1</v>
      </c>
      <c r="K359">
        <f>IF(Convert_to_Games[[#This Row],[Total Score]]&gt;9, 1, 0)</f>
        <v>0</v>
      </c>
      <c r="L359">
        <f>IF(Convert_to_Games[[#This Row],[DD]]=0, 0, IF(L358 = "Cons DD", Convert_to_Games[[#This Row],[DD]], L358+L358))</f>
        <v>0</v>
      </c>
    </row>
    <row r="360" spans="1:12">
      <c r="A360" t="s">
        <v>25</v>
      </c>
      <c r="B360" t="s">
        <v>20</v>
      </c>
      <c r="C360" t="s">
        <v>16</v>
      </c>
      <c r="D360" s="9">
        <v>45797</v>
      </c>
      <c r="E360">
        <v>101</v>
      </c>
      <c r="F360" t="s">
        <v>71</v>
      </c>
      <c r="G360">
        <v>3</v>
      </c>
      <c r="H360" t="s">
        <v>6</v>
      </c>
      <c r="I360">
        <v>6</v>
      </c>
      <c r="J360">
        <v>0</v>
      </c>
      <c r="K360">
        <f>IF(Convert_to_Games[[#This Row],[Total Score]]&gt;9, 1, 0)</f>
        <v>0</v>
      </c>
      <c r="L360">
        <f>IF(Convert_to_Games[[#This Row],[DD]]=0, 0, IF(L359 = "Cons DD", Convert_to_Games[[#This Row],[DD]], L359+L359))</f>
        <v>0</v>
      </c>
    </row>
    <row r="361" spans="1:12">
      <c r="A361" t="s">
        <v>25</v>
      </c>
      <c r="B361" t="s">
        <v>20</v>
      </c>
      <c r="C361" t="s">
        <v>16</v>
      </c>
      <c r="D361" s="9">
        <v>45818</v>
      </c>
      <c r="E361">
        <v>107</v>
      </c>
      <c r="F361" t="s">
        <v>11</v>
      </c>
      <c r="G361">
        <v>3</v>
      </c>
      <c r="H361" t="s">
        <v>4</v>
      </c>
      <c r="I361">
        <v>6</v>
      </c>
      <c r="J361">
        <v>1</v>
      </c>
      <c r="K361">
        <f>IF(Convert_to_Games[[#This Row],[Total Score]]&gt;9, 1, 0)</f>
        <v>0</v>
      </c>
      <c r="L361">
        <f>IF(Convert_to_Games[[#This Row],[DD]]=0, 0, IF(L360 = "Cons DD", Convert_to_Games[[#This Row],[DD]], L360+L360))</f>
        <v>0</v>
      </c>
    </row>
    <row r="362" spans="1:12">
      <c r="A362" t="s">
        <v>25</v>
      </c>
      <c r="B362" t="s">
        <v>20</v>
      </c>
      <c r="C362" t="s">
        <v>16</v>
      </c>
      <c r="D362" s="9">
        <v>45819</v>
      </c>
      <c r="E362">
        <v>108</v>
      </c>
      <c r="F362" t="s">
        <v>9</v>
      </c>
      <c r="G362">
        <v>3</v>
      </c>
      <c r="H362" t="s">
        <v>5</v>
      </c>
      <c r="I362">
        <v>6</v>
      </c>
      <c r="J362">
        <v>0</v>
      </c>
      <c r="K362">
        <f>IF(Convert_to_Games[[#This Row],[Total Score]]&gt;9, 1, 0)</f>
        <v>0</v>
      </c>
      <c r="L362">
        <f>IF(Convert_to_Games[[#This Row],[DD]]=0, 0, IF(L361 = "Cons DD", Convert_to_Games[[#This Row],[DD]], L361+L361))</f>
        <v>0</v>
      </c>
    </row>
    <row r="363" spans="1:12">
      <c r="A363" t="s">
        <v>25</v>
      </c>
      <c r="B363" t="s">
        <v>20</v>
      </c>
      <c r="C363" t="s">
        <v>16</v>
      </c>
      <c r="D363" s="9">
        <v>45824</v>
      </c>
      <c r="E363">
        <v>112</v>
      </c>
      <c r="F363" t="s">
        <v>59</v>
      </c>
      <c r="G363">
        <v>3</v>
      </c>
      <c r="H363" t="s">
        <v>7</v>
      </c>
      <c r="I363">
        <v>6</v>
      </c>
      <c r="J363">
        <v>1</v>
      </c>
      <c r="K363">
        <f>IF(Convert_to_Games[[#This Row],[Total Score]]&gt;9, 1, 0)</f>
        <v>0</v>
      </c>
      <c r="L363">
        <f>IF(Convert_to_Games[[#This Row],[DD]]=0, 0, IF(L362 = "Cons DD", Convert_to_Games[[#This Row],[DD]], L362+L362))</f>
        <v>0</v>
      </c>
    </row>
    <row r="364" spans="1:12">
      <c r="A364" t="s">
        <v>25</v>
      </c>
      <c r="B364" t="s">
        <v>20</v>
      </c>
      <c r="C364" t="s">
        <v>16</v>
      </c>
      <c r="D364" s="9">
        <v>45828</v>
      </c>
      <c r="E364">
        <v>121</v>
      </c>
      <c r="F364" t="s">
        <v>9</v>
      </c>
      <c r="G364">
        <v>3</v>
      </c>
      <c r="H364" t="s">
        <v>5</v>
      </c>
      <c r="I364">
        <v>6</v>
      </c>
      <c r="J364">
        <v>0</v>
      </c>
      <c r="K364">
        <f>IF(Convert_to_Games[[#This Row],[Total Score]]&gt;9, 1, 0)</f>
        <v>0</v>
      </c>
      <c r="L364">
        <f>IF(Convert_to_Games[[#This Row],[DD]]=0, 0, IF(L363 = "Cons DD", Convert_to_Games[[#This Row],[DD]], L363+L363))</f>
        <v>0</v>
      </c>
    </row>
    <row r="365" spans="1:12">
      <c r="A365" t="s">
        <v>25</v>
      </c>
      <c r="B365" t="s">
        <v>20</v>
      </c>
      <c r="C365" t="s">
        <v>16</v>
      </c>
      <c r="D365" s="9">
        <v>45835</v>
      </c>
      <c r="E365">
        <v>134</v>
      </c>
      <c r="F365" t="s">
        <v>103</v>
      </c>
      <c r="G365">
        <v>3</v>
      </c>
      <c r="H365" t="s">
        <v>4</v>
      </c>
      <c r="I365">
        <v>6</v>
      </c>
      <c r="J365">
        <v>1</v>
      </c>
      <c r="K365">
        <f>IF(Convert_to_Games[[#This Row],[Total Score]]&gt;9, 1, 0)</f>
        <v>0</v>
      </c>
      <c r="L365">
        <f>IF(Convert_to_Games[[#This Row],[DD]]=0, 0, IF(L364 = "Cons DD", Convert_to_Games[[#This Row],[DD]], L364+L364))</f>
        <v>0</v>
      </c>
    </row>
    <row r="366" spans="1:12">
      <c r="A366" t="s">
        <v>25</v>
      </c>
      <c r="B366" t="s">
        <v>20</v>
      </c>
      <c r="C366" t="s">
        <v>16</v>
      </c>
      <c r="D366" s="9">
        <v>45839</v>
      </c>
      <c r="E366">
        <v>142</v>
      </c>
      <c r="F366" t="s">
        <v>106</v>
      </c>
      <c r="G366">
        <v>3</v>
      </c>
      <c r="H366" t="s">
        <v>4</v>
      </c>
      <c r="I366">
        <v>6</v>
      </c>
      <c r="J366">
        <v>0</v>
      </c>
      <c r="K366">
        <f>IF(Convert_to_Games[[#This Row],[Total Score]]&gt;9, 1, 0)</f>
        <v>0</v>
      </c>
      <c r="L366">
        <f>IF(Convert_to_Games[[#This Row],[DD]]=0, 0, IF(L365 = "Cons DD", Convert_to_Games[[#This Row],[DD]], L365+L365))</f>
        <v>0</v>
      </c>
    </row>
    <row r="367" spans="1:12">
      <c r="A367" t="s">
        <v>25</v>
      </c>
      <c r="B367" t="s">
        <v>20</v>
      </c>
      <c r="C367" t="s">
        <v>16</v>
      </c>
      <c r="D367" s="9">
        <v>45845</v>
      </c>
      <c r="E367">
        <v>149</v>
      </c>
      <c r="F367" t="s">
        <v>110</v>
      </c>
      <c r="G367">
        <v>3</v>
      </c>
      <c r="H367" t="s">
        <v>78</v>
      </c>
      <c r="I367">
        <v>6</v>
      </c>
      <c r="J367">
        <v>0</v>
      </c>
      <c r="K367">
        <f>IF(Convert_to_Games[[#This Row],[Total Score]]&gt;9, 1, 0)</f>
        <v>0</v>
      </c>
      <c r="L367">
        <f>IF(Convert_to_Games[[#This Row],[DD]]=0, 0, IF(L366 = "Cons DD", Convert_to_Games[[#This Row],[DD]], L366+L366))</f>
        <v>0</v>
      </c>
    </row>
    <row r="368" spans="1:12">
      <c r="A368" t="s">
        <v>25</v>
      </c>
      <c r="B368" t="s">
        <v>20</v>
      </c>
      <c r="C368" t="s">
        <v>16</v>
      </c>
      <c r="D368" s="9">
        <v>45846</v>
      </c>
      <c r="E368">
        <v>151</v>
      </c>
      <c r="F368" t="s">
        <v>103</v>
      </c>
      <c r="G368">
        <v>3</v>
      </c>
      <c r="H368" t="s">
        <v>78</v>
      </c>
      <c r="I368">
        <v>6</v>
      </c>
      <c r="J368">
        <v>0</v>
      </c>
      <c r="K368">
        <f>IF(Convert_to_Games[[#This Row],[Total Score]]&gt;9, 1, 0)</f>
        <v>0</v>
      </c>
      <c r="L368">
        <f>IF(Convert_to_Games[[#This Row],[DD]]=0, 0, IF(L367 = "Cons DD", Convert_to_Games[[#This Row],[DD]], L367+L367))</f>
        <v>0</v>
      </c>
    </row>
    <row r="369" spans="1:12">
      <c r="A369" t="s">
        <v>25</v>
      </c>
      <c r="B369" t="s">
        <v>19</v>
      </c>
      <c r="C369" t="s">
        <v>16</v>
      </c>
      <c r="D369" s="9">
        <v>45848</v>
      </c>
      <c r="E369">
        <v>158</v>
      </c>
      <c r="F369" t="s">
        <v>103</v>
      </c>
      <c r="G369">
        <v>3</v>
      </c>
      <c r="H369" t="s">
        <v>4</v>
      </c>
      <c r="I369">
        <v>6</v>
      </c>
      <c r="J369">
        <v>1</v>
      </c>
      <c r="K369">
        <f>IF(Convert_to_Games[[#This Row],[Total Score]]&gt;9, 1, 0)</f>
        <v>0</v>
      </c>
      <c r="L369">
        <f>IF(Convert_to_Games[[#This Row],[DD]]=0, 0, IF(L368 = "Cons DD", Convert_to_Games[[#This Row],[DD]], L368+L368))</f>
        <v>0</v>
      </c>
    </row>
    <row r="370" spans="1:12">
      <c r="A370" t="s">
        <v>25</v>
      </c>
      <c r="B370" t="s">
        <v>20</v>
      </c>
      <c r="C370" t="s">
        <v>16</v>
      </c>
      <c r="D370" s="9">
        <v>45849</v>
      </c>
      <c r="E370">
        <v>159</v>
      </c>
      <c r="F370" t="s">
        <v>103</v>
      </c>
      <c r="G370">
        <v>3</v>
      </c>
      <c r="H370" t="s">
        <v>78</v>
      </c>
      <c r="I370">
        <v>6</v>
      </c>
      <c r="J370">
        <v>0</v>
      </c>
      <c r="K370">
        <f>IF(Convert_to_Games[[#This Row],[Total Score]]&gt;9, 1, 0)</f>
        <v>0</v>
      </c>
      <c r="L370">
        <f>IF(Convert_to_Games[[#This Row],[DD]]=0, 0, IF(L369 = "Cons DD", Convert_to_Games[[#This Row],[DD]], L369+L369))</f>
        <v>0</v>
      </c>
    </row>
    <row r="371" spans="1:12">
      <c r="A371" t="s">
        <v>25</v>
      </c>
      <c r="B371" t="s">
        <v>20</v>
      </c>
      <c r="C371" t="s">
        <v>16</v>
      </c>
      <c r="D371" s="9">
        <v>45852</v>
      </c>
      <c r="E371">
        <v>162</v>
      </c>
      <c r="F371" t="s">
        <v>111</v>
      </c>
      <c r="G371">
        <v>3</v>
      </c>
      <c r="H371" t="s">
        <v>78</v>
      </c>
      <c r="I371">
        <v>6</v>
      </c>
      <c r="J371">
        <v>0</v>
      </c>
      <c r="K371">
        <f>IF(Convert_to_Games[[#This Row],[Total Score]]&gt;9, 1, 0)</f>
        <v>0</v>
      </c>
      <c r="L371">
        <f>IF(Convert_to_Games[[#This Row],[DD]]=0, 0, IF(L370 = "Cons DD", Convert_to_Games[[#This Row],[DD]], L370+L370))</f>
        <v>0</v>
      </c>
    </row>
    <row r="372" spans="1:12">
      <c r="A372" t="s">
        <v>25</v>
      </c>
      <c r="B372" t="s">
        <v>20</v>
      </c>
      <c r="C372" t="s">
        <v>16</v>
      </c>
      <c r="D372" s="9">
        <v>45852</v>
      </c>
      <c r="E372">
        <v>163</v>
      </c>
      <c r="F372" t="s">
        <v>103</v>
      </c>
      <c r="G372">
        <v>3</v>
      </c>
      <c r="H372" t="s">
        <v>4</v>
      </c>
      <c r="I372">
        <v>6</v>
      </c>
      <c r="J372">
        <v>0</v>
      </c>
      <c r="K372">
        <f>IF(Convert_to_Games[[#This Row],[Total Score]]&gt;9, 1, 0)</f>
        <v>0</v>
      </c>
      <c r="L372">
        <f>IF(Convert_to_Games[[#This Row],[DD]]=0, 0, IF(L371 = "Cons DD", Convert_to_Games[[#This Row],[DD]], L371+L371))</f>
        <v>0</v>
      </c>
    </row>
    <row r="373" spans="1:12">
      <c r="A373" t="s">
        <v>25</v>
      </c>
      <c r="B373" t="s">
        <v>20</v>
      </c>
      <c r="C373" t="s">
        <v>16</v>
      </c>
      <c r="D373" s="9">
        <v>45855</v>
      </c>
      <c r="E373">
        <v>171</v>
      </c>
      <c r="F373" t="s">
        <v>104</v>
      </c>
      <c r="G373">
        <v>3</v>
      </c>
      <c r="H373" t="s">
        <v>5</v>
      </c>
      <c r="I373">
        <v>6</v>
      </c>
      <c r="J373">
        <v>1</v>
      </c>
      <c r="K373">
        <f>IF(Convert_to_Games[[#This Row],[Total Score]]&gt;9, 1, 0)</f>
        <v>0</v>
      </c>
      <c r="L373">
        <f>IF(Convert_to_Games[[#This Row],[DD]]=0, 0, IF(L372 = "Cons DD", Convert_to_Games[[#This Row],[DD]], L372+L372))</f>
        <v>0</v>
      </c>
    </row>
    <row r="374" spans="1:12">
      <c r="A374" t="s">
        <v>25</v>
      </c>
      <c r="B374" t="s">
        <v>20</v>
      </c>
      <c r="C374" t="s">
        <v>16</v>
      </c>
      <c r="D374" s="9">
        <v>45860</v>
      </c>
      <c r="E374">
        <v>176</v>
      </c>
      <c r="F374" t="s">
        <v>11</v>
      </c>
      <c r="G374">
        <v>3</v>
      </c>
      <c r="H374" t="s">
        <v>5</v>
      </c>
      <c r="I374">
        <v>6</v>
      </c>
      <c r="J374">
        <v>0</v>
      </c>
      <c r="K374">
        <f>IF(Convert_to_Games[[#This Row],[Total Score]]&gt;9, 1, 0)</f>
        <v>0</v>
      </c>
      <c r="L374">
        <f>IF(Convert_to_Games[[#This Row],[DD]]=0, 0, IF(L373 = "Cons DD", Convert_to_Games[[#This Row],[DD]], L373+L373))</f>
        <v>0</v>
      </c>
    </row>
    <row r="375" spans="1:12">
      <c r="A375" t="s">
        <v>25</v>
      </c>
      <c r="B375" t="s">
        <v>20</v>
      </c>
      <c r="C375" t="s">
        <v>16</v>
      </c>
      <c r="D375" s="9">
        <v>45861</v>
      </c>
      <c r="E375">
        <v>179</v>
      </c>
      <c r="F375" t="s">
        <v>9</v>
      </c>
      <c r="G375">
        <v>3</v>
      </c>
      <c r="H375" t="s">
        <v>4</v>
      </c>
      <c r="I375">
        <v>6</v>
      </c>
      <c r="J375">
        <v>1</v>
      </c>
      <c r="K375">
        <f>IF(Convert_to_Games[[#This Row],[Total Score]]&gt;9, 1, 0)</f>
        <v>0</v>
      </c>
      <c r="L375">
        <f>IF(Convert_to_Games[[#This Row],[DD]]=0, 0, IF(L374 = "Cons DD", Convert_to_Games[[#This Row],[DD]], L374+L374))</f>
        <v>0</v>
      </c>
    </row>
    <row r="376" spans="1:12">
      <c r="A376" t="s">
        <v>25</v>
      </c>
      <c r="B376" t="s">
        <v>20</v>
      </c>
      <c r="C376" t="s">
        <v>16</v>
      </c>
      <c r="D376" s="9">
        <v>45868</v>
      </c>
      <c r="E376">
        <v>185</v>
      </c>
      <c r="F376" t="s">
        <v>11</v>
      </c>
      <c r="G376">
        <v>3</v>
      </c>
      <c r="H376" t="s">
        <v>5</v>
      </c>
      <c r="I376">
        <v>6</v>
      </c>
      <c r="J376">
        <v>0</v>
      </c>
      <c r="K376">
        <f>IF(Convert_to_Games[[#This Row],[Total Score]]&gt;9, 1, 0)</f>
        <v>0</v>
      </c>
      <c r="L376">
        <f>IF(Convert_to_Games[[#This Row],[DD]]=0, 0, IF(L375 = "Cons DD", Convert_to_Games[[#This Row],[DD]], L375+L375))</f>
        <v>0</v>
      </c>
    </row>
    <row r="377" spans="1:12">
      <c r="A377" t="s">
        <v>25</v>
      </c>
      <c r="B377" t="s">
        <v>20</v>
      </c>
      <c r="C377" t="s">
        <v>116</v>
      </c>
      <c r="D377" s="9">
        <v>45868</v>
      </c>
      <c r="E377">
        <v>188</v>
      </c>
      <c r="F377" t="s">
        <v>11</v>
      </c>
      <c r="G377">
        <v>3</v>
      </c>
      <c r="H377" t="s">
        <v>5</v>
      </c>
      <c r="I377">
        <v>6</v>
      </c>
      <c r="J377">
        <v>0</v>
      </c>
      <c r="K377">
        <f>IF(Convert_to_Games[[#This Row],[Total Score]]&gt;9, 1, 0)</f>
        <v>0</v>
      </c>
      <c r="L377">
        <f>IF(Convert_to_Games[[#This Row],[DD]]=0, 0, IF(L376 = "Cons DD", Convert_to_Games[[#This Row],[DD]], L376+L376))</f>
        <v>0</v>
      </c>
    </row>
    <row r="378" spans="1:12">
      <c r="A378" t="s">
        <v>25</v>
      </c>
      <c r="B378" t="s">
        <v>20</v>
      </c>
      <c r="C378" t="s">
        <v>116</v>
      </c>
      <c r="D378" s="9">
        <v>45869</v>
      </c>
      <c r="E378">
        <v>189</v>
      </c>
      <c r="F378" t="s">
        <v>9</v>
      </c>
      <c r="G378">
        <v>3</v>
      </c>
      <c r="H378" t="s">
        <v>5</v>
      </c>
      <c r="I378">
        <v>6</v>
      </c>
      <c r="J378">
        <v>0</v>
      </c>
      <c r="K378">
        <f>IF(Convert_to_Games[[#This Row],[Total Score]]&gt;9, 1, 0)</f>
        <v>0</v>
      </c>
      <c r="L378">
        <f>IF(Convert_to_Games[[#This Row],[DD]]=0, 0, IF(L377 = "Cons DD", Convert_to_Games[[#This Row],[DD]], L377+L377))</f>
        <v>0</v>
      </c>
    </row>
    <row r="379" spans="1:12">
      <c r="A379" t="s">
        <v>25</v>
      </c>
      <c r="B379" t="s">
        <v>20</v>
      </c>
      <c r="C379" t="s">
        <v>116</v>
      </c>
      <c r="D379" s="9">
        <v>45873</v>
      </c>
      <c r="E379">
        <v>195</v>
      </c>
      <c r="F379" t="s">
        <v>9</v>
      </c>
      <c r="G379">
        <v>3</v>
      </c>
      <c r="H379" t="s">
        <v>4</v>
      </c>
      <c r="I379">
        <v>6</v>
      </c>
      <c r="J379">
        <v>1</v>
      </c>
      <c r="K379">
        <f>IF(Convert_to_Games[[#This Row],[Total Score]]&gt;9, 1, 0)</f>
        <v>0</v>
      </c>
      <c r="L379">
        <f>IF(Convert_to_Games[[#This Row],[DD]]=0, 0, IF(L378 = "Cons DD", Convert_to_Games[[#This Row],[DD]], L378+L378))</f>
        <v>0</v>
      </c>
    </row>
    <row r="380" spans="1:12">
      <c r="A380" t="s">
        <v>25</v>
      </c>
      <c r="B380">
        <v>256</v>
      </c>
      <c r="C380" t="s">
        <v>116</v>
      </c>
      <c r="D380" s="9">
        <v>45880</v>
      </c>
      <c r="E380">
        <v>201</v>
      </c>
      <c r="F380" t="s">
        <v>9</v>
      </c>
      <c r="G380">
        <v>3</v>
      </c>
      <c r="H380" t="s">
        <v>5</v>
      </c>
      <c r="I380">
        <v>6</v>
      </c>
      <c r="J380">
        <v>0</v>
      </c>
      <c r="K380">
        <f>IF(Convert_to_Games[[#This Row],[Total Score]]&gt;9, 1, 0)</f>
        <v>0</v>
      </c>
      <c r="L380">
        <f>IF(Convert_to_Games[[#This Row],[DD]]=0, 0, IF(L379 = "Cons DD", Convert_to_Games[[#This Row],[DD]], L379+L379))</f>
        <v>0</v>
      </c>
    </row>
    <row r="381" spans="1:12">
      <c r="A381" t="s">
        <v>25</v>
      </c>
      <c r="B381">
        <v>256</v>
      </c>
      <c r="C381" t="s">
        <v>116</v>
      </c>
      <c r="D381" s="9">
        <v>45910</v>
      </c>
      <c r="E381">
        <v>217</v>
      </c>
      <c r="F381" t="s">
        <v>9</v>
      </c>
      <c r="G381">
        <v>3</v>
      </c>
      <c r="H381" t="s">
        <v>5</v>
      </c>
      <c r="I381">
        <v>6</v>
      </c>
      <c r="J381">
        <v>0</v>
      </c>
      <c r="K381">
        <f>IF(Convert_to_Games[[#This Row],[Total Score]]&gt;9, 1, 0)</f>
        <v>0</v>
      </c>
      <c r="L381">
        <f>IF(Convert_to_Games[[#This Row],[DD]]=0, 0, IF(L380 = "Cons DD", Convert_to_Games[[#This Row],[DD]], L380+L380))</f>
        <v>0</v>
      </c>
    </row>
    <row r="382" spans="1:12">
      <c r="A382" t="s">
        <v>25</v>
      </c>
      <c r="B382">
        <v>256</v>
      </c>
      <c r="C382" t="s">
        <v>116</v>
      </c>
      <c r="D382" s="9">
        <v>45917</v>
      </c>
      <c r="E382">
        <v>221</v>
      </c>
      <c r="F382" t="s">
        <v>11</v>
      </c>
      <c r="G382">
        <v>3</v>
      </c>
      <c r="H382" t="s">
        <v>5</v>
      </c>
      <c r="I382">
        <v>6</v>
      </c>
      <c r="J382">
        <v>0</v>
      </c>
      <c r="K382">
        <f>IF(Convert_to_Games[[#This Row],[Total Score]]&gt;9, 1, 0)</f>
        <v>0</v>
      </c>
      <c r="L382">
        <f>IF(Convert_to_Games[[#This Row],[DD]]=0, 0, IF(L381 = "Cons DD", Convert_to_Games[[#This Row],[DD]], L381+L381))</f>
        <v>0</v>
      </c>
    </row>
    <row r="383" spans="1:12">
      <c r="A383" t="s">
        <v>25</v>
      </c>
      <c r="B383">
        <v>256</v>
      </c>
      <c r="C383" t="s">
        <v>116</v>
      </c>
      <c r="D383" s="9">
        <v>45943</v>
      </c>
      <c r="E383">
        <v>232</v>
      </c>
      <c r="F383" t="s">
        <v>9</v>
      </c>
      <c r="G383">
        <v>3</v>
      </c>
      <c r="H383" t="s">
        <v>5</v>
      </c>
      <c r="I383">
        <v>6</v>
      </c>
      <c r="J383">
        <v>0</v>
      </c>
      <c r="K383">
        <f>IF(Convert_to_Games[[#This Row],[Total Score]]&gt;9, 1, 0)</f>
        <v>0</v>
      </c>
      <c r="L383">
        <f>IF(Convert_to_Games[[#This Row],[DD]]=0, 0, IF(L382 = "Cons DD", Convert_to_Games[[#This Row],[DD]], L382+L382))</f>
        <v>0</v>
      </c>
    </row>
    <row r="384" spans="1:12">
      <c r="A384" t="s">
        <v>25</v>
      </c>
      <c r="B384">
        <v>256</v>
      </c>
      <c r="C384" t="s">
        <v>116</v>
      </c>
      <c r="D384" s="9">
        <v>45973</v>
      </c>
      <c r="E384">
        <v>240</v>
      </c>
      <c r="F384" t="s">
        <v>57</v>
      </c>
      <c r="G384">
        <v>3</v>
      </c>
      <c r="H384" t="s">
        <v>6</v>
      </c>
      <c r="I384">
        <v>6</v>
      </c>
      <c r="J384">
        <v>0</v>
      </c>
      <c r="K384">
        <f>IF(Convert_to_Games[[#This Row],[Total Score]]&gt;9, 1, 0)</f>
        <v>0</v>
      </c>
      <c r="L384">
        <f>IF(Convert_to_Games[[#This Row],[DD]]=0, 0, IF(L383 = "Cons DD", Convert_to_Games[[#This Row],[DD]], L383+L383))</f>
        <v>0</v>
      </c>
    </row>
    <row r="385" spans="1:12">
      <c r="A385" t="s">
        <v>25</v>
      </c>
      <c r="B385">
        <v>256</v>
      </c>
      <c r="C385" t="s">
        <v>116</v>
      </c>
      <c r="D385" s="9">
        <v>45979</v>
      </c>
      <c r="E385">
        <v>241</v>
      </c>
      <c r="F385" t="s">
        <v>118</v>
      </c>
      <c r="G385">
        <v>3</v>
      </c>
      <c r="H385" t="s">
        <v>5</v>
      </c>
      <c r="I385">
        <v>6</v>
      </c>
      <c r="J385">
        <v>0</v>
      </c>
      <c r="K385">
        <f>IF(Convert_to_Games[[#This Row],[Total Score]]&gt;9, 1, 0)</f>
        <v>0</v>
      </c>
      <c r="L385">
        <f>IF(Convert_to_Games[[#This Row],[DD]]=0, 0, IF(L384 = "Cons DD", Convert_to_Games[[#This Row],[DD]], L384+L384))</f>
        <v>0</v>
      </c>
    </row>
    <row r="386" spans="1:12">
      <c r="A386" t="s">
        <v>25</v>
      </c>
      <c r="B386">
        <v>256</v>
      </c>
      <c r="C386" t="s">
        <v>116</v>
      </c>
      <c r="D386" s="9">
        <v>45995</v>
      </c>
      <c r="E386">
        <v>247</v>
      </c>
      <c r="F386" t="s">
        <v>11</v>
      </c>
      <c r="G386">
        <v>3</v>
      </c>
      <c r="H386" t="s">
        <v>5</v>
      </c>
      <c r="I386">
        <v>6</v>
      </c>
      <c r="J386">
        <v>0</v>
      </c>
      <c r="K386">
        <f>IF(Convert_to_Games[[#This Row],[Total Score]]&gt;9, 1, 0)</f>
        <v>0</v>
      </c>
      <c r="L386">
        <f>IF(Convert_to_Games[[#This Row],[DD]]=0, 0, IF(L385 = "Cons DD", Convert_to_Games[[#This Row],[DD]], L385+L385))</f>
        <v>0</v>
      </c>
    </row>
    <row r="387" spans="1:12">
      <c r="A387" t="s">
        <v>25</v>
      </c>
      <c r="B387">
        <v>256</v>
      </c>
      <c r="C387" t="s">
        <v>116</v>
      </c>
      <c r="D387" s="9">
        <v>45996</v>
      </c>
      <c r="E387">
        <v>248</v>
      </c>
      <c r="F387" t="s">
        <v>11</v>
      </c>
      <c r="G387">
        <v>3</v>
      </c>
      <c r="H387" t="s">
        <v>5</v>
      </c>
      <c r="I387">
        <v>6</v>
      </c>
      <c r="J387">
        <v>0</v>
      </c>
      <c r="K387">
        <f>IF(Convert_to_Games[[#This Row],[Total Score]]&gt;9, 1, 0)</f>
        <v>0</v>
      </c>
      <c r="L387">
        <f>IF(Convert_to_Games[[#This Row],[DD]]=0, 0, IF(L386 = "Cons DD", Convert_to_Games[[#This Row],[DD]], L386+L386))</f>
        <v>0</v>
      </c>
    </row>
    <row r="388" spans="1:12">
      <c r="A388" t="s">
        <v>25</v>
      </c>
      <c r="B388">
        <v>256</v>
      </c>
      <c r="C388" t="s">
        <v>116</v>
      </c>
      <c r="D388" s="9">
        <v>46055</v>
      </c>
      <c r="E388">
        <v>258</v>
      </c>
      <c r="F388" t="s">
        <v>11</v>
      </c>
      <c r="G388">
        <v>3</v>
      </c>
      <c r="H388" t="s">
        <v>5</v>
      </c>
      <c r="I388">
        <v>6</v>
      </c>
      <c r="J388">
        <v>0</v>
      </c>
      <c r="K388">
        <f>IF(Convert_to_Games[[#This Row],[Total Score]]&gt;9, 1, 0)</f>
        <v>0</v>
      </c>
      <c r="L388">
        <f>IF(Convert_to_Games[[#This Row],[DD]]=0, 0, IF(L387 = "Cons DD", Convert_to_Games[[#This Row],[DD]], L387+L387))</f>
        <v>0</v>
      </c>
    </row>
    <row r="389" spans="1:12">
      <c r="A389" t="s">
        <v>25</v>
      </c>
      <c r="B389">
        <v>256</v>
      </c>
      <c r="C389" t="s">
        <v>116</v>
      </c>
      <c r="D389" s="9">
        <v>46063</v>
      </c>
      <c r="E389">
        <v>262</v>
      </c>
      <c r="F389" t="s">
        <v>9</v>
      </c>
      <c r="G389">
        <v>3</v>
      </c>
      <c r="H389" t="s">
        <v>5</v>
      </c>
      <c r="I389">
        <v>6</v>
      </c>
      <c r="J389">
        <v>0</v>
      </c>
      <c r="K389">
        <f>IF(Convert_to_Games[[#This Row],[Total Score]]&gt;9, 1, 0)</f>
        <v>0</v>
      </c>
      <c r="L389">
        <f>IF(Convert_to_Games[[#This Row],[DD]]=0, 0, IF(L388 = "Cons DD", Convert_to_Games[[#This Row],[DD]], L388+L388))</f>
        <v>0</v>
      </c>
    </row>
    <row r="390" spans="1:12">
      <c r="A390" t="s">
        <v>25</v>
      </c>
      <c r="B390">
        <v>256</v>
      </c>
      <c r="C390" t="s">
        <v>116</v>
      </c>
      <c r="D390" s="9">
        <v>46086</v>
      </c>
      <c r="E390">
        <v>270</v>
      </c>
      <c r="F390" t="s">
        <v>117</v>
      </c>
      <c r="G390">
        <v>3</v>
      </c>
      <c r="H390" t="s">
        <v>23</v>
      </c>
      <c r="I390">
        <v>6</v>
      </c>
      <c r="J390">
        <v>0</v>
      </c>
      <c r="K390">
        <f>IF(Convert_to_Games[[#This Row],[Total Score]]&gt;9, 1, 0)</f>
        <v>0</v>
      </c>
      <c r="L390">
        <f>IF(Convert_to_Games[[#This Row],[DD]]=0, 0, IF(L389 = "Cons DD", Convert_to_Games[[#This Row],[DD]], L389+L389))</f>
        <v>0</v>
      </c>
    </row>
    <row r="391" spans="1:12">
      <c r="A391" t="s">
        <v>25</v>
      </c>
      <c r="B391">
        <v>256</v>
      </c>
      <c r="C391" t="s">
        <v>116</v>
      </c>
      <c r="D391" s="9">
        <v>46132</v>
      </c>
      <c r="E391">
        <v>283</v>
      </c>
      <c r="F391" t="s">
        <v>11</v>
      </c>
      <c r="G391">
        <v>4</v>
      </c>
      <c r="H391" t="s">
        <v>5</v>
      </c>
      <c r="I391">
        <v>6</v>
      </c>
      <c r="J391">
        <v>0</v>
      </c>
      <c r="K391">
        <f>IF(Convert_to_Games[[#This Row],[Total Score]]&gt;9, 1, 0)</f>
        <v>0</v>
      </c>
      <c r="L391">
        <f>IF(Convert_to_Games[[#This Row],[DD]]=0, 0, IF(L390 = "Cons DD", Convert_to_Games[[#This Row],[DD]], L390+L390))</f>
        <v>0</v>
      </c>
    </row>
    <row r="392" spans="1:12">
      <c r="A392" t="s">
        <v>25</v>
      </c>
      <c r="B392" t="s">
        <v>20</v>
      </c>
      <c r="C392" t="s">
        <v>18</v>
      </c>
      <c r="D392" s="9">
        <v>45712</v>
      </c>
      <c r="E392">
        <v>7</v>
      </c>
      <c r="F392" t="s">
        <v>11</v>
      </c>
      <c r="G392">
        <v>3</v>
      </c>
      <c r="H392" t="s">
        <v>4</v>
      </c>
      <c r="I392">
        <v>5</v>
      </c>
      <c r="J392">
        <v>0</v>
      </c>
      <c r="K392">
        <f>IF(Convert_to_Games[[#This Row],[Total Score]]&gt;9, 1, 0)</f>
        <v>0</v>
      </c>
      <c r="L392">
        <f>IF(Convert_to_Games[[#This Row],[DD]]=0, 0, IF(L391 = "Cons DD", Convert_to_Games[[#This Row],[DD]], L391+L391))</f>
        <v>0</v>
      </c>
    </row>
    <row r="393" spans="1:12">
      <c r="A393" t="s">
        <v>25</v>
      </c>
      <c r="B393" t="s">
        <v>20</v>
      </c>
      <c r="C393" t="s">
        <v>16</v>
      </c>
      <c r="D393" s="9">
        <v>45714</v>
      </c>
      <c r="E393">
        <v>11</v>
      </c>
      <c r="F393" t="s">
        <v>12</v>
      </c>
      <c r="G393">
        <v>3</v>
      </c>
      <c r="H393" t="s">
        <v>5</v>
      </c>
      <c r="I393">
        <v>5</v>
      </c>
      <c r="J393">
        <v>0</v>
      </c>
      <c r="K393">
        <f>IF(Convert_to_Games[[#This Row],[Total Score]]&gt;9, 1, 0)</f>
        <v>0</v>
      </c>
      <c r="L393">
        <f>IF(Convert_to_Games[[#This Row],[DD]]=0, 0, IF(L392 = "Cons DD", Convert_to_Games[[#This Row],[DD]], L392+L392))</f>
        <v>0</v>
      </c>
    </row>
    <row r="394" spans="1:12">
      <c r="A394" t="s">
        <v>25</v>
      </c>
      <c r="B394" t="s">
        <v>20</v>
      </c>
      <c r="C394" t="s">
        <v>16</v>
      </c>
      <c r="D394" s="9">
        <v>45716</v>
      </c>
      <c r="E394">
        <v>15</v>
      </c>
      <c r="F394" t="s">
        <v>11</v>
      </c>
      <c r="G394">
        <v>3</v>
      </c>
      <c r="H394" t="s">
        <v>4</v>
      </c>
      <c r="I394">
        <v>5</v>
      </c>
      <c r="J394">
        <v>1</v>
      </c>
      <c r="K394">
        <f>IF(Convert_to_Games[[#This Row],[Total Score]]&gt;9, 1, 0)</f>
        <v>0</v>
      </c>
      <c r="L394">
        <f>IF(Convert_to_Games[[#This Row],[DD]]=0, 0, IF(L393 = "Cons DD", Convert_to_Games[[#This Row],[DD]], L393+L393))</f>
        <v>0</v>
      </c>
    </row>
    <row r="395" spans="1:12">
      <c r="A395" t="s">
        <v>25</v>
      </c>
      <c r="B395" t="s">
        <v>20</v>
      </c>
      <c r="C395" t="s">
        <v>16</v>
      </c>
      <c r="D395" s="9">
        <v>45720</v>
      </c>
      <c r="E395">
        <v>16</v>
      </c>
      <c r="F395" t="s">
        <v>14</v>
      </c>
      <c r="G395">
        <v>3</v>
      </c>
      <c r="H395" t="s">
        <v>7</v>
      </c>
      <c r="I395">
        <v>5</v>
      </c>
      <c r="J395">
        <v>0</v>
      </c>
      <c r="K395">
        <f>IF(Convert_to_Games[[#This Row],[Total Score]]&gt;9, 1, 0)</f>
        <v>0</v>
      </c>
      <c r="L395">
        <f>IF(Convert_to_Games[[#This Row],[DD]]=0, 0, IF(L394 = "Cons DD", Convert_to_Games[[#This Row],[DD]], L394+L394))</f>
        <v>0</v>
      </c>
    </row>
    <row r="396" spans="1:12">
      <c r="A396" t="s">
        <v>25</v>
      </c>
      <c r="B396" t="s">
        <v>20</v>
      </c>
      <c r="C396" t="s">
        <v>17</v>
      </c>
      <c r="D396" s="9">
        <v>45722</v>
      </c>
      <c r="E396">
        <v>19</v>
      </c>
      <c r="F396" t="s">
        <v>9</v>
      </c>
      <c r="G396">
        <v>3</v>
      </c>
      <c r="H396" t="s">
        <v>4</v>
      </c>
      <c r="I396">
        <v>5</v>
      </c>
      <c r="J396">
        <v>0</v>
      </c>
      <c r="K396">
        <f>IF(Convert_to_Games[[#This Row],[Total Score]]&gt;9, 1, 0)</f>
        <v>0</v>
      </c>
      <c r="L396">
        <f>IF(Convert_to_Games[[#This Row],[DD]]=0, 0, IF(L395 = "Cons DD", Convert_to_Games[[#This Row],[DD]], L395+L395))</f>
        <v>0</v>
      </c>
    </row>
    <row r="397" spans="1:12">
      <c r="A397" t="s">
        <v>25</v>
      </c>
      <c r="B397" t="s">
        <v>20</v>
      </c>
      <c r="C397" t="s">
        <v>16</v>
      </c>
      <c r="D397" s="9">
        <v>45744</v>
      </c>
      <c r="E397">
        <v>29</v>
      </c>
      <c r="F397" t="s">
        <v>9</v>
      </c>
      <c r="G397">
        <v>3</v>
      </c>
      <c r="H397" t="s">
        <v>4</v>
      </c>
      <c r="I397">
        <v>5</v>
      </c>
      <c r="J397">
        <v>0</v>
      </c>
      <c r="K397">
        <f>IF(Convert_to_Games[[#This Row],[Total Score]]&gt;9, 1, 0)</f>
        <v>0</v>
      </c>
      <c r="L397">
        <f>IF(Convert_to_Games[[#This Row],[DD]]=0, 0, IF(L396 = "Cons DD", Convert_to_Games[[#This Row],[DD]], L396+L396))</f>
        <v>0</v>
      </c>
    </row>
    <row r="398" spans="1:12">
      <c r="A398" t="s">
        <v>25</v>
      </c>
      <c r="B398" t="s">
        <v>20</v>
      </c>
      <c r="C398" t="s">
        <v>16</v>
      </c>
      <c r="D398" s="9">
        <v>45748</v>
      </c>
      <c r="E398">
        <v>31</v>
      </c>
      <c r="F398" t="s">
        <v>11</v>
      </c>
      <c r="G398">
        <v>3</v>
      </c>
      <c r="H398" t="s">
        <v>5</v>
      </c>
      <c r="I398">
        <v>5</v>
      </c>
      <c r="J398">
        <v>0</v>
      </c>
      <c r="K398">
        <f>IF(Convert_to_Games[[#This Row],[Total Score]]&gt;9, 1, 0)</f>
        <v>0</v>
      </c>
      <c r="L398">
        <f>IF(Convert_to_Games[[#This Row],[DD]]=0, 0, IF(L397 = "Cons DD", Convert_to_Games[[#This Row],[DD]], L397+L397))</f>
        <v>0</v>
      </c>
    </row>
    <row r="399" spans="1:12">
      <c r="A399" t="s">
        <v>25</v>
      </c>
      <c r="B399" t="s">
        <v>19</v>
      </c>
      <c r="C399" t="s">
        <v>16</v>
      </c>
      <c r="D399" s="9">
        <v>45749</v>
      </c>
      <c r="E399">
        <v>32</v>
      </c>
      <c r="F399" t="s">
        <v>9</v>
      </c>
      <c r="G399">
        <v>3</v>
      </c>
      <c r="H399" t="s">
        <v>5</v>
      </c>
      <c r="I399">
        <v>5</v>
      </c>
      <c r="J399">
        <v>1</v>
      </c>
      <c r="K399">
        <f>IF(Convert_to_Games[[#This Row],[Total Score]]&gt;9, 1, 0)</f>
        <v>0</v>
      </c>
      <c r="L399">
        <f>IF(Convert_to_Games[[#This Row],[DD]]=0, 0, IF(L398 = "Cons DD", Convert_to_Games[[#This Row],[DD]], L398+L398))</f>
        <v>0</v>
      </c>
    </row>
    <row r="400" spans="1:12">
      <c r="A400" t="s">
        <v>25</v>
      </c>
      <c r="B400" t="s">
        <v>19</v>
      </c>
      <c r="C400" t="s">
        <v>16</v>
      </c>
      <c r="D400" s="9">
        <v>45749</v>
      </c>
      <c r="E400">
        <v>33</v>
      </c>
      <c r="F400" t="s">
        <v>9</v>
      </c>
      <c r="G400">
        <v>3</v>
      </c>
      <c r="H400" t="s">
        <v>5</v>
      </c>
      <c r="I400">
        <v>5</v>
      </c>
      <c r="J400">
        <v>1</v>
      </c>
      <c r="K400">
        <f>IF(Convert_to_Games[[#This Row],[Total Score]]&gt;9, 1, 0)</f>
        <v>0</v>
      </c>
      <c r="L400">
        <f>IF(Convert_to_Games[[#This Row],[DD]]=0, 0, IF(L399 = "Cons DD", Convert_to_Games[[#This Row],[DD]], L399+L399))</f>
        <v>0</v>
      </c>
    </row>
    <row r="401" spans="1:12">
      <c r="A401" t="s">
        <v>25</v>
      </c>
      <c r="B401" t="s">
        <v>19</v>
      </c>
      <c r="C401" t="s">
        <v>16</v>
      </c>
      <c r="D401" s="9">
        <v>45757</v>
      </c>
      <c r="E401">
        <v>42</v>
      </c>
      <c r="F401" t="s">
        <v>9</v>
      </c>
      <c r="G401">
        <v>3</v>
      </c>
      <c r="H401" t="s">
        <v>4</v>
      </c>
      <c r="I401">
        <v>5</v>
      </c>
      <c r="J401">
        <v>0</v>
      </c>
      <c r="K401">
        <f>IF(Convert_to_Games[[#This Row],[Total Score]]&gt;9, 1, 0)</f>
        <v>0</v>
      </c>
      <c r="L401">
        <f>IF(Convert_to_Games[[#This Row],[DD]]=0, 0, IF(L400 = "Cons DD", Convert_to_Games[[#This Row],[DD]], L400+L400))</f>
        <v>0</v>
      </c>
    </row>
    <row r="402" spans="1:12">
      <c r="A402" t="s">
        <v>25</v>
      </c>
      <c r="B402" t="s">
        <v>20</v>
      </c>
      <c r="C402" t="s">
        <v>16</v>
      </c>
      <c r="D402" s="9">
        <v>45762</v>
      </c>
      <c r="E402">
        <v>44</v>
      </c>
      <c r="F402" t="s">
        <v>24</v>
      </c>
      <c r="G402">
        <v>3</v>
      </c>
      <c r="H402" t="s">
        <v>5</v>
      </c>
      <c r="I402">
        <v>5</v>
      </c>
      <c r="J402">
        <v>0</v>
      </c>
      <c r="K402">
        <f>IF(Convert_to_Games[[#This Row],[Total Score]]&gt;9, 1, 0)</f>
        <v>0</v>
      </c>
      <c r="L402">
        <f>IF(Convert_to_Games[[#This Row],[DD]]=0, 0, IF(L401 = "Cons DD", Convert_to_Games[[#This Row],[DD]], L401+L401))</f>
        <v>0</v>
      </c>
    </row>
    <row r="403" spans="1:12">
      <c r="A403" t="s">
        <v>25</v>
      </c>
      <c r="B403" t="s">
        <v>20</v>
      </c>
      <c r="C403" t="s">
        <v>16</v>
      </c>
      <c r="D403" s="9">
        <v>45763</v>
      </c>
      <c r="E403">
        <v>50</v>
      </c>
      <c r="F403" t="s">
        <v>11</v>
      </c>
      <c r="G403">
        <v>3</v>
      </c>
      <c r="H403" t="s">
        <v>5</v>
      </c>
      <c r="I403">
        <v>5</v>
      </c>
      <c r="J403">
        <v>1</v>
      </c>
      <c r="K403">
        <f>IF(Convert_to_Games[[#This Row],[Total Score]]&gt;9, 1, 0)</f>
        <v>0</v>
      </c>
      <c r="L403">
        <f>IF(Convert_to_Games[[#This Row],[DD]]=0, 0, IF(L402 = "Cons DD", Convert_to_Games[[#This Row],[DD]], L402+L402))</f>
        <v>0</v>
      </c>
    </row>
    <row r="404" spans="1:12">
      <c r="A404" t="s">
        <v>25</v>
      </c>
      <c r="B404" t="s">
        <v>20</v>
      </c>
      <c r="C404" t="s">
        <v>16</v>
      </c>
      <c r="D404" s="9">
        <v>45763</v>
      </c>
      <c r="E404">
        <v>52</v>
      </c>
      <c r="F404" t="s">
        <v>11</v>
      </c>
      <c r="G404">
        <v>3</v>
      </c>
      <c r="H404" t="s">
        <v>5</v>
      </c>
      <c r="I404">
        <v>5</v>
      </c>
      <c r="J404">
        <v>0</v>
      </c>
      <c r="K404">
        <f>IF(Convert_to_Games[[#This Row],[Total Score]]&gt;9, 1, 0)</f>
        <v>0</v>
      </c>
      <c r="L404">
        <f>IF(Convert_to_Games[[#This Row],[DD]]=0, 0, IF(L403 = "Cons DD", Convert_to_Games[[#This Row],[DD]], L403+L403))</f>
        <v>0</v>
      </c>
    </row>
    <row r="405" spans="1:12">
      <c r="A405" t="s">
        <v>25</v>
      </c>
      <c r="B405" t="s">
        <v>20</v>
      </c>
      <c r="C405" t="s">
        <v>16</v>
      </c>
      <c r="D405" s="9">
        <v>45768</v>
      </c>
      <c r="E405">
        <v>57</v>
      </c>
      <c r="F405" t="s">
        <v>30</v>
      </c>
      <c r="G405">
        <v>3</v>
      </c>
      <c r="H405" t="s">
        <v>4</v>
      </c>
      <c r="I405">
        <v>5</v>
      </c>
      <c r="J405">
        <v>0</v>
      </c>
      <c r="K405">
        <f>IF(Convert_to_Games[[#This Row],[Total Score]]&gt;9, 1, 0)</f>
        <v>0</v>
      </c>
      <c r="L405">
        <f>IF(Convert_to_Games[[#This Row],[DD]]=0, 0, IF(L404 = "Cons DD", Convert_to_Games[[#This Row],[DD]], L404+L404))</f>
        <v>0</v>
      </c>
    </row>
    <row r="406" spans="1:12">
      <c r="A406" t="s">
        <v>25</v>
      </c>
      <c r="B406" t="s">
        <v>20</v>
      </c>
      <c r="C406" t="s">
        <v>16</v>
      </c>
      <c r="D406" s="9">
        <v>45769</v>
      </c>
      <c r="E406">
        <v>60</v>
      </c>
      <c r="F406" t="s">
        <v>9</v>
      </c>
      <c r="G406">
        <v>3</v>
      </c>
      <c r="H406" t="s">
        <v>4</v>
      </c>
      <c r="I406">
        <v>5</v>
      </c>
      <c r="J406">
        <v>0</v>
      </c>
      <c r="K406">
        <f>IF(Convert_to_Games[[#This Row],[Total Score]]&gt;9, 1, 0)</f>
        <v>0</v>
      </c>
      <c r="L406">
        <f>IF(Convert_to_Games[[#This Row],[DD]]=0, 0, IF(L405 = "Cons DD", Convert_to_Games[[#This Row],[DD]], L405+L405))</f>
        <v>0</v>
      </c>
    </row>
    <row r="407" spans="1:12">
      <c r="A407" t="s">
        <v>25</v>
      </c>
      <c r="B407" t="s">
        <v>20</v>
      </c>
      <c r="C407" t="s">
        <v>16</v>
      </c>
      <c r="D407" s="9">
        <v>45771</v>
      </c>
      <c r="E407">
        <v>69</v>
      </c>
      <c r="F407" t="s">
        <v>8</v>
      </c>
      <c r="G407">
        <v>3</v>
      </c>
      <c r="H407" t="s">
        <v>5</v>
      </c>
      <c r="I407">
        <v>5</v>
      </c>
      <c r="J407">
        <v>0</v>
      </c>
      <c r="K407">
        <f>IF(Convert_to_Games[[#This Row],[Total Score]]&gt;9, 1, 0)</f>
        <v>0</v>
      </c>
      <c r="L407">
        <f>IF(Convert_to_Games[[#This Row],[DD]]=0, 0, IF(L406 = "Cons DD", Convert_to_Games[[#This Row],[DD]], L406+L406))</f>
        <v>0</v>
      </c>
    </row>
    <row r="408" spans="1:12">
      <c r="A408" t="s">
        <v>25</v>
      </c>
      <c r="B408" t="s">
        <v>20</v>
      </c>
      <c r="C408" t="s">
        <v>16</v>
      </c>
      <c r="D408" s="9">
        <v>45776</v>
      </c>
      <c r="E408">
        <v>76</v>
      </c>
      <c r="F408" t="s">
        <v>9</v>
      </c>
      <c r="G408">
        <v>3</v>
      </c>
      <c r="H408" t="s">
        <v>4</v>
      </c>
      <c r="I408">
        <v>5</v>
      </c>
      <c r="J408">
        <v>1</v>
      </c>
      <c r="K408">
        <f>IF(Convert_to_Games[[#This Row],[Total Score]]&gt;9, 1, 0)</f>
        <v>0</v>
      </c>
      <c r="L408">
        <f>IF(Convert_to_Games[[#This Row],[DD]]=0, 0, IF(L407 = "Cons DD", Convert_to_Games[[#This Row],[DD]], L407+L407))</f>
        <v>0</v>
      </c>
    </row>
    <row r="409" spans="1:12">
      <c r="A409" t="s">
        <v>25</v>
      </c>
      <c r="B409" t="s">
        <v>20</v>
      </c>
      <c r="C409" t="s">
        <v>16</v>
      </c>
      <c r="D409" s="9">
        <v>45776</v>
      </c>
      <c r="E409">
        <v>77</v>
      </c>
      <c r="F409" t="s">
        <v>57</v>
      </c>
      <c r="G409">
        <v>3</v>
      </c>
      <c r="H409" t="s">
        <v>5</v>
      </c>
      <c r="I409">
        <v>5</v>
      </c>
      <c r="J409">
        <v>0</v>
      </c>
      <c r="K409">
        <f>IF(Convert_to_Games[[#This Row],[Total Score]]&gt;9, 1, 0)</f>
        <v>0</v>
      </c>
      <c r="L409">
        <f>IF(Convert_to_Games[[#This Row],[DD]]=0, 0, IF(L408 = "Cons DD", Convert_to_Games[[#This Row],[DD]], L408+L408))</f>
        <v>0</v>
      </c>
    </row>
    <row r="410" spans="1:12">
      <c r="A410" t="s">
        <v>25</v>
      </c>
      <c r="B410" t="s">
        <v>20</v>
      </c>
      <c r="C410" t="s">
        <v>16</v>
      </c>
      <c r="D410" s="9">
        <v>45776</v>
      </c>
      <c r="E410">
        <v>79</v>
      </c>
      <c r="F410" t="s">
        <v>59</v>
      </c>
      <c r="G410">
        <v>3</v>
      </c>
      <c r="H410" t="s">
        <v>7</v>
      </c>
      <c r="I410">
        <v>5</v>
      </c>
      <c r="J410">
        <v>0</v>
      </c>
      <c r="K410">
        <f>IF(Convert_to_Games[[#This Row],[Total Score]]&gt;9, 1, 0)</f>
        <v>0</v>
      </c>
      <c r="L410">
        <f>IF(Convert_to_Games[[#This Row],[DD]]=0, 0, IF(L409 = "Cons DD", Convert_to_Games[[#This Row],[DD]], L409+L409))</f>
        <v>0</v>
      </c>
    </row>
    <row r="411" spans="1:12">
      <c r="A411" t="s">
        <v>25</v>
      </c>
      <c r="B411" t="s">
        <v>21</v>
      </c>
      <c r="C411" t="s">
        <v>16</v>
      </c>
      <c r="D411" s="9">
        <v>45777</v>
      </c>
      <c r="E411">
        <v>82</v>
      </c>
      <c r="F411" t="s">
        <v>62</v>
      </c>
      <c r="G411">
        <v>3</v>
      </c>
      <c r="H411" t="s">
        <v>5</v>
      </c>
      <c r="I411">
        <v>5</v>
      </c>
      <c r="J411">
        <v>0</v>
      </c>
      <c r="K411">
        <f>IF(Convert_to_Games[[#This Row],[Total Score]]&gt;9, 1, 0)</f>
        <v>0</v>
      </c>
      <c r="L411">
        <f>IF(Convert_to_Games[[#This Row],[DD]]=0, 0, IF(L410 = "Cons DD", Convert_to_Games[[#This Row],[DD]], L410+L410))</f>
        <v>0</v>
      </c>
    </row>
    <row r="412" spans="1:12">
      <c r="A412" t="s">
        <v>25</v>
      </c>
      <c r="B412" t="s">
        <v>20</v>
      </c>
      <c r="C412" t="s">
        <v>16</v>
      </c>
      <c r="D412" s="9">
        <v>45777</v>
      </c>
      <c r="E412">
        <v>83</v>
      </c>
      <c r="F412" t="s">
        <v>11</v>
      </c>
      <c r="G412">
        <v>3</v>
      </c>
      <c r="H412" t="s">
        <v>5</v>
      </c>
      <c r="I412">
        <v>5</v>
      </c>
      <c r="J412">
        <v>0</v>
      </c>
      <c r="K412">
        <f>IF(Convert_to_Games[[#This Row],[Total Score]]&gt;9, 1, 0)</f>
        <v>0</v>
      </c>
      <c r="L412">
        <f>IF(Convert_to_Games[[#This Row],[DD]]=0, 0, IF(L411 = "Cons DD", Convert_to_Games[[#This Row],[DD]], L411+L411))</f>
        <v>0</v>
      </c>
    </row>
    <row r="413" spans="1:12">
      <c r="A413" t="s">
        <v>25</v>
      </c>
      <c r="B413" t="s">
        <v>20</v>
      </c>
      <c r="C413" t="s">
        <v>16</v>
      </c>
      <c r="D413" s="9">
        <v>45778</v>
      </c>
      <c r="E413">
        <v>84</v>
      </c>
      <c r="F413" t="s">
        <v>9</v>
      </c>
      <c r="G413">
        <v>3</v>
      </c>
      <c r="H413" t="s">
        <v>5</v>
      </c>
      <c r="I413">
        <v>5</v>
      </c>
      <c r="J413">
        <v>0</v>
      </c>
      <c r="K413">
        <f>IF(Convert_to_Games[[#This Row],[Total Score]]&gt;9, 1, 0)</f>
        <v>0</v>
      </c>
      <c r="L413">
        <f>IF(Convert_to_Games[[#This Row],[DD]]=0, 0, IF(L412 = "Cons DD", Convert_to_Games[[#This Row],[DD]], L412+L412))</f>
        <v>0</v>
      </c>
    </row>
    <row r="414" spans="1:12">
      <c r="A414" t="s">
        <v>25</v>
      </c>
      <c r="B414" t="s">
        <v>20</v>
      </c>
      <c r="C414" t="s">
        <v>16</v>
      </c>
      <c r="D414" s="9">
        <v>45790</v>
      </c>
      <c r="E414">
        <v>96</v>
      </c>
      <c r="F414" t="s">
        <v>9</v>
      </c>
      <c r="G414">
        <v>3</v>
      </c>
      <c r="H414" t="s">
        <v>4</v>
      </c>
      <c r="I414">
        <v>5</v>
      </c>
      <c r="J414">
        <v>1</v>
      </c>
      <c r="K414">
        <f>IF(Convert_to_Games[[#This Row],[Total Score]]&gt;9, 1, 0)</f>
        <v>0</v>
      </c>
      <c r="L414">
        <f>IF(Convert_to_Games[[#This Row],[DD]]=0, 0, IF(L413 = "Cons DD", Convert_to_Games[[#This Row],[DD]], L413+L413))</f>
        <v>0</v>
      </c>
    </row>
    <row r="415" spans="1:12">
      <c r="A415" t="s">
        <v>25</v>
      </c>
      <c r="B415" t="s">
        <v>20</v>
      </c>
      <c r="C415" t="s">
        <v>16</v>
      </c>
      <c r="D415" s="9">
        <v>45790</v>
      </c>
      <c r="E415">
        <v>97</v>
      </c>
      <c r="F415" t="s">
        <v>11</v>
      </c>
      <c r="G415">
        <v>4</v>
      </c>
      <c r="H415" t="s">
        <v>5</v>
      </c>
      <c r="I415">
        <v>5</v>
      </c>
      <c r="J415">
        <v>0</v>
      </c>
      <c r="K415">
        <f>IF(Convert_to_Games[[#This Row],[Total Score]]&gt;9, 1, 0)</f>
        <v>0</v>
      </c>
      <c r="L415">
        <f>IF(Convert_to_Games[[#This Row],[DD]]=0, 0, IF(L414 = "Cons DD", Convert_to_Games[[#This Row],[DD]], L414+L414))</f>
        <v>0</v>
      </c>
    </row>
    <row r="416" spans="1:12">
      <c r="A416" t="s">
        <v>25</v>
      </c>
      <c r="B416" t="s">
        <v>20</v>
      </c>
      <c r="C416" t="s">
        <v>16</v>
      </c>
      <c r="D416" s="9">
        <v>45791</v>
      </c>
      <c r="E416">
        <v>99</v>
      </c>
      <c r="F416" t="s">
        <v>70</v>
      </c>
      <c r="G416">
        <v>3</v>
      </c>
      <c r="H416" t="s">
        <v>7</v>
      </c>
      <c r="I416">
        <v>5</v>
      </c>
      <c r="J416">
        <v>0</v>
      </c>
      <c r="K416">
        <f>IF(Convert_to_Games[[#This Row],[Total Score]]&gt;9, 1, 0)</f>
        <v>0</v>
      </c>
      <c r="L416">
        <f>IF(Convert_to_Games[[#This Row],[DD]]=0, 0, IF(L415 = "Cons DD", Convert_to_Games[[#This Row],[DD]], L415+L415))</f>
        <v>0</v>
      </c>
    </row>
    <row r="417" spans="1:12">
      <c r="A417" t="s">
        <v>25</v>
      </c>
      <c r="B417" t="s">
        <v>20</v>
      </c>
      <c r="C417" t="s">
        <v>16</v>
      </c>
      <c r="D417" s="9">
        <v>45798</v>
      </c>
      <c r="E417">
        <v>103</v>
      </c>
      <c r="F417" t="s">
        <v>71</v>
      </c>
      <c r="G417">
        <v>3</v>
      </c>
      <c r="H417" t="s">
        <v>6</v>
      </c>
      <c r="I417">
        <v>5</v>
      </c>
      <c r="J417">
        <v>0</v>
      </c>
      <c r="K417">
        <f>IF(Convert_to_Games[[#This Row],[Total Score]]&gt;9, 1, 0)</f>
        <v>0</v>
      </c>
      <c r="L417">
        <f>IF(Convert_to_Games[[#This Row],[DD]]=0, 0, IF(L416 = "Cons DD", Convert_to_Games[[#This Row],[DD]], L416+L416))</f>
        <v>0</v>
      </c>
    </row>
    <row r="418" spans="1:12">
      <c r="A418" t="s">
        <v>25</v>
      </c>
      <c r="B418" t="s">
        <v>20</v>
      </c>
      <c r="C418" t="s">
        <v>16</v>
      </c>
      <c r="D418" s="9">
        <v>45818</v>
      </c>
      <c r="E418">
        <v>107</v>
      </c>
      <c r="F418" t="s">
        <v>11</v>
      </c>
      <c r="G418">
        <v>3</v>
      </c>
      <c r="H418" t="s">
        <v>5</v>
      </c>
      <c r="I418">
        <v>5</v>
      </c>
      <c r="J418">
        <v>0</v>
      </c>
      <c r="K418">
        <f>IF(Convert_to_Games[[#This Row],[Total Score]]&gt;9, 1, 0)</f>
        <v>0</v>
      </c>
      <c r="L418">
        <f>IF(Convert_to_Games[[#This Row],[DD]]=0, 0, IF(L417 = "Cons DD", Convert_to_Games[[#This Row],[DD]], L417+L417))</f>
        <v>0</v>
      </c>
    </row>
    <row r="419" spans="1:12">
      <c r="A419" t="s">
        <v>25</v>
      </c>
      <c r="B419" t="s">
        <v>20</v>
      </c>
      <c r="C419" t="s">
        <v>16</v>
      </c>
      <c r="D419" s="9">
        <v>45820</v>
      </c>
      <c r="E419">
        <v>109</v>
      </c>
      <c r="F419" t="s">
        <v>11</v>
      </c>
      <c r="G419">
        <v>3</v>
      </c>
      <c r="H419" t="s">
        <v>4</v>
      </c>
      <c r="I419">
        <v>5</v>
      </c>
      <c r="J419">
        <v>0</v>
      </c>
      <c r="K419">
        <f>IF(Convert_to_Games[[#This Row],[Total Score]]&gt;9, 1, 0)</f>
        <v>0</v>
      </c>
      <c r="L419">
        <f>IF(Convert_to_Games[[#This Row],[DD]]=0, 0, IF(L418 = "Cons DD", Convert_to_Games[[#This Row],[DD]], L418+L418))</f>
        <v>0</v>
      </c>
    </row>
    <row r="420" spans="1:12">
      <c r="A420" t="s">
        <v>25</v>
      </c>
      <c r="B420" t="s">
        <v>20</v>
      </c>
      <c r="C420" t="s">
        <v>16</v>
      </c>
      <c r="D420" s="9">
        <v>45821</v>
      </c>
      <c r="E420">
        <v>110</v>
      </c>
      <c r="F420" t="s">
        <v>11</v>
      </c>
      <c r="G420">
        <v>3</v>
      </c>
      <c r="H420" t="s">
        <v>4</v>
      </c>
      <c r="I420">
        <v>5</v>
      </c>
      <c r="J420">
        <v>1</v>
      </c>
      <c r="K420">
        <f>IF(Convert_to_Games[[#This Row],[Total Score]]&gt;9, 1, 0)</f>
        <v>0</v>
      </c>
      <c r="L420">
        <f>IF(Convert_to_Games[[#This Row],[DD]]=0, 0, IF(L419 = "Cons DD", Convert_to_Games[[#This Row],[DD]], L419+L419))</f>
        <v>0</v>
      </c>
    </row>
    <row r="421" spans="1:12">
      <c r="A421" t="s">
        <v>25</v>
      </c>
      <c r="B421" t="s">
        <v>19</v>
      </c>
      <c r="C421" t="s">
        <v>16</v>
      </c>
      <c r="D421" s="9">
        <v>45826</v>
      </c>
      <c r="E421">
        <v>118</v>
      </c>
      <c r="F421" t="s">
        <v>9</v>
      </c>
      <c r="G421">
        <v>3</v>
      </c>
      <c r="H421" t="s">
        <v>5</v>
      </c>
      <c r="I421">
        <v>5</v>
      </c>
      <c r="J421">
        <v>0</v>
      </c>
      <c r="K421">
        <f>IF(Convert_to_Games[[#This Row],[Total Score]]&gt;9, 1, 0)</f>
        <v>0</v>
      </c>
      <c r="L421">
        <f>IF(Convert_to_Games[[#This Row],[DD]]=0, 0, IF(L420 = "Cons DD", Convert_to_Games[[#This Row],[DD]], L420+L420))</f>
        <v>0</v>
      </c>
    </row>
    <row r="422" spans="1:12">
      <c r="A422" t="s">
        <v>25</v>
      </c>
      <c r="B422" t="s">
        <v>20</v>
      </c>
      <c r="C422" t="s">
        <v>16</v>
      </c>
      <c r="D422" s="9">
        <v>45832</v>
      </c>
      <c r="E422">
        <v>126</v>
      </c>
      <c r="F422" t="s">
        <v>9</v>
      </c>
      <c r="G422">
        <v>5</v>
      </c>
      <c r="H422" t="s">
        <v>5</v>
      </c>
      <c r="I422">
        <v>5</v>
      </c>
      <c r="J422">
        <v>0</v>
      </c>
      <c r="K422">
        <f>IF(Convert_to_Games[[#This Row],[Total Score]]&gt;9, 1, 0)</f>
        <v>0</v>
      </c>
      <c r="L422">
        <f>IF(Convert_to_Games[[#This Row],[DD]]=0, 0, IF(L421 = "Cons DD", Convert_to_Games[[#This Row],[DD]], L421+L421))</f>
        <v>0</v>
      </c>
    </row>
    <row r="423" spans="1:12">
      <c r="A423" t="s">
        <v>25</v>
      </c>
      <c r="B423" t="s">
        <v>20</v>
      </c>
      <c r="C423" t="s">
        <v>16</v>
      </c>
      <c r="D423" s="9">
        <v>45838</v>
      </c>
      <c r="E423">
        <v>137</v>
      </c>
      <c r="F423" t="s">
        <v>104</v>
      </c>
      <c r="G423">
        <v>3</v>
      </c>
      <c r="H423" t="s">
        <v>4</v>
      </c>
      <c r="I423">
        <v>5</v>
      </c>
      <c r="J423">
        <v>0</v>
      </c>
      <c r="K423">
        <f>IF(Convert_to_Games[[#This Row],[Total Score]]&gt;9, 1, 0)</f>
        <v>0</v>
      </c>
      <c r="L423">
        <f>IF(Convert_to_Games[[#This Row],[DD]]=0, 0, IF(L422 = "Cons DD", Convert_to_Games[[#This Row],[DD]], L422+L422))</f>
        <v>0</v>
      </c>
    </row>
    <row r="424" spans="1:12">
      <c r="A424" t="s">
        <v>25</v>
      </c>
      <c r="B424" t="s">
        <v>20</v>
      </c>
      <c r="C424" t="s">
        <v>16</v>
      </c>
      <c r="D424" s="9">
        <v>45838</v>
      </c>
      <c r="E424">
        <v>139</v>
      </c>
      <c r="F424" t="s">
        <v>8</v>
      </c>
      <c r="G424">
        <v>3</v>
      </c>
      <c r="H424" t="s">
        <v>6</v>
      </c>
      <c r="I424">
        <v>5</v>
      </c>
      <c r="J424">
        <v>1</v>
      </c>
      <c r="K424">
        <f>IF(Convert_to_Games[[#This Row],[Total Score]]&gt;9, 1, 0)</f>
        <v>0</v>
      </c>
      <c r="L424">
        <f>IF(Convert_to_Games[[#This Row],[DD]]=0, 0, IF(L423 = "Cons DD", Convert_to_Games[[#This Row],[DD]], L423+L423))</f>
        <v>0</v>
      </c>
    </row>
    <row r="425" spans="1:12">
      <c r="A425" t="s">
        <v>25</v>
      </c>
      <c r="B425" t="s">
        <v>19</v>
      </c>
      <c r="C425" t="s">
        <v>16</v>
      </c>
      <c r="D425" s="9">
        <v>45839</v>
      </c>
      <c r="E425">
        <v>141</v>
      </c>
      <c r="F425" t="s">
        <v>8</v>
      </c>
      <c r="G425">
        <v>3</v>
      </c>
      <c r="H425" t="s">
        <v>6</v>
      </c>
      <c r="I425">
        <v>5</v>
      </c>
      <c r="J425">
        <v>0</v>
      </c>
      <c r="K425">
        <f>IF(Convert_to_Games[[#This Row],[Total Score]]&gt;9, 1, 0)</f>
        <v>0</v>
      </c>
      <c r="L425">
        <f>IF(Convert_to_Games[[#This Row],[DD]]=0, 0, IF(L424 = "Cons DD", Convert_to_Games[[#This Row],[DD]], L424+L424))</f>
        <v>0</v>
      </c>
    </row>
    <row r="426" spans="1:12">
      <c r="A426" t="s">
        <v>25</v>
      </c>
      <c r="B426" t="s">
        <v>20</v>
      </c>
      <c r="C426" t="s">
        <v>16</v>
      </c>
      <c r="D426" s="9">
        <v>45841</v>
      </c>
      <c r="E426">
        <v>145</v>
      </c>
      <c r="F426" t="s">
        <v>108</v>
      </c>
      <c r="G426">
        <v>3</v>
      </c>
      <c r="H426" t="s">
        <v>4</v>
      </c>
      <c r="I426">
        <v>5</v>
      </c>
      <c r="J426">
        <v>1</v>
      </c>
      <c r="K426">
        <f>IF(Convert_to_Games[[#This Row],[Total Score]]&gt;9, 1, 0)</f>
        <v>0</v>
      </c>
      <c r="L426">
        <f>IF(Convert_to_Games[[#This Row],[DD]]=0, 0, IF(L425 = "Cons DD", Convert_to_Games[[#This Row],[DD]], L425+L425))</f>
        <v>0</v>
      </c>
    </row>
    <row r="427" spans="1:12">
      <c r="A427" t="s">
        <v>25</v>
      </c>
      <c r="B427" t="s">
        <v>20</v>
      </c>
      <c r="C427" t="s">
        <v>17</v>
      </c>
      <c r="D427" s="9">
        <v>45845</v>
      </c>
      <c r="E427">
        <v>148</v>
      </c>
      <c r="F427" t="s">
        <v>109</v>
      </c>
      <c r="G427">
        <v>3</v>
      </c>
      <c r="H427" t="s">
        <v>6</v>
      </c>
      <c r="I427">
        <v>5</v>
      </c>
      <c r="J427">
        <v>1</v>
      </c>
      <c r="K427">
        <f>IF(Convert_to_Games[[#This Row],[Total Score]]&gt;9, 1, 0)</f>
        <v>0</v>
      </c>
      <c r="L427">
        <f>IF(Convert_to_Games[[#This Row],[DD]]=0, 0, IF(L426 = "Cons DD", Convert_to_Games[[#This Row],[DD]], L426+L426))</f>
        <v>0</v>
      </c>
    </row>
    <row r="428" spans="1:12">
      <c r="A428" t="s">
        <v>25</v>
      </c>
      <c r="B428" t="s">
        <v>20</v>
      </c>
      <c r="C428" t="s">
        <v>16</v>
      </c>
      <c r="D428" s="9">
        <v>45845</v>
      </c>
      <c r="E428">
        <v>149</v>
      </c>
      <c r="F428" t="s">
        <v>110</v>
      </c>
      <c r="G428">
        <v>3</v>
      </c>
      <c r="H428" t="s">
        <v>6</v>
      </c>
      <c r="I428">
        <v>5</v>
      </c>
      <c r="J428">
        <v>0</v>
      </c>
      <c r="K428">
        <f>IF(Convert_to_Games[[#This Row],[Total Score]]&gt;9, 1, 0)</f>
        <v>0</v>
      </c>
      <c r="L428">
        <f>IF(Convert_to_Games[[#This Row],[DD]]=0, 0, IF(L427 = "Cons DD", Convert_to_Games[[#This Row],[DD]], L427+L427))</f>
        <v>0</v>
      </c>
    </row>
    <row r="429" spans="1:12">
      <c r="A429" t="s">
        <v>25</v>
      </c>
      <c r="B429" t="s">
        <v>19</v>
      </c>
      <c r="C429" t="s">
        <v>16</v>
      </c>
      <c r="D429" s="9">
        <v>45846</v>
      </c>
      <c r="E429">
        <v>152</v>
      </c>
      <c r="F429" t="s">
        <v>111</v>
      </c>
      <c r="G429">
        <v>4</v>
      </c>
      <c r="H429" t="s">
        <v>78</v>
      </c>
      <c r="I429">
        <v>5</v>
      </c>
      <c r="J429">
        <v>0</v>
      </c>
      <c r="K429">
        <f>IF(Convert_to_Games[[#This Row],[Total Score]]&gt;9, 1, 0)</f>
        <v>0</v>
      </c>
      <c r="L429">
        <f>IF(Convert_to_Games[[#This Row],[DD]]=0, 0, IF(L428 = "Cons DD", Convert_to_Games[[#This Row],[DD]], L428+L428))</f>
        <v>0</v>
      </c>
    </row>
    <row r="430" spans="1:12">
      <c r="A430" t="s">
        <v>25</v>
      </c>
      <c r="B430" t="s">
        <v>19</v>
      </c>
      <c r="C430" t="s">
        <v>16</v>
      </c>
      <c r="D430" s="9">
        <v>45847</v>
      </c>
      <c r="E430">
        <v>154</v>
      </c>
      <c r="F430" t="s">
        <v>111</v>
      </c>
      <c r="G430">
        <v>3</v>
      </c>
      <c r="H430" t="s">
        <v>4</v>
      </c>
      <c r="I430">
        <v>5</v>
      </c>
      <c r="J430">
        <v>1</v>
      </c>
      <c r="K430">
        <f>IF(Convert_to_Games[[#This Row],[Total Score]]&gt;9, 1, 0)</f>
        <v>0</v>
      </c>
      <c r="L430">
        <f>IF(Convert_to_Games[[#This Row],[DD]]=0, 0, IF(L429 = "Cons DD", Convert_to_Games[[#This Row],[DD]], L429+L429))</f>
        <v>0</v>
      </c>
    </row>
    <row r="431" spans="1:12">
      <c r="A431" t="s">
        <v>25</v>
      </c>
      <c r="B431" t="s">
        <v>19</v>
      </c>
      <c r="C431" t="s">
        <v>16</v>
      </c>
      <c r="D431" s="9">
        <v>45853</v>
      </c>
      <c r="E431">
        <v>166</v>
      </c>
      <c r="F431" t="s">
        <v>94</v>
      </c>
      <c r="G431">
        <v>3</v>
      </c>
      <c r="H431" t="s">
        <v>4</v>
      </c>
      <c r="I431">
        <v>5</v>
      </c>
      <c r="J431">
        <v>0</v>
      </c>
      <c r="K431">
        <f>IF(Convert_to_Games[[#This Row],[Total Score]]&gt;9, 1, 0)</f>
        <v>0</v>
      </c>
      <c r="L431">
        <f>IF(Convert_to_Games[[#This Row],[DD]]=0, 0, IF(L430 = "Cons DD", Convert_to_Games[[#This Row],[DD]], L430+L430))</f>
        <v>0</v>
      </c>
    </row>
    <row r="432" spans="1:12">
      <c r="A432" t="s">
        <v>25</v>
      </c>
      <c r="B432" t="s">
        <v>20</v>
      </c>
      <c r="C432" t="s">
        <v>16</v>
      </c>
      <c r="D432" s="9">
        <v>45855</v>
      </c>
      <c r="E432">
        <v>171</v>
      </c>
      <c r="F432" t="s">
        <v>104</v>
      </c>
      <c r="G432">
        <v>3</v>
      </c>
      <c r="H432" t="s">
        <v>4</v>
      </c>
      <c r="I432">
        <v>5</v>
      </c>
      <c r="J432">
        <v>0</v>
      </c>
      <c r="K432">
        <f>IF(Convert_to_Games[[#This Row],[Total Score]]&gt;9, 1, 0)</f>
        <v>0</v>
      </c>
      <c r="L432">
        <f>IF(Convert_to_Games[[#This Row],[DD]]=0, 0, IF(L431 = "Cons DD", Convert_to_Games[[#This Row],[DD]], L431+L431))</f>
        <v>0</v>
      </c>
    </row>
    <row r="433" spans="1:12">
      <c r="A433" t="s">
        <v>25</v>
      </c>
      <c r="B433" t="s">
        <v>20</v>
      </c>
      <c r="C433" t="s">
        <v>16</v>
      </c>
      <c r="D433" s="9">
        <v>45859</v>
      </c>
      <c r="E433">
        <v>174</v>
      </c>
      <c r="F433" t="s">
        <v>115</v>
      </c>
      <c r="G433">
        <v>3</v>
      </c>
      <c r="H433" t="s">
        <v>5</v>
      </c>
      <c r="I433">
        <v>5</v>
      </c>
      <c r="J433">
        <v>1</v>
      </c>
      <c r="K433">
        <f>IF(Convert_to_Games[[#This Row],[Total Score]]&gt;9, 1, 0)</f>
        <v>0</v>
      </c>
      <c r="L433">
        <f>IF(Convert_to_Games[[#This Row],[DD]]=0, 0, IF(L432 = "Cons DD", Convert_to_Games[[#This Row],[DD]], L432+L432))</f>
        <v>0</v>
      </c>
    </row>
    <row r="434" spans="1:12">
      <c r="A434" t="s">
        <v>25</v>
      </c>
      <c r="B434" t="s">
        <v>20</v>
      </c>
      <c r="C434" t="s">
        <v>16</v>
      </c>
      <c r="D434" s="9">
        <v>45861</v>
      </c>
      <c r="E434">
        <v>178</v>
      </c>
      <c r="F434" t="s">
        <v>8</v>
      </c>
      <c r="G434">
        <v>3</v>
      </c>
      <c r="H434" t="s">
        <v>5</v>
      </c>
      <c r="I434">
        <v>5</v>
      </c>
      <c r="J434">
        <v>0</v>
      </c>
      <c r="K434">
        <f>IF(Convert_to_Games[[#This Row],[Total Score]]&gt;9, 1, 0)</f>
        <v>0</v>
      </c>
      <c r="L434">
        <f>IF(Convert_to_Games[[#This Row],[DD]]=0, 0, IF(L433 = "Cons DD", Convert_to_Games[[#This Row],[DD]], L433+L433))</f>
        <v>0</v>
      </c>
    </row>
    <row r="435" spans="1:12">
      <c r="A435" t="s">
        <v>25</v>
      </c>
      <c r="B435" t="s">
        <v>20</v>
      </c>
      <c r="C435" t="s">
        <v>16</v>
      </c>
      <c r="D435" s="9">
        <v>45862</v>
      </c>
      <c r="E435">
        <v>180</v>
      </c>
      <c r="F435" t="s">
        <v>34</v>
      </c>
      <c r="G435">
        <v>3</v>
      </c>
      <c r="H435" t="s">
        <v>5</v>
      </c>
      <c r="I435">
        <v>5</v>
      </c>
      <c r="J435">
        <v>0</v>
      </c>
      <c r="K435">
        <f>IF(Convert_to_Games[[#This Row],[Total Score]]&gt;9, 1, 0)</f>
        <v>0</v>
      </c>
      <c r="L435">
        <f>IF(Convert_to_Games[[#This Row],[DD]]=0, 0, IF(L434 = "Cons DD", Convert_to_Games[[#This Row],[DD]], L434+L434))</f>
        <v>0</v>
      </c>
    </row>
    <row r="436" spans="1:12">
      <c r="A436" t="s">
        <v>25</v>
      </c>
      <c r="B436" t="s">
        <v>20</v>
      </c>
      <c r="C436" t="s">
        <v>16</v>
      </c>
      <c r="D436" s="9">
        <v>45863</v>
      </c>
      <c r="E436">
        <v>183</v>
      </c>
      <c r="F436" t="s">
        <v>77</v>
      </c>
      <c r="G436">
        <v>3</v>
      </c>
      <c r="H436" t="s">
        <v>5</v>
      </c>
      <c r="I436">
        <v>5</v>
      </c>
      <c r="J436">
        <v>1</v>
      </c>
      <c r="K436">
        <f>IF(Convert_to_Games[[#This Row],[Total Score]]&gt;9, 1, 0)</f>
        <v>0</v>
      </c>
      <c r="L436">
        <f>IF(Convert_to_Games[[#This Row],[DD]]=0, 0, IF(L435 = "Cons DD", Convert_to_Games[[#This Row],[DD]], L435+L435))</f>
        <v>0</v>
      </c>
    </row>
    <row r="437" spans="1:12">
      <c r="A437" t="s">
        <v>25</v>
      </c>
      <c r="B437" t="s">
        <v>20</v>
      </c>
      <c r="C437" t="s">
        <v>116</v>
      </c>
      <c r="D437" s="9">
        <v>45869</v>
      </c>
      <c r="E437">
        <v>190</v>
      </c>
      <c r="F437" t="s">
        <v>11</v>
      </c>
      <c r="G437">
        <v>4</v>
      </c>
      <c r="H437" t="s">
        <v>5</v>
      </c>
      <c r="I437">
        <v>5</v>
      </c>
      <c r="J437">
        <v>0</v>
      </c>
      <c r="K437">
        <f>IF(Convert_to_Games[[#This Row],[Total Score]]&gt;9, 1, 0)</f>
        <v>0</v>
      </c>
      <c r="L437">
        <f>IF(Convert_to_Games[[#This Row],[DD]]=0, 0, IF(L436 = "Cons DD", Convert_to_Games[[#This Row],[DD]], L436+L436))</f>
        <v>0</v>
      </c>
    </row>
    <row r="438" spans="1:12">
      <c r="A438" t="s">
        <v>25</v>
      </c>
      <c r="B438" t="s">
        <v>20</v>
      </c>
      <c r="C438" t="s">
        <v>116</v>
      </c>
      <c r="D438" s="9">
        <v>45869</v>
      </c>
      <c r="E438">
        <v>191</v>
      </c>
      <c r="F438" t="s">
        <v>9</v>
      </c>
      <c r="G438">
        <v>3</v>
      </c>
      <c r="H438" t="s">
        <v>4</v>
      </c>
      <c r="I438">
        <v>5</v>
      </c>
      <c r="J438">
        <v>0</v>
      </c>
      <c r="K438">
        <f>IF(Convert_to_Games[[#This Row],[Total Score]]&gt;9, 1, 0)</f>
        <v>0</v>
      </c>
      <c r="L438">
        <f>IF(Convert_to_Games[[#This Row],[DD]]=0, 0, IF(L437 = "Cons DD", Convert_to_Games[[#This Row],[DD]], L437+L437))</f>
        <v>0</v>
      </c>
    </row>
    <row r="439" spans="1:12">
      <c r="A439" t="s">
        <v>25</v>
      </c>
      <c r="B439" t="s">
        <v>20</v>
      </c>
      <c r="C439" t="s">
        <v>116</v>
      </c>
      <c r="D439" s="9">
        <v>45873</v>
      </c>
      <c r="E439">
        <v>195</v>
      </c>
      <c r="F439" t="s">
        <v>9</v>
      </c>
      <c r="G439">
        <v>3</v>
      </c>
      <c r="H439" t="s">
        <v>5</v>
      </c>
      <c r="I439">
        <v>5</v>
      </c>
      <c r="J439">
        <v>0</v>
      </c>
      <c r="K439">
        <f>IF(Convert_to_Games[[#This Row],[Total Score]]&gt;9, 1, 0)</f>
        <v>0</v>
      </c>
      <c r="L439">
        <f>IF(Convert_to_Games[[#This Row],[DD]]=0, 0, IF(L438 = "Cons DD", Convert_to_Games[[#This Row],[DD]], L438+L438))</f>
        <v>0</v>
      </c>
    </row>
    <row r="440" spans="1:12">
      <c r="A440" t="s">
        <v>25</v>
      </c>
      <c r="B440">
        <v>256</v>
      </c>
      <c r="C440" t="s">
        <v>116</v>
      </c>
      <c r="D440" s="9">
        <v>45926</v>
      </c>
      <c r="E440">
        <v>226</v>
      </c>
      <c r="F440" t="s">
        <v>94</v>
      </c>
      <c r="G440">
        <v>3</v>
      </c>
      <c r="H440" t="s">
        <v>4</v>
      </c>
      <c r="I440">
        <v>5</v>
      </c>
      <c r="J440">
        <v>0</v>
      </c>
      <c r="K440">
        <f>IF(Convert_to_Games[[#This Row],[Total Score]]&gt;9, 1, 0)</f>
        <v>0</v>
      </c>
      <c r="L440">
        <f>IF(Convert_to_Games[[#This Row],[DD]]=0, 0, IF(L439 = "Cons DD", Convert_to_Games[[#This Row],[DD]], L439+L439))</f>
        <v>0</v>
      </c>
    </row>
    <row r="441" spans="1:12">
      <c r="A441" t="s">
        <v>25</v>
      </c>
      <c r="B441">
        <v>256</v>
      </c>
      <c r="C441" t="s">
        <v>116</v>
      </c>
      <c r="D441" s="9">
        <v>45954</v>
      </c>
      <c r="E441">
        <v>235</v>
      </c>
      <c r="F441" t="s">
        <v>8</v>
      </c>
      <c r="G441">
        <v>3</v>
      </c>
      <c r="H441" t="s">
        <v>6</v>
      </c>
      <c r="I441">
        <v>5</v>
      </c>
      <c r="J441">
        <v>0</v>
      </c>
      <c r="K441">
        <f>IF(Convert_to_Games[[#This Row],[Total Score]]&gt;9, 1, 0)</f>
        <v>0</v>
      </c>
      <c r="L441">
        <f>IF(Convert_to_Games[[#This Row],[DD]]=0, 0, IF(L440 = "Cons DD", Convert_to_Games[[#This Row],[DD]], L440+L440))</f>
        <v>0</v>
      </c>
    </row>
    <row r="442" spans="1:12">
      <c r="A442" t="s">
        <v>25</v>
      </c>
      <c r="B442">
        <v>256</v>
      </c>
      <c r="C442" t="s">
        <v>116</v>
      </c>
      <c r="D442" s="9">
        <v>46006</v>
      </c>
      <c r="E442">
        <v>252</v>
      </c>
      <c r="F442" t="s">
        <v>121</v>
      </c>
      <c r="G442">
        <v>3</v>
      </c>
      <c r="H442" t="s">
        <v>6</v>
      </c>
      <c r="I442">
        <v>5</v>
      </c>
      <c r="J442">
        <v>0</v>
      </c>
      <c r="K442">
        <f>IF(Convert_to_Games[[#This Row],[Total Score]]&gt;9, 1, 0)</f>
        <v>0</v>
      </c>
      <c r="L442">
        <f>IF(Convert_to_Games[[#This Row],[DD]]=0, 0, IF(L441 = "Cons DD", Convert_to_Games[[#This Row],[DD]], L441+L441))</f>
        <v>0</v>
      </c>
    </row>
    <row r="443" spans="1:12">
      <c r="A443" t="s">
        <v>25</v>
      </c>
      <c r="B443">
        <v>256</v>
      </c>
      <c r="C443" t="s">
        <v>116</v>
      </c>
      <c r="D443" s="9">
        <v>46059</v>
      </c>
      <c r="E443">
        <v>261</v>
      </c>
      <c r="F443" t="s">
        <v>9</v>
      </c>
      <c r="G443">
        <v>3</v>
      </c>
      <c r="H443" t="s">
        <v>5</v>
      </c>
      <c r="I443">
        <v>5</v>
      </c>
      <c r="J443">
        <v>0</v>
      </c>
      <c r="K443">
        <f>IF(Convert_to_Games[[#This Row],[Total Score]]&gt;9, 1, 0)</f>
        <v>0</v>
      </c>
      <c r="L443">
        <f>IF(Convert_to_Games[[#This Row],[DD]]=0, 0, IF(L442 = "Cons DD", Convert_to_Games[[#This Row],[DD]], L442+L442))</f>
        <v>0</v>
      </c>
    </row>
    <row r="444" spans="1:12">
      <c r="A444" t="s">
        <v>25</v>
      </c>
      <c r="B444">
        <v>256</v>
      </c>
      <c r="C444" t="s">
        <v>116</v>
      </c>
      <c r="D444" s="9">
        <v>46085</v>
      </c>
      <c r="E444">
        <v>269</v>
      </c>
      <c r="F444" t="s">
        <v>84</v>
      </c>
      <c r="G444">
        <v>3</v>
      </c>
      <c r="H444" t="s">
        <v>5</v>
      </c>
      <c r="I444">
        <v>5</v>
      </c>
      <c r="J444">
        <v>0</v>
      </c>
      <c r="K444">
        <f>IF(Convert_to_Games[[#This Row],[Total Score]]&gt;9, 1, 0)</f>
        <v>0</v>
      </c>
      <c r="L444">
        <f>IF(Convert_to_Games[[#This Row],[DD]]=0, 0, IF(L443 = "Cons DD", Convert_to_Games[[#This Row],[DD]], L443+L443))</f>
        <v>0</v>
      </c>
    </row>
    <row r="445" spans="1:12">
      <c r="A445" t="s">
        <v>25</v>
      </c>
      <c r="B445">
        <v>256</v>
      </c>
      <c r="C445" t="s">
        <v>116</v>
      </c>
      <c r="D445" s="9">
        <v>46085</v>
      </c>
      <c r="E445">
        <v>269</v>
      </c>
      <c r="F445" t="s">
        <v>84</v>
      </c>
      <c r="G445">
        <v>3</v>
      </c>
      <c r="H445" t="s">
        <v>6</v>
      </c>
      <c r="I445">
        <v>5</v>
      </c>
      <c r="J445">
        <v>0</v>
      </c>
      <c r="K445">
        <f>IF(Convert_to_Games[[#This Row],[Total Score]]&gt;9, 1, 0)</f>
        <v>0</v>
      </c>
      <c r="L445">
        <f>IF(Convert_to_Games[[#This Row],[DD]]=0, 0, IF(L444 = "Cons DD", Convert_to_Games[[#This Row],[DD]], L444+L444))</f>
        <v>0</v>
      </c>
    </row>
    <row r="446" spans="1:12">
      <c r="A446" t="s">
        <v>25</v>
      </c>
      <c r="B446">
        <v>256</v>
      </c>
      <c r="C446" t="s">
        <v>116</v>
      </c>
      <c r="D446" s="9">
        <v>46121</v>
      </c>
      <c r="E446">
        <v>280</v>
      </c>
      <c r="F446" t="s">
        <v>11</v>
      </c>
      <c r="G446">
        <v>4</v>
      </c>
      <c r="H446" t="s">
        <v>5</v>
      </c>
      <c r="I446">
        <v>5</v>
      </c>
      <c r="J446">
        <v>0</v>
      </c>
      <c r="K446">
        <f>IF(Convert_to_Games[[#This Row],[Total Score]]&gt;9, 1, 0)</f>
        <v>0</v>
      </c>
      <c r="L446">
        <f>IF(Convert_to_Games[[#This Row],[DD]]=0, 0, IF(L445 = "Cons DD", Convert_to_Games[[#This Row],[DD]], L445+L445))</f>
        <v>0</v>
      </c>
    </row>
    <row r="447" spans="1:12">
      <c r="A447" t="s">
        <v>25</v>
      </c>
      <c r="B447" t="s">
        <v>20</v>
      </c>
      <c r="C447" t="s">
        <v>18</v>
      </c>
      <c r="D447" s="9">
        <v>45708</v>
      </c>
      <c r="E447">
        <v>3</v>
      </c>
      <c r="F447" t="s">
        <v>9</v>
      </c>
      <c r="G447">
        <v>3</v>
      </c>
      <c r="H447" t="s">
        <v>5</v>
      </c>
      <c r="I447">
        <v>4</v>
      </c>
      <c r="J447">
        <v>0</v>
      </c>
      <c r="K447">
        <f>IF(Convert_to_Games[[#This Row],[Total Score]]&gt;9, 1, 0)</f>
        <v>0</v>
      </c>
      <c r="L447">
        <f>IF(Convert_to_Games[[#This Row],[DD]]=0, 0, IF(L446 = "Cons DD", Convert_to_Games[[#This Row],[DD]], L446+L446))</f>
        <v>0</v>
      </c>
    </row>
    <row r="448" spans="1:12">
      <c r="A448" t="s">
        <v>25</v>
      </c>
      <c r="B448" t="s">
        <v>20</v>
      </c>
      <c r="C448" t="s">
        <v>18</v>
      </c>
      <c r="D448" s="9">
        <v>45708</v>
      </c>
      <c r="E448">
        <v>4</v>
      </c>
      <c r="F448" t="s">
        <v>8</v>
      </c>
      <c r="G448">
        <v>3</v>
      </c>
      <c r="H448" t="s">
        <v>4</v>
      </c>
      <c r="I448">
        <v>4</v>
      </c>
      <c r="J448">
        <v>0</v>
      </c>
      <c r="K448">
        <f>IF(Convert_to_Games[[#This Row],[Total Score]]&gt;9, 1, 0)</f>
        <v>0</v>
      </c>
      <c r="L448">
        <f>IF(Convert_to_Games[[#This Row],[DD]]=0, 0, IF(L447 = "Cons DD", Convert_to_Games[[#This Row],[DD]], L447+L447))</f>
        <v>0</v>
      </c>
    </row>
    <row r="449" spans="1:12">
      <c r="A449" t="s">
        <v>25</v>
      </c>
      <c r="B449" t="s">
        <v>20</v>
      </c>
      <c r="C449" t="s">
        <v>18</v>
      </c>
      <c r="D449" s="9">
        <v>45709</v>
      </c>
      <c r="E449">
        <v>6</v>
      </c>
      <c r="F449" t="s">
        <v>9</v>
      </c>
      <c r="G449">
        <v>3</v>
      </c>
      <c r="H449" t="s">
        <v>5</v>
      </c>
      <c r="I449">
        <v>4</v>
      </c>
      <c r="J449">
        <v>0</v>
      </c>
      <c r="K449">
        <f>IF(Convert_to_Games[[#This Row],[Total Score]]&gt;9, 1, 0)</f>
        <v>0</v>
      </c>
      <c r="L449">
        <f>IF(Convert_to_Games[[#This Row],[DD]]=0, 0, IF(L448 = "Cons DD", Convert_to_Games[[#This Row],[DD]], L448+L448))</f>
        <v>0</v>
      </c>
    </row>
    <row r="450" spans="1:12">
      <c r="A450" t="s">
        <v>25</v>
      </c>
      <c r="B450" t="s">
        <v>20</v>
      </c>
      <c r="C450" t="s">
        <v>18</v>
      </c>
      <c r="D450" s="9">
        <v>45713</v>
      </c>
      <c r="E450">
        <v>9</v>
      </c>
      <c r="F450" t="s">
        <v>8</v>
      </c>
      <c r="G450">
        <v>3</v>
      </c>
      <c r="H450" t="s">
        <v>6</v>
      </c>
      <c r="I450">
        <v>4</v>
      </c>
      <c r="J450">
        <v>0</v>
      </c>
      <c r="K450">
        <f>IF(Convert_to_Games[[#This Row],[Total Score]]&gt;9, 1, 0)</f>
        <v>0</v>
      </c>
      <c r="L450">
        <f>IF(Convert_to_Games[[#This Row],[DD]]=0, 0, IF(L449 = "Cons DD", Convert_to_Games[[#This Row],[DD]], L449+L449))</f>
        <v>0</v>
      </c>
    </row>
    <row r="451" spans="1:12">
      <c r="A451" t="s">
        <v>25</v>
      </c>
      <c r="B451" t="s">
        <v>20</v>
      </c>
      <c r="C451" t="s">
        <v>16</v>
      </c>
      <c r="D451" s="9">
        <v>45722</v>
      </c>
      <c r="E451">
        <v>18</v>
      </c>
      <c r="F451" t="s">
        <v>11</v>
      </c>
      <c r="G451">
        <v>3</v>
      </c>
      <c r="H451" t="s">
        <v>5</v>
      </c>
      <c r="I451">
        <v>4</v>
      </c>
      <c r="J451">
        <v>0</v>
      </c>
      <c r="K451">
        <f>IF(Convert_to_Games[[#This Row],[Total Score]]&gt;9, 1, 0)</f>
        <v>0</v>
      </c>
      <c r="L451">
        <f>IF(Convert_to_Games[[#This Row],[DD]]=0, 0, IF(L450 = "Cons DD", Convert_to_Games[[#This Row],[DD]], L450+L450))</f>
        <v>0</v>
      </c>
    </row>
    <row r="452" spans="1:12">
      <c r="A452" t="s">
        <v>25</v>
      </c>
      <c r="B452" t="s">
        <v>20</v>
      </c>
      <c r="C452" t="s">
        <v>16</v>
      </c>
      <c r="D452" s="9">
        <v>45723</v>
      </c>
      <c r="E452">
        <v>20</v>
      </c>
      <c r="F452" t="s">
        <v>9</v>
      </c>
      <c r="G452">
        <v>3</v>
      </c>
      <c r="H452" t="s">
        <v>4</v>
      </c>
      <c r="I452">
        <v>4</v>
      </c>
      <c r="J452">
        <v>1</v>
      </c>
      <c r="K452">
        <f>IF(Convert_to_Games[[#This Row],[Total Score]]&gt;9, 1, 0)</f>
        <v>0</v>
      </c>
      <c r="L452">
        <f>IF(Convert_to_Games[[#This Row],[DD]]=0, 0, IF(L451 = "Cons DD", Convert_to_Games[[#This Row],[DD]], L451+L451))</f>
        <v>0</v>
      </c>
    </row>
    <row r="453" spans="1:12">
      <c r="A453" t="s">
        <v>25</v>
      </c>
      <c r="B453" t="s">
        <v>20</v>
      </c>
      <c r="C453" t="s">
        <v>16</v>
      </c>
      <c r="D453" s="9">
        <v>45727</v>
      </c>
      <c r="E453">
        <v>22</v>
      </c>
      <c r="F453" t="s">
        <v>11</v>
      </c>
      <c r="G453">
        <v>3</v>
      </c>
      <c r="H453" t="s">
        <v>4</v>
      </c>
      <c r="I453">
        <v>4</v>
      </c>
      <c r="J453">
        <v>1</v>
      </c>
      <c r="K453">
        <f>IF(Convert_to_Games[[#This Row],[Total Score]]&gt;9, 1, 0)</f>
        <v>0</v>
      </c>
      <c r="L453">
        <f>IF(Convert_to_Games[[#This Row],[DD]]=0, 0, IF(L452 = "Cons DD", Convert_to_Games[[#This Row],[DD]], L452+L452))</f>
        <v>0</v>
      </c>
    </row>
    <row r="454" spans="1:12">
      <c r="A454" t="s">
        <v>25</v>
      </c>
      <c r="B454" t="s">
        <v>20</v>
      </c>
      <c r="C454" t="s">
        <v>16</v>
      </c>
      <c r="D454" s="9">
        <v>45742</v>
      </c>
      <c r="E454">
        <v>27</v>
      </c>
      <c r="F454" t="s">
        <v>15</v>
      </c>
      <c r="G454">
        <v>3</v>
      </c>
      <c r="H454" t="s">
        <v>6</v>
      </c>
      <c r="I454">
        <v>4</v>
      </c>
      <c r="J454">
        <v>0</v>
      </c>
      <c r="K454">
        <f>IF(Convert_to_Games[[#This Row],[Total Score]]&gt;9, 1, 0)</f>
        <v>0</v>
      </c>
      <c r="L454">
        <f>IF(Convert_to_Games[[#This Row],[DD]]=0, 0, IF(L453 = "Cons DD", Convert_to_Games[[#This Row],[DD]], L453+L453))</f>
        <v>0</v>
      </c>
    </row>
    <row r="455" spans="1:12">
      <c r="A455" t="s">
        <v>25</v>
      </c>
      <c r="B455" t="s">
        <v>20</v>
      </c>
      <c r="C455" t="s">
        <v>16</v>
      </c>
      <c r="D455" s="9">
        <v>45743</v>
      </c>
      <c r="E455">
        <v>28</v>
      </c>
      <c r="F455" t="s">
        <v>11</v>
      </c>
      <c r="G455">
        <v>3</v>
      </c>
      <c r="H455" t="s">
        <v>5</v>
      </c>
      <c r="I455">
        <v>4</v>
      </c>
      <c r="J455">
        <v>0</v>
      </c>
      <c r="K455">
        <f>IF(Convert_to_Games[[#This Row],[Total Score]]&gt;9, 1, 0)</f>
        <v>0</v>
      </c>
      <c r="L455">
        <f>IF(Convert_to_Games[[#This Row],[DD]]=0, 0, IF(L454 = "Cons DD", Convert_to_Games[[#This Row],[DD]], L454+L454))</f>
        <v>0</v>
      </c>
    </row>
    <row r="456" spans="1:12">
      <c r="A456" t="s">
        <v>25</v>
      </c>
      <c r="B456" t="s">
        <v>19</v>
      </c>
      <c r="C456" t="s">
        <v>16</v>
      </c>
      <c r="D456" s="9">
        <v>45749</v>
      </c>
      <c r="E456">
        <v>32</v>
      </c>
      <c r="F456" t="s">
        <v>9</v>
      </c>
      <c r="G456">
        <v>3</v>
      </c>
      <c r="H456" t="s">
        <v>4</v>
      </c>
      <c r="I456">
        <v>4</v>
      </c>
      <c r="J456">
        <v>0</v>
      </c>
      <c r="K456">
        <f>IF(Convert_to_Games[[#This Row],[Total Score]]&gt;9, 1, 0)</f>
        <v>0</v>
      </c>
      <c r="L456">
        <f>IF(Convert_to_Games[[#This Row],[DD]]=0, 0, IF(L455 = "Cons DD", Convert_to_Games[[#This Row],[DD]], L455+L455))</f>
        <v>0</v>
      </c>
    </row>
    <row r="457" spans="1:12">
      <c r="A457" t="s">
        <v>25</v>
      </c>
      <c r="B457" t="s">
        <v>19</v>
      </c>
      <c r="C457" t="s">
        <v>16</v>
      </c>
      <c r="D457" s="9">
        <v>45749</v>
      </c>
      <c r="E457">
        <v>33</v>
      </c>
      <c r="F457" t="s">
        <v>9</v>
      </c>
      <c r="G457">
        <v>3</v>
      </c>
      <c r="H457" t="s">
        <v>4</v>
      </c>
      <c r="I457">
        <v>4</v>
      </c>
      <c r="J457">
        <v>0</v>
      </c>
      <c r="K457">
        <f>IF(Convert_to_Games[[#This Row],[Total Score]]&gt;9, 1, 0)</f>
        <v>0</v>
      </c>
      <c r="L457">
        <f>IF(Convert_to_Games[[#This Row],[DD]]=0, 0, IF(L456 = "Cons DD", Convert_to_Games[[#This Row],[DD]], L456+L456))</f>
        <v>0</v>
      </c>
    </row>
    <row r="458" spans="1:12">
      <c r="A458" t="s">
        <v>25</v>
      </c>
      <c r="B458" t="s">
        <v>21</v>
      </c>
      <c r="C458" t="s">
        <v>16</v>
      </c>
      <c r="D458" s="9">
        <v>45755</v>
      </c>
      <c r="E458">
        <v>38</v>
      </c>
      <c r="F458" t="s">
        <v>13</v>
      </c>
      <c r="G458">
        <v>3</v>
      </c>
      <c r="H458" t="s">
        <v>5</v>
      </c>
      <c r="I458">
        <v>4</v>
      </c>
      <c r="J458">
        <v>0</v>
      </c>
      <c r="K458">
        <f>IF(Convert_to_Games[[#This Row],[Total Score]]&gt;9, 1, 0)</f>
        <v>0</v>
      </c>
      <c r="L458">
        <f>IF(Convert_to_Games[[#This Row],[DD]]=0, 0, IF(L457 = "Cons DD", Convert_to_Games[[#This Row],[DD]], L457+L457))</f>
        <v>0</v>
      </c>
    </row>
    <row r="459" spans="1:12">
      <c r="A459" t="s">
        <v>25</v>
      </c>
      <c r="B459" t="s">
        <v>21</v>
      </c>
      <c r="C459" t="s">
        <v>16</v>
      </c>
      <c r="D459" s="9">
        <v>45756</v>
      </c>
      <c r="E459">
        <v>41</v>
      </c>
      <c r="F459" t="s">
        <v>11</v>
      </c>
      <c r="G459">
        <v>3</v>
      </c>
      <c r="H459" t="s">
        <v>4</v>
      </c>
      <c r="I459">
        <v>4</v>
      </c>
      <c r="J459">
        <v>1</v>
      </c>
      <c r="K459">
        <f>IF(Convert_to_Games[[#This Row],[Total Score]]&gt;9, 1, 0)</f>
        <v>0</v>
      </c>
      <c r="L459">
        <f>IF(Convert_to_Games[[#This Row],[DD]]=0, 0, IF(L458 = "Cons DD", Convert_to_Games[[#This Row],[DD]], L458+L458))</f>
        <v>0</v>
      </c>
    </row>
    <row r="460" spans="1:12">
      <c r="A460" t="s">
        <v>25</v>
      </c>
      <c r="B460" t="s">
        <v>20</v>
      </c>
      <c r="C460" t="s">
        <v>16</v>
      </c>
      <c r="D460" s="9">
        <v>45761</v>
      </c>
      <c r="E460">
        <v>43</v>
      </c>
      <c r="F460" t="s">
        <v>33</v>
      </c>
      <c r="G460">
        <v>3</v>
      </c>
      <c r="H460" t="s">
        <v>7</v>
      </c>
      <c r="I460">
        <v>4</v>
      </c>
      <c r="J460">
        <v>0</v>
      </c>
      <c r="K460">
        <f>IF(Convert_to_Games[[#This Row],[Total Score]]&gt;9, 1, 0)</f>
        <v>0</v>
      </c>
      <c r="L460">
        <f>IF(Convert_to_Games[[#This Row],[DD]]=0, 0, IF(L459 = "Cons DD", Convert_to_Games[[#This Row],[DD]], L459+L459))</f>
        <v>0</v>
      </c>
    </row>
    <row r="461" spans="1:12">
      <c r="A461" t="s">
        <v>25</v>
      </c>
      <c r="B461" t="s">
        <v>21</v>
      </c>
      <c r="C461" t="s">
        <v>16</v>
      </c>
      <c r="D461" s="9">
        <v>45763</v>
      </c>
      <c r="E461">
        <v>48</v>
      </c>
      <c r="F461" t="s">
        <v>9</v>
      </c>
      <c r="G461">
        <v>3</v>
      </c>
      <c r="H461" t="s">
        <v>5</v>
      </c>
      <c r="I461">
        <v>4</v>
      </c>
      <c r="J461">
        <v>1</v>
      </c>
      <c r="K461">
        <f>IF(Convert_to_Games[[#This Row],[Total Score]]&gt;9, 1, 0)</f>
        <v>0</v>
      </c>
      <c r="L461">
        <f>IF(Convert_to_Games[[#This Row],[DD]]=0, 0, IF(L460 = "Cons DD", Convert_to_Games[[#This Row],[DD]], L460+L460))</f>
        <v>0</v>
      </c>
    </row>
    <row r="462" spans="1:12">
      <c r="A462" t="s">
        <v>25</v>
      </c>
      <c r="B462" t="s">
        <v>19</v>
      </c>
      <c r="C462" t="s">
        <v>16</v>
      </c>
      <c r="D462" s="9">
        <v>45763</v>
      </c>
      <c r="E462">
        <v>49</v>
      </c>
      <c r="F462" t="s">
        <v>11</v>
      </c>
      <c r="G462">
        <v>3</v>
      </c>
      <c r="H462" t="s">
        <v>5</v>
      </c>
      <c r="I462">
        <v>4</v>
      </c>
      <c r="J462">
        <v>0</v>
      </c>
      <c r="K462">
        <f>IF(Convert_to_Games[[#This Row],[Total Score]]&gt;9, 1, 0)</f>
        <v>0</v>
      </c>
      <c r="L462">
        <f>IF(Convert_to_Games[[#This Row],[DD]]=0, 0, IF(L461 = "Cons DD", Convert_to_Games[[#This Row],[DD]], L461+L461))</f>
        <v>0</v>
      </c>
    </row>
    <row r="463" spans="1:12">
      <c r="A463" t="s">
        <v>25</v>
      </c>
      <c r="B463" t="s">
        <v>19</v>
      </c>
      <c r="C463" t="s">
        <v>16</v>
      </c>
      <c r="D463" s="9">
        <v>45768</v>
      </c>
      <c r="E463">
        <v>58</v>
      </c>
      <c r="F463" t="s">
        <v>32</v>
      </c>
      <c r="G463">
        <v>5</v>
      </c>
      <c r="H463" t="s">
        <v>31</v>
      </c>
      <c r="I463">
        <v>4</v>
      </c>
      <c r="J463">
        <v>0</v>
      </c>
      <c r="K463">
        <f>IF(Convert_to_Games[[#This Row],[Total Score]]&gt;9, 1, 0)</f>
        <v>0</v>
      </c>
      <c r="L463">
        <f>IF(Convert_to_Games[[#This Row],[DD]]=0, 0, IF(L462 = "Cons DD", Convert_to_Games[[#This Row],[DD]], L462+L462))</f>
        <v>0</v>
      </c>
    </row>
    <row r="464" spans="1:12">
      <c r="A464" t="s">
        <v>25</v>
      </c>
      <c r="B464" t="s">
        <v>20</v>
      </c>
      <c r="C464" t="s">
        <v>16</v>
      </c>
      <c r="D464" s="9">
        <v>45770</v>
      </c>
      <c r="E464">
        <v>63</v>
      </c>
      <c r="F464" t="s">
        <v>11</v>
      </c>
      <c r="G464">
        <v>3</v>
      </c>
      <c r="H464" t="s">
        <v>5</v>
      </c>
      <c r="I464">
        <v>4</v>
      </c>
      <c r="J464">
        <v>0</v>
      </c>
      <c r="K464">
        <f>IF(Convert_to_Games[[#This Row],[Total Score]]&gt;9, 1, 0)</f>
        <v>0</v>
      </c>
      <c r="L464">
        <f>IF(Convert_to_Games[[#This Row],[DD]]=0, 0, IF(L463 = "Cons DD", Convert_to_Games[[#This Row],[DD]], L463+L463))</f>
        <v>0</v>
      </c>
    </row>
    <row r="465" spans="1:12">
      <c r="A465" t="s">
        <v>25</v>
      </c>
      <c r="B465" t="s">
        <v>20</v>
      </c>
      <c r="C465" t="s">
        <v>16</v>
      </c>
      <c r="D465" s="9">
        <v>45770</v>
      </c>
      <c r="E465">
        <v>65</v>
      </c>
      <c r="F465" t="s">
        <v>12</v>
      </c>
      <c r="G465">
        <v>3</v>
      </c>
      <c r="H465" t="s">
        <v>7</v>
      </c>
      <c r="I465">
        <v>4</v>
      </c>
      <c r="J465">
        <v>0</v>
      </c>
      <c r="K465">
        <f>IF(Convert_to_Games[[#This Row],[Total Score]]&gt;9, 1, 0)</f>
        <v>0</v>
      </c>
      <c r="L465">
        <f>IF(Convert_to_Games[[#This Row],[DD]]=0, 0, IF(L464 = "Cons DD", Convert_to_Games[[#This Row],[DD]], L464+L464))</f>
        <v>0</v>
      </c>
    </row>
    <row r="466" spans="1:12">
      <c r="A466" t="s">
        <v>25</v>
      </c>
      <c r="B466" t="s">
        <v>20</v>
      </c>
      <c r="C466" t="s">
        <v>16</v>
      </c>
      <c r="D466" s="9">
        <v>45771</v>
      </c>
      <c r="E466">
        <v>68</v>
      </c>
      <c r="F466" t="s">
        <v>15</v>
      </c>
      <c r="G466">
        <v>3</v>
      </c>
      <c r="H466" t="s">
        <v>6</v>
      </c>
      <c r="I466">
        <v>4</v>
      </c>
      <c r="J466">
        <v>0</v>
      </c>
      <c r="K466">
        <f>IF(Convert_to_Games[[#This Row],[Total Score]]&gt;9, 1, 0)</f>
        <v>0</v>
      </c>
      <c r="L466">
        <f>IF(Convert_to_Games[[#This Row],[DD]]=0, 0, IF(L465 = "Cons DD", Convert_to_Games[[#This Row],[DD]], L465+L465))</f>
        <v>0</v>
      </c>
    </row>
    <row r="467" spans="1:12">
      <c r="A467" t="s">
        <v>25</v>
      </c>
      <c r="B467" t="s">
        <v>20</v>
      </c>
      <c r="C467" t="s">
        <v>16</v>
      </c>
      <c r="D467" s="9">
        <v>45771</v>
      </c>
      <c r="E467">
        <v>69</v>
      </c>
      <c r="F467" t="s">
        <v>8</v>
      </c>
      <c r="G467">
        <v>3</v>
      </c>
      <c r="H467" t="s">
        <v>6</v>
      </c>
      <c r="I467">
        <v>4</v>
      </c>
      <c r="J467">
        <v>0</v>
      </c>
      <c r="K467">
        <f>IF(Convert_to_Games[[#This Row],[Total Score]]&gt;9, 1, 0)</f>
        <v>0</v>
      </c>
      <c r="L467">
        <f>IF(Convert_to_Games[[#This Row],[DD]]=0, 0, IF(L466 = "Cons DD", Convert_to_Games[[#This Row],[DD]], L466+L466))</f>
        <v>0</v>
      </c>
    </row>
    <row r="468" spans="1:12">
      <c r="A468" t="s">
        <v>25</v>
      </c>
      <c r="B468" t="s">
        <v>20</v>
      </c>
      <c r="C468" t="s">
        <v>16</v>
      </c>
      <c r="D468" s="9">
        <v>45775</v>
      </c>
      <c r="E468">
        <v>72</v>
      </c>
      <c r="F468" t="s">
        <v>12</v>
      </c>
      <c r="G468">
        <v>3</v>
      </c>
      <c r="H468" t="s">
        <v>4</v>
      </c>
      <c r="I468">
        <v>4</v>
      </c>
      <c r="J468">
        <v>1</v>
      </c>
      <c r="K468">
        <f>IF(Convert_to_Games[[#This Row],[Total Score]]&gt;9, 1, 0)</f>
        <v>0</v>
      </c>
      <c r="L468">
        <f>IF(Convert_to_Games[[#This Row],[DD]]=0, 0, IF(L467 = "Cons DD", Convert_to_Games[[#This Row],[DD]], L467+L467))</f>
        <v>0</v>
      </c>
    </row>
    <row r="469" spans="1:12">
      <c r="A469" t="s">
        <v>25</v>
      </c>
      <c r="B469" t="s">
        <v>20</v>
      </c>
      <c r="C469" t="s">
        <v>16</v>
      </c>
      <c r="D469" s="9">
        <v>45776</v>
      </c>
      <c r="E469">
        <v>78</v>
      </c>
      <c r="F469" t="s">
        <v>58</v>
      </c>
      <c r="G469">
        <v>3</v>
      </c>
      <c r="H469" t="s">
        <v>7</v>
      </c>
      <c r="I469">
        <v>4</v>
      </c>
      <c r="J469">
        <v>0</v>
      </c>
      <c r="K469">
        <f>IF(Convert_to_Games[[#This Row],[Total Score]]&gt;9, 1, 0)</f>
        <v>0</v>
      </c>
      <c r="L469">
        <f>IF(Convert_to_Games[[#This Row],[DD]]=0, 0, IF(L468 = "Cons DD", Convert_to_Games[[#This Row],[DD]], L468+L468))</f>
        <v>0</v>
      </c>
    </row>
    <row r="470" spans="1:12">
      <c r="A470" t="s">
        <v>25</v>
      </c>
      <c r="B470" t="s">
        <v>20</v>
      </c>
      <c r="C470" t="s">
        <v>16</v>
      </c>
      <c r="D470" s="9">
        <v>45777</v>
      </c>
      <c r="E470">
        <v>80</v>
      </c>
      <c r="F470" t="s">
        <v>8</v>
      </c>
      <c r="G470">
        <v>3</v>
      </c>
      <c r="H470" t="s">
        <v>6</v>
      </c>
      <c r="I470">
        <v>4</v>
      </c>
      <c r="J470">
        <v>0</v>
      </c>
      <c r="K470">
        <f>IF(Convert_to_Games[[#This Row],[Total Score]]&gt;9, 1, 0)</f>
        <v>0</v>
      </c>
      <c r="L470">
        <f>IF(Convert_to_Games[[#This Row],[DD]]=0, 0, IF(L469 = "Cons DD", Convert_to_Games[[#This Row],[DD]], L469+L469))</f>
        <v>0</v>
      </c>
    </row>
    <row r="471" spans="1:12">
      <c r="A471" t="s">
        <v>25</v>
      </c>
      <c r="B471" t="s">
        <v>21</v>
      </c>
      <c r="C471" t="s">
        <v>16</v>
      </c>
      <c r="D471" s="9">
        <v>45778</v>
      </c>
      <c r="E471">
        <v>86</v>
      </c>
      <c r="F471" t="s">
        <v>11</v>
      </c>
      <c r="G471">
        <v>3</v>
      </c>
      <c r="H471" t="s">
        <v>5</v>
      </c>
      <c r="I471">
        <v>4</v>
      </c>
      <c r="J471">
        <v>0</v>
      </c>
      <c r="K471">
        <f>IF(Convert_to_Games[[#This Row],[Total Score]]&gt;9, 1, 0)</f>
        <v>0</v>
      </c>
      <c r="L471">
        <f>IF(Convert_to_Games[[#This Row],[DD]]=0, 0, IF(L470 = "Cons DD", Convert_to_Games[[#This Row],[DD]], L470+L470))</f>
        <v>0</v>
      </c>
    </row>
    <row r="472" spans="1:12">
      <c r="A472" t="s">
        <v>25</v>
      </c>
      <c r="B472" t="s">
        <v>21</v>
      </c>
      <c r="C472" t="s">
        <v>16</v>
      </c>
      <c r="D472" s="9">
        <v>45778</v>
      </c>
      <c r="E472">
        <v>87</v>
      </c>
      <c r="F472" t="s">
        <v>9</v>
      </c>
      <c r="G472">
        <v>3</v>
      </c>
      <c r="H472" t="s">
        <v>4</v>
      </c>
      <c r="I472">
        <v>4</v>
      </c>
      <c r="J472">
        <v>1</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5</v>
      </c>
      <c r="I473">
        <v>4</v>
      </c>
      <c r="J473">
        <v>1</v>
      </c>
      <c r="K473">
        <f>IF(Convert_to_Games[[#This Row],[Total Score]]&gt;9, 1, 0)</f>
        <v>0</v>
      </c>
      <c r="L473">
        <f>IF(Convert_to_Games[[#This Row],[DD]]=0, 0, IF(L472 = "Cons DD", Convert_to_Games[[#This Row],[DD]], L472+L472))</f>
        <v>0</v>
      </c>
    </row>
    <row r="474" spans="1:12">
      <c r="A474" t="s">
        <v>25</v>
      </c>
      <c r="B474" t="s">
        <v>20</v>
      </c>
      <c r="C474" t="s">
        <v>16</v>
      </c>
      <c r="D474" s="9">
        <v>45799</v>
      </c>
      <c r="E474">
        <v>104</v>
      </c>
      <c r="F474" t="s">
        <v>71</v>
      </c>
      <c r="G474">
        <v>3</v>
      </c>
      <c r="H474" t="s">
        <v>5</v>
      </c>
      <c r="I474">
        <v>4</v>
      </c>
      <c r="J474">
        <v>1</v>
      </c>
      <c r="K474">
        <f>IF(Convert_to_Games[[#This Row],[Total Score]]&gt;9, 1, 0)</f>
        <v>0</v>
      </c>
      <c r="L474">
        <f>IF(Convert_to_Games[[#This Row],[DD]]=0, 0, IF(L473 = "Cons DD", Convert_to_Games[[#This Row],[DD]], L473+L473))</f>
        <v>0</v>
      </c>
    </row>
    <row r="475" spans="1:12">
      <c r="A475" t="s">
        <v>25</v>
      </c>
      <c r="B475" t="s">
        <v>20</v>
      </c>
      <c r="C475" t="s">
        <v>16</v>
      </c>
      <c r="D475" s="9">
        <v>45824</v>
      </c>
      <c r="E475">
        <v>111</v>
      </c>
      <c r="F475" t="s">
        <v>9</v>
      </c>
      <c r="G475">
        <v>3</v>
      </c>
      <c r="H475" t="s">
        <v>5</v>
      </c>
      <c r="I475">
        <v>4</v>
      </c>
      <c r="J475">
        <v>0</v>
      </c>
      <c r="K475">
        <f>IF(Convert_to_Games[[#This Row],[Total Score]]&gt;9, 1, 0)</f>
        <v>0</v>
      </c>
      <c r="L475">
        <f>IF(Convert_to_Games[[#This Row],[DD]]=0, 0, IF(L474 = "Cons DD", Convert_to_Games[[#This Row],[DD]], L474+L474))</f>
        <v>0</v>
      </c>
    </row>
    <row r="476" spans="1:12">
      <c r="A476" t="s">
        <v>25</v>
      </c>
      <c r="B476" t="s">
        <v>20</v>
      </c>
      <c r="C476" t="s">
        <v>16</v>
      </c>
      <c r="D476" s="9">
        <v>45824</v>
      </c>
      <c r="E476">
        <v>112</v>
      </c>
      <c r="F476" t="s">
        <v>59</v>
      </c>
      <c r="G476">
        <v>3</v>
      </c>
      <c r="H476" t="s">
        <v>6</v>
      </c>
      <c r="I476">
        <v>4</v>
      </c>
      <c r="J476">
        <v>0</v>
      </c>
      <c r="K476">
        <f>IF(Convert_to_Games[[#This Row],[Total Score]]&gt;9, 1, 0)</f>
        <v>0</v>
      </c>
      <c r="L476">
        <f>IF(Convert_to_Games[[#This Row],[DD]]=0, 0, IF(L475 = "Cons DD", Convert_to_Games[[#This Row],[DD]], L475+L475))</f>
        <v>0</v>
      </c>
    </row>
    <row r="477" spans="1:12">
      <c r="A477" t="s">
        <v>25</v>
      </c>
      <c r="B477" t="s">
        <v>20</v>
      </c>
      <c r="C477" t="s">
        <v>16</v>
      </c>
      <c r="D477" s="9">
        <v>45832</v>
      </c>
      <c r="E477">
        <v>127</v>
      </c>
      <c r="F477" t="s">
        <v>84</v>
      </c>
      <c r="G477">
        <v>3</v>
      </c>
      <c r="H477" t="s">
        <v>6</v>
      </c>
      <c r="I477">
        <v>4</v>
      </c>
      <c r="J477">
        <v>0</v>
      </c>
      <c r="K477">
        <f>IF(Convert_to_Games[[#This Row],[Total Score]]&gt;9, 1, 0)</f>
        <v>0</v>
      </c>
      <c r="L477">
        <f>IF(Convert_to_Games[[#This Row],[DD]]=0, 0, IF(L476 = "Cons DD", Convert_to_Games[[#This Row],[DD]], L476+L476))</f>
        <v>0</v>
      </c>
    </row>
    <row r="478" spans="1:12">
      <c r="A478" t="s">
        <v>25</v>
      </c>
      <c r="B478" t="s">
        <v>20</v>
      </c>
      <c r="C478" t="s">
        <v>16</v>
      </c>
      <c r="D478" s="9">
        <v>45834</v>
      </c>
      <c r="E478">
        <v>132</v>
      </c>
      <c r="F478" t="s">
        <v>100</v>
      </c>
      <c r="G478">
        <v>3</v>
      </c>
      <c r="H478" t="s">
        <v>5</v>
      </c>
      <c r="I478">
        <v>4</v>
      </c>
      <c r="J478">
        <v>0</v>
      </c>
      <c r="K478">
        <f>IF(Convert_to_Games[[#This Row],[Total Score]]&gt;9, 1, 0)</f>
        <v>0</v>
      </c>
      <c r="L478">
        <f>IF(Convert_to_Games[[#This Row],[DD]]=0, 0, IF(L477 = "Cons DD", Convert_to_Games[[#This Row],[DD]], L477+L477))</f>
        <v>0</v>
      </c>
    </row>
    <row r="479" spans="1:12">
      <c r="A479" t="s">
        <v>25</v>
      </c>
      <c r="B479" t="s">
        <v>20</v>
      </c>
      <c r="C479" t="s">
        <v>16</v>
      </c>
      <c r="D479" s="9">
        <v>45834</v>
      </c>
      <c r="E479">
        <v>132</v>
      </c>
      <c r="F479" t="s">
        <v>100</v>
      </c>
      <c r="G479">
        <v>3</v>
      </c>
      <c r="H479" t="s">
        <v>78</v>
      </c>
      <c r="I479">
        <v>4</v>
      </c>
      <c r="J479">
        <v>0</v>
      </c>
      <c r="K479">
        <f>IF(Convert_to_Games[[#This Row],[Total Score]]&gt;9, 1, 0)</f>
        <v>0</v>
      </c>
      <c r="L479">
        <f>IF(Convert_to_Games[[#This Row],[DD]]=0, 0, IF(L478 = "Cons DD", Convert_to_Games[[#This Row],[DD]], L478+L478))</f>
        <v>0</v>
      </c>
    </row>
    <row r="480" spans="1:12">
      <c r="A480" t="s">
        <v>25</v>
      </c>
      <c r="B480" t="s">
        <v>20</v>
      </c>
      <c r="C480" t="s">
        <v>16</v>
      </c>
      <c r="D480" s="9">
        <v>45834</v>
      </c>
      <c r="E480">
        <v>133</v>
      </c>
      <c r="F480" t="s">
        <v>11</v>
      </c>
      <c r="G480">
        <v>3</v>
      </c>
      <c r="H480" t="s">
        <v>5</v>
      </c>
      <c r="I480">
        <v>4</v>
      </c>
      <c r="J480">
        <v>0</v>
      </c>
      <c r="K480">
        <f>IF(Convert_to_Games[[#This Row],[Total Score]]&gt;9, 1, 0)</f>
        <v>0</v>
      </c>
      <c r="L480">
        <f>IF(Convert_to_Games[[#This Row],[DD]]=0, 0, IF(L479 = "Cons DD", Convert_to_Games[[#This Row],[DD]], L479+L479))</f>
        <v>0</v>
      </c>
    </row>
    <row r="481" spans="1:12">
      <c r="A481" t="s">
        <v>25</v>
      </c>
      <c r="B481" t="s">
        <v>19</v>
      </c>
      <c r="C481" t="s">
        <v>16</v>
      </c>
      <c r="D481" s="9">
        <v>45835</v>
      </c>
      <c r="E481">
        <v>136</v>
      </c>
      <c r="F481" t="s">
        <v>9</v>
      </c>
      <c r="G481">
        <v>3</v>
      </c>
      <c r="H481" t="s">
        <v>4</v>
      </c>
      <c r="I481">
        <v>4</v>
      </c>
      <c r="J481">
        <v>0</v>
      </c>
      <c r="K481">
        <f>IF(Convert_to_Games[[#This Row],[Total Score]]&gt;9, 1, 0)</f>
        <v>0</v>
      </c>
      <c r="L481">
        <f>IF(Convert_to_Games[[#This Row],[DD]]=0, 0, IF(L480 = "Cons DD", Convert_to_Games[[#This Row],[DD]], L480+L480))</f>
        <v>0</v>
      </c>
    </row>
    <row r="482" spans="1:12">
      <c r="A482" t="s">
        <v>25</v>
      </c>
      <c r="B482" t="s">
        <v>20</v>
      </c>
      <c r="C482" t="s">
        <v>16</v>
      </c>
      <c r="D482" s="9">
        <v>45838</v>
      </c>
      <c r="E482">
        <v>139</v>
      </c>
      <c r="F482" t="s">
        <v>8</v>
      </c>
      <c r="G482">
        <v>3</v>
      </c>
      <c r="H482" t="s">
        <v>4</v>
      </c>
      <c r="I482">
        <v>4</v>
      </c>
      <c r="J482">
        <v>0</v>
      </c>
      <c r="K482">
        <f>IF(Convert_to_Games[[#This Row],[Total Score]]&gt;9, 1, 0)</f>
        <v>0</v>
      </c>
      <c r="L482">
        <f>IF(Convert_to_Games[[#This Row],[DD]]=0, 0, IF(L481 = "Cons DD", Convert_to_Games[[#This Row],[DD]], L481+L481))</f>
        <v>0</v>
      </c>
    </row>
    <row r="483" spans="1:12">
      <c r="A483" t="s">
        <v>25</v>
      </c>
      <c r="B483" t="s">
        <v>20</v>
      </c>
      <c r="C483" t="s">
        <v>16</v>
      </c>
      <c r="D483" s="9">
        <v>45838</v>
      </c>
      <c r="E483">
        <v>139</v>
      </c>
      <c r="F483" t="s">
        <v>8</v>
      </c>
      <c r="G483">
        <v>3</v>
      </c>
      <c r="H483" t="s">
        <v>5</v>
      </c>
      <c r="I483">
        <v>4</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142</v>
      </c>
      <c r="F484" t="s">
        <v>106</v>
      </c>
      <c r="G484">
        <v>3</v>
      </c>
      <c r="H484" t="s">
        <v>6</v>
      </c>
      <c r="I484">
        <v>4</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143</v>
      </c>
      <c r="F485" t="s">
        <v>107</v>
      </c>
      <c r="G485">
        <v>3</v>
      </c>
      <c r="H485" t="s">
        <v>4</v>
      </c>
      <c r="I485">
        <v>4</v>
      </c>
      <c r="J485">
        <v>0</v>
      </c>
      <c r="K485">
        <f>IF(Convert_to_Games[[#This Row],[Total Score]]&gt;9, 1, 0)</f>
        <v>0</v>
      </c>
      <c r="L485">
        <f>IF(Convert_to_Games[[#This Row],[DD]]=0, 0, IF(L484 = "Cons DD", Convert_to_Games[[#This Row],[DD]], L484+L484))</f>
        <v>0</v>
      </c>
    </row>
    <row r="486" spans="1:12">
      <c r="A486" t="s">
        <v>25</v>
      </c>
      <c r="B486" t="s">
        <v>20</v>
      </c>
      <c r="C486" t="s">
        <v>16</v>
      </c>
      <c r="D486" s="9">
        <v>45841</v>
      </c>
      <c r="E486">
        <v>145</v>
      </c>
      <c r="F486" t="s">
        <v>108</v>
      </c>
      <c r="G486">
        <v>3</v>
      </c>
      <c r="H486" t="s">
        <v>5</v>
      </c>
      <c r="I486">
        <v>4</v>
      </c>
      <c r="J486">
        <v>0</v>
      </c>
      <c r="K486">
        <f>IF(Convert_to_Games[[#This Row],[Total Score]]&gt;9, 1, 0)</f>
        <v>0</v>
      </c>
      <c r="L486">
        <f>IF(Convert_to_Games[[#This Row],[DD]]=0, 0, IF(L485 = "Cons DD", Convert_to_Games[[#This Row],[DD]], L485+L485))</f>
        <v>0</v>
      </c>
    </row>
    <row r="487" spans="1:12">
      <c r="A487" t="s">
        <v>25</v>
      </c>
      <c r="B487" t="s">
        <v>21</v>
      </c>
      <c r="C487" t="s">
        <v>16</v>
      </c>
      <c r="D487" s="9">
        <v>45841</v>
      </c>
      <c r="E487">
        <v>147</v>
      </c>
      <c r="F487" t="s">
        <v>100</v>
      </c>
      <c r="G487">
        <v>3</v>
      </c>
      <c r="H487" t="s">
        <v>5</v>
      </c>
      <c r="I487">
        <v>4</v>
      </c>
      <c r="J487">
        <v>0</v>
      </c>
      <c r="K487">
        <f>IF(Convert_to_Games[[#This Row],[Total Score]]&gt;9, 1, 0)</f>
        <v>0</v>
      </c>
      <c r="L487">
        <f>IF(Convert_to_Games[[#This Row],[DD]]=0, 0, IF(L486 = "Cons DD", Convert_to_Games[[#This Row],[DD]], L486+L486))</f>
        <v>0</v>
      </c>
    </row>
    <row r="488" spans="1:12">
      <c r="A488" t="s">
        <v>25</v>
      </c>
      <c r="B488" t="s">
        <v>20</v>
      </c>
      <c r="C488" t="s">
        <v>17</v>
      </c>
      <c r="D488" s="9">
        <v>45845</v>
      </c>
      <c r="E488">
        <v>148</v>
      </c>
      <c r="F488" t="s">
        <v>109</v>
      </c>
      <c r="G488">
        <v>3</v>
      </c>
      <c r="H488" t="s">
        <v>78</v>
      </c>
      <c r="I488">
        <v>4</v>
      </c>
      <c r="J488">
        <v>0</v>
      </c>
      <c r="K488">
        <f>IF(Convert_to_Games[[#This Row],[Total Score]]&gt;9, 1, 0)</f>
        <v>0</v>
      </c>
      <c r="L488">
        <f>IF(Convert_to_Games[[#This Row],[DD]]=0, 0, IF(L487 = "Cons DD", Convert_to_Games[[#This Row],[DD]], L487+L487))</f>
        <v>0</v>
      </c>
    </row>
    <row r="489" spans="1:12">
      <c r="A489" t="s">
        <v>25</v>
      </c>
      <c r="B489" t="s">
        <v>20</v>
      </c>
      <c r="C489" t="s">
        <v>16</v>
      </c>
      <c r="D489" s="9">
        <v>45847</v>
      </c>
      <c r="E489">
        <v>153</v>
      </c>
      <c r="F489" t="s">
        <v>103</v>
      </c>
      <c r="G489">
        <v>3</v>
      </c>
      <c r="H489" t="s">
        <v>4</v>
      </c>
      <c r="I489">
        <v>4</v>
      </c>
      <c r="J489">
        <v>0</v>
      </c>
      <c r="K489">
        <f>IF(Convert_to_Games[[#This Row],[Total Score]]&gt;9, 1, 0)</f>
        <v>0</v>
      </c>
      <c r="L489">
        <f>IF(Convert_to_Games[[#This Row],[DD]]=0, 0, IF(L488 = "Cons DD", Convert_to_Games[[#This Row],[DD]], L488+L488))</f>
        <v>0</v>
      </c>
    </row>
    <row r="490" spans="1:12">
      <c r="A490" t="s">
        <v>25</v>
      </c>
      <c r="B490" t="s">
        <v>21</v>
      </c>
      <c r="C490" t="s">
        <v>16</v>
      </c>
      <c r="D490" s="9">
        <v>45848</v>
      </c>
      <c r="E490">
        <v>157</v>
      </c>
      <c r="F490" t="s">
        <v>103</v>
      </c>
      <c r="G490">
        <v>5</v>
      </c>
      <c r="H490" t="s">
        <v>4</v>
      </c>
      <c r="I490">
        <v>4</v>
      </c>
      <c r="J490">
        <v>1</v>
      </c>
      <c r="K490">
        <f>IF(Convert_to_Games[[#This Row],[Total Score]]&gt;9, 1, 0)</f>
        <v>0</v>
      </c>
      <c r="L490">
        <f>IF(Convert_to_Games[[#This Row],[DD]]=0, 0, IF(L489 = "Cons DD", Convert_to_Games[[#This Row],[DD]], L489+L489))</f>
        <v>0</v>
      </c>
    </row>
    <row r="491" spans="1:12">
      <c r="A491" t="s">
        <v>25</v>
      </c>
      <c r="B491" t="s">
        <v>20</v>
      </c>
      <c r="C491" t="s">
        <v>16</v>
      </c>
      <c r="D491" s="9">
        <v>45852</v>
      </c>
      <c r="E491">
        <v>164</v>
      </c>
      <c r="F491" t="s">
        <v>111</v>
      </c>
      <c r="G491">
        <v>3</v>
      </c>
      <c r="H491" t="s">
        <v>78</v>
      </c>
      <c r="I491">
        <v>4</v>
      </c>
      <c r="J491">
        <v>1</v>
      </c>
      <c r="K491">
        <f>IF(Convert_to_Games[[#This Row],[Total Score]]&gt;9, 1, 0)</f>
        <v>0</v>
      </c>
      <c r="L491">
        <f>IF(Convert_to_Games[[#This Row],[DD]]=0, 0, IF(L490 = "Cons DD", Convert_to_Games[[#This Row],[DD]], L490+L490))</f>
        <v>0</v>
      </c>
    </row>
    <row r="492" spans="1:12">
      <c r="A492" t="s">
        <v>25</v>
      </c>
      <c r="B492" t="s">
        <v>20</v>
      </c>
      <c r="C492" t="s">
        <v>16</v>
      </c>
      <c r="D492" s="9">
        <v>45853</v>
      </c>
      <c r="E492">
        <v>165</v>
      </c>
      <c r="F492" t="s">
        <v>108</v>
      </c>
      <c r="G492">
        <v>3</v>
      </c>
      <c r="H492" t="s">
        <v>4</v>
      </c>
      <c r="I492">
        <v>4</v>
      </c>
      <c r="J492">
        <v>0</v>
      </c>
      <c r="K492">
        <f>IF(Convert_to_Games[[#This Row],[Total Score]]&gt;9, 1, 0)</f>
        <v>0</v>
      </c>
      <c r="L492">
        <f>IF(Convert_to_Games[[#This Row],[DD]]=0, 0, IF(L491 = "Cons DD", Convert_to_Games[[#This Row],[DD]], L491+L491))</f>
        <v>0</v>
      </c>
    </row>
    <row r="493" spans="1:12">
      <c r="A493" t="s">
        <v>25</v>
      </c>
      <c r="B493" t="s">
        <v>20</v>
      </c>
      <c r="C493" t="s">
        <v>16</v>
      </c>
      <c r="D493" s="9">
        <v>45855</v>
      </c>
      <c r="E493">
        <v>170</v>
      </c>
      <c r="F493" t="s">
        <v>108</v>
      </c>
      <c r="G493">
        <v>3</v>
      </c>
      <c r="H493" t="s">
        <v>4</v>
      </c>
      <c r="I493">
        <v>4</v>
      </c>
      <c r="J493">
        <v>0</v>
      </c>
      <c r="K493">
        <f>IF(Convert_to_Games[[#This Row],[Total Score]]&gt;9, 1, 0)</f>
        <v>0</v>
      </c>
      <c r="L493">
        <f>IF(Convert_to_Games[[#This Row],[DD]]=0, 0, IF(L492 = "Cons DD", Convert_to_Games[[#This Row],[DD]], L492+L492))</f>
        <v>0</v>
      </c>
    </row>
    <row r="494" spans="1:12">
      <c r="A494" t="s">
        <v>25</v>
      </c>
      <c r="B494" t="s">
        <v>19</v>
      </c>
      <c r="C494" t="s">
        <v>16</v>
      </c>
      <c r="D494" s="9">
        <v>45859</v>
      </c>
      <c r="E494">
        <v>175</v>
      </c>
      <c r="F494" t="s">
        <v>115</v>
      </c>
      <c r="G494">
        <v>3</v>
      </c>
      <c r="H494" t="s">
        <v>5</v>
      </c>
      <c r="I494">
        <v>4</v>
      </c>
      <c r="J494">
        <v>1</v>
      </c>
      <c r="K494">
        <f>IF(Convert_to_Games[[#This Row],[Total Score]]&gt;9, 1, 0)</f>
        <v>0</v>
      </c>
      <c r="L494">
        <f>IF(Convert_to_Games[[#This Row],[DD]]=0, 0, IF(L493 = "Cons DD", Convert_to_Games[[#This Row],[DD]], L493+L493))</f>
        <v>0</v>
      </c>
    </row>
    <row r="495" spans="1:12">
      <c r="A495" t="s">
        <v>25</v>
      </c>
      <c r="B495" t="s">
        <v>20</v>
      </c>
      <c r="C495" t="s">
        <v>16</v>
      </c>
      <c r="D495" s="9">
        <v>45863</v>
      </c>
      <c r="E495">
        <v>181</v>
      </c>
      <c r="F495" t="s">
        <v>71</v>
      </c>
      <c r="G495">
        <v>3</v>
      </c>
      <c r="H495" t="s">
        <v>5</v>
      </c>
      <c r="I495">
        <v>4</v>
      </c>
      <c r="J495">
        <v>1</v>
      </c>
      <c r="K495">
        <f>IF(Convert_to_Games[[#This Row],[Total Score]]&gt;9, 1, 0)</f>
        <v>0</v>
      </c>
      <c r="L495">
        <f>IF(Convert_to_Games[[#This Row],[DD]]=0, 0, IF(L494 = "Cons DD", Convert_to_Games[[#This Row],[DD]], L494+L494))</f>
        <v>0</v>
      </c>
    </row>
    <row r="496" spans="1:12">
      <c r="A496" t="s">
        <v>25</v>
      </c>
      <c r="B496" t="s">
        <v>20</v>
      </c>
      <c r="C496" t="s">
        <v>16</v>
      </c>
      <c r="D496" s="9">
        <v>45863</v>
      </c>
      <c r="E496">
        <v>182</v>
      </c>
      <c r="F496" t="s">
        <v>115</v>
      </c>
      <c r="G496">
        <v>4</v>
      </c>
      <c r="H496" t="s">
        <v>5</v>
      </c>
      <c r="I496">
        <v>4</v>
      </c>
      <c r="J496">
        <v>1</v>
      </c>
      <c r="K496">
        <f>IF(Convert_to_Games[[#This Row],[Total Score]]&gt;9, 1, 0)</f>
        <v>0</v>
      </c>
      <c r="L496">
        <f>IF(Convert_to_Games[[#This Row],[DD]]=0, 0, IF(L495 = "Cons DD", Convert_to_Games[[#This Row],[DD]], L495+L495))</f>
        <v>0</v>
      </c>
    </row>
    <row r="497" spans="1:12">
      <c r="A497" t="s">
        <v>25</v>
      </c>
      <c r="B497" t="s">
        <v>20</v>
      </c>
      <c r="C497" t="s">
        <v>116</v>
      </c>
      <c r="D497" s="9">
        <v>45868</v>
      </c>
      <c r="E497">
        <v>187</v>
      </c>
      <c r="F497" t="s">
        <v>9</v>
      </c>
      <c r="G497">
        <v>3</v>
      </c>
      <c r="H497" t="s">
        <v>5</v>
      </c>
      <c r="I497">
        <v>4</v>
      </c>
      <c r="J497">
        <v>0</v>
      </c>
      <c r="K497">
        <f>IF(Convert_to_Games[[#This Row],[Total Score]]&gt;9, 1, 0)</f>
        <v>0</v>
      </c>
      <c r="L497">
        <f>IF(Convert_to_Games[[#This Row],[DD]]=0, 0, IF(L496 = "Cons DD", Convert_to_Games[[#This Row],[DD]], L496+L496))</f>
        <v>0</v>
      </c>
    </row>
    <row r="498" spans="1:12">
      <c r="A498" t="s">
        <v>25</v>
      </c>
      <c r="B498">
        <v>256</v>
      </c>
      <c r="C498" t="s">
        <v>116</v>
      </c>
      <c r="D498" s="9">
        <v>45881</v>
      </c>
      <c r="E498">
        <v>202</v>
      </c>
      <c r="F498" t="s">
        <v>13</v>
      </c>
      <c r="G498">
        <v>3</v>
      </c>
      <c r="H498" t="s">
        <v>7</v>
      </c>
      <c r="I498">
        <v>4</v>
      </c>
      <c r="J498">
        <v>0</v>
      </c>
      <c r="K498">
        <f>IF(Convert_to_Games[[#This Row],[Total Score]]&gt;9, 1, 0)</f>
        <v>0</v>
      </c>
      <c r="L498">
        <f>IF(Convert_to_Games[[#This Row],[DD]]=0, 0, IF(L497 = "Cons DD", Convert_to_Games[[#This Row],[DD]], L497+L497))</f>
        <v>0</v>
      </c>
    </row>
    <row r="499" spans="1:12">
      <c r="A499" t="s">
        <v>25</v>
      </c>
      <c r="B499">
        <v>256</v>
      </c>
      <c r="C499" t="s">
        <v>116</v>
      </c>
      <c r="D499" s="9">
        <v>45979</v>
      </c>
      <c r="E499">
        <v>241</v>
      </c>
      <c r="F499" t="s">
        <v>118</v>
      </c>
      <c r="G499">
        <v>3</v>
      </c>
      <c r="H499" t="s">
        <v>23</v>
      </c>
      <c r="I499">
        <v>4</v>
      </c>
      <c r="J499">
        <v>0</v>
      </c>
      <c r="K499">
        <f>IF(Convert_to_Games[[#This Row],[Total Score]]&gt;9, 1, 0)</f>
        <v>0</v>
      </c>
      <c r="L499">
        <f>IF(Convert_to_Games[[#This Row],[DD]]=0, 0, IF(L498 = "Cons DD", Convert_to_Games[[#This Row],[DD]], L498+L498))</f>
        <v>0</v>
      </c>
    </row>
    <row r="500" spans="1:12">
      <c r="A500" t="s">
        <v>25</v>
      </c>
      <c r="B500">
        <v>256</v>
      </c>
      <c r="C500" t="s">
        <v>116</v>
      </c>
      <c r="D500" s="9">
        <v>46071</v>
      </c>
      <c r="E500">
        <v>263</v>
      </c>
      <c r="F500" t="s">
        <v>9</v>
      </c>
      <c r="G500">
        <v>3</v>
      </c>
      <c r="H500" t="s">
        <v>5</v>
      </c>
      <c r="I500">
        <v>4</v>
      </c>
      <c r="J500">
        <v>0</v>
      </c>
      <c r="K500">
        <f>IF(Convert_to_Games[[#This Row],[Total Score]]&gt;9, 1, 0)</f>
        <v>0</v>
      </c>
      <c r="L500">
        <f>IF(Convert_to_Games[[#This Row],[DD]]=0, 0, IF(L499 = "Cons DD", Convert_to_Games[[#This Row],[DD]], L499+L499))</f>
        <v>0</v>
      </c>
    </row>
    <row r="501" spans="1:12">
      <c r="A501" t="s">
        <v>25</v>
      </c>
      <c r="B501">
        <v>256</v>
      </c>
      <c r="C501" t="s">
        <v>116</v>
      </c>
      <c r="D501" s="9">
        <v>46091</v>
      </c>
      <c r="E501">
        <v>272</v>
      </c>
      <c r="F501" t="s">
        <v>9</v>
      </c>
      <c r="G501">
        <v>3</v>
      </c>
      <c r="H501" t="s">
        <v>5</v>
      </c>
      <c r="I501">
        <v>4</v>
      </c>
      <c r="J501">
        <v>0</v>
      </c>
      <c r="K501">
        <f>IF(Convert_to_Games[[#This Row],[Total Score]]&gt;9, 1, 0)</f>
        <v>0</v>
      </c>
      <c r="L501">
        <f>IF(Convert_to_Games[[#This Row],[DD]]=0, 0, IF(L500 = "Cons DD", Convert_to_Games[[#This Row],[DD]], L500+L500))</f>
        <v>0</v>
      </c>
    </row>
    <row r="502" spans="1:12">
      <c r="A502" t="s">
        <v>25</v>
      </c>
      <c r="B502">
        <v>256</v>
      </c>
      <c r="C502" t="s">
        <v>116</v>
      </c>
      <c r="D502" s="9">
        <v>46092</v>
      </c>
      <c r="E502">
        <v>273</v>
      </c>
      <c r="F502" t="s">
        <v>8</v>
      </c>
      <c r="G502">
        <v>4</v>
      </c>
      <c r="H502" t="s">
        <v>6</v>
      </c>
      <c r="I502">
        <v>4</v>
      </c>
      <c r="J502">
        <v>0</v>
      </c>
      <c r="K502">
        <f>IF(Convert_to_Games[[#This Row],[Total Score]]&gt;9, 1, 0)</f>
        <v>0</v>
      </c>
      <c r="L502">
        <f>IF(Convert_to_Games[[#This Row],[DD]]=0, 0, IF(L501 = "Cons DD", Convert_to_Games[[#This Row],[DD]], L501+L501))</f>
        <v>0</v>
      </c>
    </row>
    <row r="503" spans="1:12">
      <c r="A503" t="s">
        <v>25</v>
      </c>
      <c r="B503" t="s">
        <v>20</v>
      </c>
      <c r="C503" t="s">
        <v>18</v>
      </c>
      <c r="D503" s="9">
        <v>45708</v>
      </c>
      <c r="E503">
        <v>5</v>
      </c>
      <c r="F503" t="s">
        <v>10</v>
      </c>
      <c r="G503">
        <v>3</v>
      </c>
      <c r="H503" t="s">
        <v>6</v>
      </c>
      <c r="I503">
        <v>3</v>
      </c>
      <c r="J503">
        <v>0</v>
      </c>
      <c r="K503">
        <f>IF(Convert_to_Games[[#This Row],[Total Score]]&gt;9, 1, 0)</f>
        <v>0</v>
      </c>
      <c r="L503">
        <f>IF(Convert_to_Games[[#This Row],[DD]]=0, 0, IF(L502 = "Cons DD", Convert_to_Games[[#This Row],[DD]], L502+L502))</f>
        <v>0</v>
      </c>
    </row>
    <row r="504" spans="1:12">
      <c r="A504" t="s">
        <v>25</v>
      </c>
      <c r="B504" t="s">
        <v>20</v>
      </c>
      <c r="C504" t="s">
        <v>16</v>
      </c>
      <c r="D504" s="9">
        <v>45715</v>
      </c>
      <c r="E504">
        <v>12</v>
      </c>
      <c r="F504" t="s">
        <v>13</v>
      </c>
      <c r="G504">
        <v>3</v>
      </c>
      <c r="H504" t="s">
        <v>5</v>
      </c>
      <c r="I504">
        <v>3</v>
      </c>
      <c r="J504">
        <v>0</v>
      </c>
      <c r="K504">
        <f>IF(Convert_to_Games[[#This Row],[Total Score]]&gt;9, 1, 0)</f>
        <v>0</v>
      </c>
      <c r="L504">
        <f>IF(Convert_to_Games[[#This Row],[DD]]=0, 0, IF(L503 = "Cons DD", Convert_to_Games[[#This Row],[DD]], L503+L503))</f>
        <v>0</v>
      </c>
    </row>
    <row r="505" spans="1:12">
      <c r="A505" t="s">
        <v>25</v>
      </c>
      <c r="B505" t="s">
        <v>20</v>
      </c>
      <c r="C505" t="s">
        <v>16</v>
      </c>
      <c r="D505" s="9">
        <v>45715</v>
      </c>
      <c r="E505">
        <v>12</v>
      </c>
      <c r="F505" t="s">
        <v>13</v>
      </c>
      <c r="G505">
        <v>3</v>
      </c>
      <c r="H505" t="s">
        <v>7</v>
      </c>
      <c r="I505">
        <v>3</v>
      </c>
      <c r="J505">
        <v>0</v>
      </c>
      <c r="K505">
        <f>IF(Convert_to_Games[[#This Row],[Total Score]]&gt;9, 1, 0)</f>
        <v>0</v>
      </c>
      <c r="L505">
        <f>IF(Convert_to_Games[[#This Row],[DD]]=0, 0, IF(L504 = "Cons DD", Convert_to_Games[[#This Row],[DD]], L504+L504))</f>
        <v>0</v>
      </c>
    </row>
    <row r="506" spans="1:12">
      <c r="A506" t="s">
        <v>25</v>
      </c>
      <c r="B506" t="s">
        <v>20</v>
      </c>
      <c r="C506" t="s">
        <v>16</v>
      </c>
      <c r="D506" s="9">
        <v>45716</v>
      </c>
      <c r="E506">
        <v>14</v>
      </c>
      <c r="F506" t="s">
        <v>9</v>
      </c>
      <c r="G506">
        <v>3</v>
      </c>
      <c r="H506" t="s">
        <v>5</v>
      </c>
      <c r="I506">
        <v>3</v>
      </c>
      <c r="J506">
        <v>0</v>
      </c>
      <c r="K506">
        <f>IF(Convert_to_Games[[#This Row],[Total Score]]&gt;9, 1, 0)</f>
        <v>0</v>
      </c>
      <c r="L506">
        <f>IF(Convert_to_Games[[#This Row],[DD]]=0, 0, IF(L505 = "Cons DD", Convert_to_Games[[#This Row],[DD]], L505+L505))</f>
        <v>0</v>
      </c>
    </row>
    <row r="507" spans="1:12">
      <c r="A507" t="s">
        <v>25</v>
      </c>
      <c r="B507" t="s">
        <v>20</v>
      </c>
      <c r="C507" t="s">
        <v>16</v>
      </c>
      <c r="D507" s="9">
        <v>45716</v>
      </c>
      <c r="E507">
        <v>15</v>
      </c>
      <c r="F507" t="s">
        <v>11</v>
      </c>
      <c r="G507">
        <v>3</v>
      </c>
      <c r="H507" t="s">
        <v>5</v>
      </c>
      <c r="I507">
        <v>3</v>
      </c>
      <c r="J507">
        <v>0</v>
      </c>
      <c r="K507">
        <f>IF(Convert_to_Games[[#This Row],[Total Score]]&gt;9, 1, 0)</f>
        <v>0</v>
      </c>
      <c r="L507">
        <f>IF(Convert_to_Games[[#This Row],[DD]]=0, 0, IF(L506 = "Cons DD", Convert_to_Games[[#This Row],[DD]], L506+L506))</f>
        <v>0</v>
      </c>
    </row>
    <row r="508" spans="1:12">
      <c r="A508" t="s">
        <v>25</v>
      </c>
      <c r="B508" t="s">
        <v>20</v>
      </c>
      <c r="C508" t="s">
        <v>18</v>
      </c>
      <c r="D508" s="9">
        <v>45740</v>
      </c>
      <c r="E508">
        <v>25</v>
      </c>
      <c r="F508" t="s">
        <v>13</v>
      </c>
      <c r="G508">
        <v>3</v>
      </c>
      <c r="H508" t="s">
        <v>5</v>
      </c>
      <c r="I508">
        <v>3</v>
      </c>
      <c r="J508">
        <v>0</v>
      </c>
      <c r="K508">
        <f>IF(Convert_to_Games[[#This Row],[Total Score]]&gt;9, 1, 0)</f>
        <v>0</v>
      </c>
      <c r="L508">
        <f>IF(Convert_to_Games[[#This Row],[DD]]=0, 0, IF(L507 = "Cons DD", Convert_to_Games[[#This Row],[DD]], L507+L507))</f>
        <v>0</v>
      </c>
    </row>
    <row r="509" spans="1:12">
      <c r="A509" t="s">
        <v>25</v>
      </c>
      <c r="B509" t="s">
        <v>20</v>
      </c>
      <c r="C509" t="s">
        <v>16</v>
      </c>
      <c r="D509" s="9">
        <v>45762</v>
      </c>
      <c r="E509">
        <v>47</v>
      </c>
      <c r="F509" t="s">
        <v>27</v>
      </c>
      <c r="G509">
        <v>3</v>
      </c>
      <c r="H509" t="s">
        <v>5</v>
      </c>
      <c r="I509">
        <v>3</v>
      </c>
      <c r="J509">
        <v>1</v>
      </c>
      <c r="K509">
        <f>IF(Convert_to_Games[[#This Row],[Total Score]]&gt;9, 1, 0)</f>
        <v>0</v>
      </c>
      <c r="L509">
        <f>IF(Convert_to_Games[[#This Row],[DD]]=0, 0, IF(L508 = "Cons DD", Convert_to_Games[[#This Row],[DD]], L508+L508))</f>
        <v>0</v>
      </c>
    </row>
    <row r="510" spans="1:12">
      <c r="A510" t="s">
        <v>25</v>
      </c>
      <c r="B510" t="s">
        <v>21</v>
      </c>
      <c r="C510" t="s">
        <v>16</v>
      </c>
      <c r="D510" s="9">
        <v>45763</v>
      </c>
      <c r="E510">
        <v>48</v>
      </c>
      <c r="F510" t="s">
        <v>9</v>
      </c>
      <c r="G510">
        <v>3</v>
      </c>
      <c r="H510" t="s">
        <v>4</v>
      </c>
      <c r="I510">
        <v>3</v>
      </c>
      <c r="J510">
        <v>0</v>
      </c>
      <c r="K510">
        <f>IF(Convert_to_Games[[#This Row],[Total Score]]&gt;9, 1, 0)</f>
        <v>0</v>
      </c>
      <c r="L510">
        <f>IF(Convert_to_Games[[#This Row],[DD]]=0, 0, IF(L509 = "Cons DD", Convert_to_Games[[#This Row],[DD]], L509+L509))</f>
        <v>0</v>
      </c>
    </row>
    <row r="511" spans="1:12">
      <c r="A511" t="s">
        <v>25</v>
      </c>
      <c r="B511" t="s">
        <v>20</v>
      </c>
      <c r="C511" t="s">
        <v>16</v>
      </c>
      <c r="D511" s="9">
        <v>45763</v>
      </c>
      <c r="E511">
        <v>50</v>
      </c>
      <c r="F511" t="s">
        <v>11</v>
      </c>
      <c r="G511">
        <v>3</v>
      </c>
      <c r="H511" t="s">
        <v>4</v>
      </c>
      <c r="I511">
        <v>3</v>
      </c>
      <c r="J511">
        <v>0</v>
      </c>
      <c r="K511">
        <f>IF(Convert_to_Games[[#This Row],[Total Score]]&gt;9, 1, 0)</f>
        <v>0</v>
      </c>
      <c r="L511">
        <f>IF(Convert_to_Games[[#This Row],[DD]]=0, 0, IF(L510 = "Cons DD", Convert_to_Games[[#This Row],[DD]], L510+L510))</f>
        <v>0</v>
      </c>
    </row>
    <row r="512" spans="1:12">
      <c r="A512" t="s">
        <v>25</v>
      </c>
      <c r="B512" t="s">
        <v>21</v>
      </c>
      <c r="C512" t="s">
        <v>16</v>
      </c>
      <c r="D512" s="9">
        <v>45764</v>
      </c>
      <c r="E512">
        <v>54</v>
      </c>
      <c r="F512" t="s">
        <v>28</v>
      </c>
      <c r="G512">
        <v>3</v>
      </c>
      <c r="H512" t="s">
        <v>5</v>
      </c>
      <c r="I512">
        <v>3</v>
      </c>
      <c r="J512">
        <v>0</v>
      </c>
      <c r="K512">
        <f>IF(Convert_to_Games[[#This Row],[Total Score]]&gt;9, 1, 0)</f>
        <v>0</v>
      </c>
      <c r="L512">
        <f>IF(Convert_to_Games[[#This Row],[DD]]=0, 0, IF(L511 = "Cons DD", Convert_to_Games[[#This Row],[DD]], L511+L511))</f>
        <v>0</v>
      </c>
    </row>
    <row r="513" spans="1:12">
      <c r="A513" t="s">
        <v>25</v>
      </c>
      <c r="B513" t="s">
        <v>21</v>
      </c>
      <c r="C513" t="s">
        <v>16</v>
      </c>
      <c r="D513" s="9">
        <v>45764</v>
      </c>
      <c r="E513">
        <v>54</v>
      </c>
      <c r="F513" t="s">
        <v>28</v>
      </c>
      <c r="G513">
        <v>3</v>
      </c>
      <c r="H513" t="s">
        <v>7</v>
      </c>
      <c r="I513">
        <v>3</v>
      </c>
      <c r="J513">
        <v>0</v>
      </c>
      <c r="K513">
        <f>IF(Convert_to_Games[[#This Row],[Total Score]]&gt;9, 1, 0)</f>
        <v>0</v>
      </c>
      <c r="L513">
        <f>IF(Convert_to_Games[[#This Row],[DD]]=0, 0, IF(L512 = "Cons DD", Convert_to_Games[[#This Row],[DD]], L512+L512))</f>
        <v>0</v>
      </c>
    </row>
    <row r="514" spans="1:12">
      <c r="A514" t="s">
        <v>25</v>
      </c>
      <c r="B514" t="s">
        <v>19</v>
      </c>
      <c r="C514" t="s">
        <v>16</v>
      </c>
      <c r="D514" s="9">
        <v>45765</v>
      </c>
      <c r="E514">
        <v>56</v>
      </c>
      <c r="F514" t="s">
        <v>11</v>
      </c>
      <c r="G514">
        <v>3</v>
      </c>
      <c r="H514" t="s">
        <v>5</v>
      </c>
      <c r="I514">
        <v>3</v>
      </c>
      <c r="J514">
        <v>0</v>
      </c>
      <c r="K514">
        <f>IF(Convert_to_Games[[#This Row],[Total Score]]&gt;9, 1, 0)</f>
        <v>0</v>
      </c>
      <c r="L514">
        <f>IF(Convert_to_Games[[#This Row],[DD]]=0, 0, IF(L513 = "Cons DD", Convert_to_Games[[#This Row],[DD]], L513+L513))</f>
        <v>0</v>
      </c>
    </row>
    <row r="515" spans="1:12">
      <c r="A515" t="s">
        <v>25</v>
      </c>
      <c r="B515" t="s">
        <v>19</v>
      </c>
      <c r="C515" t="s">
        <v>16</v>
      </c>
      <c r="D515" s="9">
        <v>45768</v>
      </c>
      <c r="E515">
        <v>58</v>
      </c>
      <c r="F515" t="s">
        <v>32</v>
      </c>
      <c r="G515">
        <v>3</v>
      </c>
      <c r="H515" t="s">
        <v>5</v>
      </c>
      <c r="I515">
        <v>3</v>
      </c>
      <c r="J515">
        <v>0</v>
      </c>
      <c r="K515">
        <f>IF(Convert_to_Games[[#This Row],[Total Score]]&gt;9, 1, 0)</f>
        <v>0</v>
      </c>
      <c r="L515">
        <f>IF(Convert_to_Games[[#This Row],[DD]]=0, 0, IF(L514 = "Cons DD", Convert_to_Games[[#This Row],[DD]], L514+L514))</f>
        <v>0</v>
      </c>
    </row>
    <row r="516" spans="1:12">
      <c r="A516" t="s">
        <v>25</v>
      </c>
      <c r="B516" t="s">
        <v>20</v>
      </c>
      <c r="C516" t="s">
        <v>16</v>
      </c>
      <c r="D516" s="9">
        <v>45770</v>
      </c>
      <c r="E516">
        <v>65</v>
      </c>
      <c r="F516" t="s">
        <v>12</v>
      </c>
      <c r="G516">
        <v>3</v>
      </c>
      <c r="H516" t="s">
        <v>5</v>
      </c>
      <c r="I516">
        <v>3</v>
      </c>
      <c r="J516">
        <v>0</v>
      </c>
      <c r="K516">
        <f>IF(Convert_to_Games[[#This Row],[Total Score]]&gt;9, 1, 0)</f>
        <v>0</v>
      </c>
      <c r="L516">
        <f>IF(Convert_to_Games[[#This Row],[DD]]=0, 0, IF(L515 = "Cons DD", Convert_to_Games[[#This Row],[DD]], L515+L515))</f>
        <v>0</v>
      </c>
    </row>
    <row r="517" spans="1:12">
      <c r="A517" t="s">
        <v>25</v>
      </c>
      <c r="B517" t="s">
        <v>21</v>
      </c>
      <c r="C517" t="s">
        <v>16</v>
      </c>
      <c r="D517" s="9">
        <v>45771</v>
      </c>
      <c r="E517">
        <v>66</v>
      </c>
      <c r="F517" t="s">
        <v>9</v>
      </c>
      <c r="G517">
        <v>3</v>
      </c>
      <c r="H517" t="s">
        <v>5</v>
      </c>
      <c r="I517">
        <v>3</v>
      </c>
      <c r="J517">
        <v>0</v>
      </c>
      <c r="K517">
        <f>IF(Convert_to_Games[[#This Row],[Total Score]]&gt;9, 1, 0)</f>
        <v>0</v>
      </c>
      <c r="L517">
        <f>IF(Convert_to_Games[[#This Row],[DD]]=0, 0, IF(L516 = "Cons DD", Convert_to_Games[[#This Row],[DD]], L516+L516))</f>
        <v>0</v>
      </c>
    </row>
    <row r="518" spans="1:12">
      <c r="A518" t="s">
        <v>25</v>
      </c>
      <c r="B518" t="s">
        <v>19</v>
      </c>
      <c r="C518" t="s">
        <v>16</v>
      </c>
      <c r="D518" s="9">
        <v>45771</v>
      </c>
      <c r="E518">
        <v>67</v>
      </c>
      <c r="F518" t="s">
        <v>11</v>
      </c>
      <c r="G518">
        <v>3</v>
      </c>
      <c r="H518" t="s">
        <v>5</v>
      </c>
      <c r="I518">
        <v>3</v>
      </c>
      <c r="J518">
        <v>0</v>
      </c>
      <c r="K518">
        <f>IF(Convert_to_Games[[#This Row],[Total Score]]&gt;9, 1, 0)</f>
        <v>0</v>
      </c>
      <c r="L518">
        <f>IF(Convert_to_Games[[#This Row],[DD]]=0, 0, IF(L517 = "Cons DD", Convert_to_Games[[#This Row],[DD]], L517+L517))</f>
        <v>0</v>
      </c>
    </row>
    <row r="519" spans="1:12">
      <c r="A519" t="s">
        <v>25</v>
      </c>
      <c r="B519" t="s">
        <v>21</v>
      </c>
      <c r="C519" t="s">
        <v>16</v>
      </c>
      <c r="D519" s="9">
        <v>45775</v>
      </c>
      <c r="E519">
        <v>74</v>
      </c>
      <c r="F519" t="s">
        <v>33</v>
      </c>
      <c r="G519">
        <v>3</v>
      </c>
      <c r="H519" t="s">
        <v>7</v>
      </c>
      <c r="I519">
        <v>3</v>
      </c>
      <c r="J519">
        <v>0</v>
      </c>
      <c r="K519">
        <f>IF(Convert_to_Games[[#This Row],[Total Score]]&gt;9, 1, 0)</f>
        <v>0</v>
      </c>
      <c r="L519">
        <f>IF(Convert_to_Games[[#This Row],[DD]]=0, 0, IF(L518 = "Cons DD", Convert_to_Games[[#This Row],[DD]], L518+L518))</f>
        <v>0</v>
      </c>
    </row>
    <row r="520" spans="1:12">
      <c r="A520" t="s">
        <v>25</v>
      </c>
      <c r="B520" t="s">
        <v>20</v>
      </c>
      <c r="C520" t="s">
        <v>16</v>
      </c>
      <c r="D520" s="9">
        <v>45777</v>
      </c>
      <c r="E520">
        <v>80</v>
      </c>
      <c r="F520" t="s">
        <v>8</v>
      </c>
      <c r="G520">
        <v>3</v>
      </c>
      <c r="H520" t="s">
        <v>5</v>
      </c>
      <c r="I520">
        <v>3</v>
      </c>
      <c r="J520">
        <v>0</v>
      </c>
      <c r="K520">
        <f>IF(Convert_to_Games[[#This Row],[Total Score]]&gt;9, 1, 0)</f>
        <v>0</v>
      </c>
      <c r="L520">
        <f>IF(Convert_to_Games[[#This Row],[DD]]=0, 0, IF(L519 = "Cons DD", Convert_to_Games[[#This Row],[DD]], L519+L519))</f>
        <v>0</v>
      </c>
    </row>
    <row r="521" spans="1:12">
      <c r="A521" t="s">
        <v>25</v>
      </c>
      <c r="B521" t="s">
        <v>21</v>
      </c>
      <c r="C521" t="s">
        <v>16</v>
      </c>
      <c r="D521" s="9">
        <v>45778</v>
      </c>
      <c r="E521">
        <v>87</v>
      </c>
      <c r="F521" t="s">
        <v>9</v>
      </c>
      <c r="G521">
        <v>3</v>
      </c>
      <c r="H521" t="s">
        <v>5</v>
      </c>
      <c r="I521">
        <v>3</v>
      </c>
      <c r="J521">
        <v>0</v>
      </c>
      <c r="K521">
        <f>IF(Convert_to_Games[[#This Row],[Total Score]]&gt;9, 1, 0)</f>
        <v>0</v>
      </c>
      <c r="L521">
        <f>IF(Convert_to_Games[[#This Row],[DD]]=0, 0, IF(L520 = "Cons DD", Convert_to_Games[[#This Row],[DD]], L520+L520))</f>
        <v>0</v>
      </c>
    </row>
    <row r="522" spans="1:12">
      <c r="A522" t="s">
        <v>25</v>
      </c>
      <c r="B522" t="s">
        <v>20</v>
      </c>
      <c r="C522" t="s">
        <v>16</v>
      </c>
      <c r="D522" s="9">
        <v>45783</v>
      </c>
      <c r="E522">
        <v>92</v>
      </c>
      <c r="F522" t="s">
        <v>11</v>
      </c>
      <c r="G522">
        <v>3</v>
      </c>
      <c r="H522" t="s">
        <v>5</v>
      </c>
      <c r="I522">
        <v>3</v>
      </c>
      <c r="J522">
        <v>0</v>
      </c>
      <c r="K522">
        <f>IF(Convert_to_Games[[#This Row],[Total Score]]&gt;9, 1, 0)</f>
        <v>0</v>
      </c>
      <c r="L522">
        <f>IF(Convert_to_Games[[#This Row],[DD]]=0, 0, IF(L521 = "Cons DD", Convert_to_Games[[#This Row],[DD]], L521+L521))</f>
        <v>0</v>
      </c>
    </row>
    <row r="523" spans="1:12">
      <c r="A523" t="s">
        <v>25</v>
      </c>
      <c r="B523" t="s">
        <v>20</v>
      </c>
      <c r="C523" t="s">
        <v>16</v>
      </c>
      <c r="D523" s="9">
        <v>45790</v>
      </c>
      <c r="E523">
        <v>96</v>
      </c>
      <c r="F523" t="s">
        <v>9</v>
      </c>
      <c r="G523">
        <v>3</v>
      </c>
      <c r="H523" t="s">
        <v>5</v>
      </c>
      <c r="I523">
        <v>3</v>
      </c>
      <c r="J523">
        <v>0</v>
      </c>
      <c r="K523">
        <f>IF(Convert_to_Games[[#This Row],[Total Score]]&gt;9, 1, 0)</f>
        <v>0</v>
      </c>
      <c r="L523">
        <f>IF(Convert_to_Games[[#This Row],[DD]]=0, 0, IF(L522 = "Cons DD", Convert_to_Games[[#This Row],[DD]], L522+L522))</f>
        <v>0</v>
      </c>
    </row>
    <row r="524" spans="1:12">
      <c r="A524" t="s">
        <v>25</v>
      </c>
      <c r="B524" t="s">
        <v>20</v>
      </c>
      <c r="C524" t="s">
        <v>16</v>
      </c>
      <c r="D524" s="9">
        <v>45791</v>
      </c>
      <c r="E524">
        <v>98</v>
      </c>
      <c r="F524" t="s">
        <v>8</v>
      </c>
      <c r="G524">
        <v>3</v>
      </c>
      <c r="H524" t="s">
        <v>6</v>
      </c>
      <c r="I524">
        <v>3</v>
      </c>
      <c r="J524">
        <v>0</v>
      </c>
      <c r="K524">
        <f>IF(Convert_to_Games[[#This Row],[Total Score]]&gt;9, 1, 0)</f>
        <v>0</v>
      </c>
      <c r="L524">
        <f>IF(Convert_to_Games[[#This Row],[DD]]=0, 0, IF(L523 = "Cons DD", Convert_to_Games[[#This Row],[DD]], L523+L523))</f>
        <v>0</v>
      </c>
    </row>
    <row r="525" spans="1:12">
      <c r="A525" t="s">
        <v>25</v>
      </c>
      <c r="B525" t="s">
        <v>20</v>
      </c>
      <c r="C525" t="s">
        <v>16</v>
      </c>
      <c r="D525" s="9">
        <v>45791</v>
      </c>
      <c r="E525">
        <v>99</v>
      </c>
      <c r="F525" t="s">
        <v>70</v>
      </c>
      <c r="G525">
        <v>3</v>
      </c>
      <c r="H525" t="s">
        <v>4</v>
      </c>
      <c r="I525">
        <v>3</v>
      </c>
      <c r="J525">
        <v>0</v>
      </c>
      <c r="K525">
        <f>IF(Convert_to_Games[[#This Row],[Total Score]]&gt;9, 1, 0)</f>
        <v>0</v>
      </c>
      <c r="L525">
        <f>IF(Convert_to_Games[[#This Row],[DD]]=0, 0, IF(L524 = "Cons DD", Convert_to_Games[[#This Row],[DD]], L524+L524))</f>
        <v>0</v>
      </c>
    </row>
    <row r="526" spans="1:12">
      <c r="A526" t="s">
        <v>25</v>
      </c>
      <c r="B526" t="s">
        <v>20</v>
      </c>
      <c r="C526" t="s">
        <v>16</v>
      </c>
      <c r="D526" s="9">
        <v>45811</v>
      </c>
      <c r="E526">
        <v>105</v>
      </c>
      <c r="F526" t="s">
        <v>71</v>
      </c>
      <c r="G526">
        <v>3</v>
      </c>
      <c r="H526" t="s">
        <v>5</v>
      </c>
      <c r="I526">
        <v>3</v>
      </c>
      <c r="J526">
        <v>1</v>
      </c>
      <c r="K526">
        <f>IF(Convert_to_Games[[#This Row],[Total Score]]&gt;9, 1, 0)</f>
        <v>0</v>
      </c>
      <c r="L526">
        <f>IF(Convert_to_Games[[#This Row],[DD]]=0, 0, IF(L525 = "Cons DD", Convert_to_Games[[#This Row],[DD]], L525+L525))</f>
        <v>0</v>
      </c>
    </row>
    <row r="527" spans="1:12">
      <c r="A527" t="s">
        <v>25</v>
      </c>
      <c r="B527" t="s">
        <v>20</v>
      </c>
      <c r="C527" t="s">
        <v>16</v>
      </c>
      <c r="D527" s="9">
        <v>45811</v>
      </c>
      <c r="E527">
        <v>106</v>
      </c>
      <c r="F527" t="s">
        <v>34</v>
      </c>
      <c r="G527">
        <v>3</v>
      </c>
      <c r="H527" t="s">
        <v>5</v>
      </c>
      <c r="I527">
        <v>3</v>
      </c>
      <c r="J527">
        <v>1</v>
      </c>
      <c r="K527">
        <f>IF(Convert_to_Games[[#This Row],[Total Score]]&gt;9, 1, 0)</f>
        <v>0</v>
      </c>
      <c r="L527">
        <f>IF(Convert_to_Games[[#This Row],[DD]]=0, 0, IF(L526 = "Cons DD", Convert_to_Games[[#This Row],[DD]], L526+L526))</f>
        <v>0</v>
      </c>
    </row>
    <row r="528" spans="1:12">
      <c r="A528" t="s">
        <v>25</v>
      </c>
      <c r="B528" t="s">
        <v>20</v>
      </c>
      <c r="C528" t="s">
        <v>16</v>
      </c>
      <c r="D528" s="9">
        <v>45821</v>
      </c>
      <c r="E528">
        <v>110</v>
      </c>
      <c r="F528" t="s">
        <v>11</v>
      </c>
      <c r="G528">
        <v>3</v>
      </c>
      <c r="H528" t="s">
        <v>5</v>
      </c>
      <c r="I528">
        <v>3</v>
      </c>
      <c r="J528">
        <v>0</v>
      </c>
      <c r="K528">
        <f>IF(Convert_to_Games[[#This Row],[Total Score]]&gt;9, 1, 0)</f>
        <v>0</v>
      </c>
      <c r="L528">
        <f>IF(Convert_to_Games[[#This Row],[DD]]=0, 0, IF(L527 = "Cons DD", Convert_to_Games[[#This Row],[DD]], L527+L527))</f>
        <v>0</v>
      </c>
    </row>
    <row r="529" spans="1:12">
      <c r="A529" t="s">
        <v>25</v>
      </c>
      <c r="B529" t="s">
        <v>20</v>
      </c>
      <c r="C529" t="s">
        <v>16</v>
      </c>
      <c r="D529" s="9">
        <v>45824</v>
      </c>
      <c r="E529">
        <v>112</v>
      </c>
      <c r="F529" t="s">
        <v>59</v>
      </c>
      <c r="G529">
        <v>3</v>
      </c>
      <c r="H529" t="s">
        <v>4</v>
      </c>
      <c r="I529">
        <v>3</v>
      </c>
      <c r="J529">
        <v>0</v>
      </c>
      <c r="K529">
        <f>IF(Convert_to_Games[[#This Row],[Total Score]]&gt;9, 1, 0)</f>
        <v>0</v>
      </c>
      <c r="L529">
        <f>IF(Convert_to_Games[[#This Row],[DD]]=0, 0, IF(L528 = "Cons DD", Convert_to_Games[[#This Row],[DD]], L528+L528))</f>
        <v>0</v>
      </c>
    </row>
    <row r="530" spans="1:12">
      <c r="A530" t="s">
        <v>25</v>
      </c>
      <c r="B530" t="s">
        <v>21</v>
      </c>
      <c r="C530" t="s">
        <v>16</v>
      </c>
      <c r="D530" s="9">
        <v>45828</v>
      </c>
      <c r="E530">
        <v>123</v>
      </c>
      <c r="F530" t="s">
        <v>9</v>
      </c>
      <c r="G530">
        <v>3</v>
      </c>
      <c r="H530" t="s">
        <v>5</v>
      </c>
      <c r="I530">
        <v>3</v>
      </c>
      <c r="J530">
        <v>0</v>
      </c>
      <c r="K530">
        <f>IF(Convert_to_Games[[#This Row],[Total Score]]&gt;9, 1, 0)</f>
        <v>0</v>
      </c>
      <c r="L530">
        <f>IF(Convert_to_Games[[#This Row],[DD]]=0, 0, IF(L529 = "Cons DD", Convert_to_Games[[#This Row],[DD]], L529+L529))</f>
        <v>0</v>
      </c>
    </row>
    <row r="531" spans="1:12">
      <c r="A531" t="s">
        <v>25</v>
      </c>
      <c r="B531" t="s">
        <v>20</v>
      </c>
      <c r="C531" t="s">
        <v>16</v>
      </c>
      <c r="D531" s="9">
        <v>45835</v>
      </c>
      <c r="E531">
        <v>134</v>
      </c>
      <c r="F531" t="s">
        <v>103</v>
      </c>
      <c r="G531">
        <v>3</v>
      </c>
      <c r="H531" t="s">
        <v>78</v>
      </c>
      <c r="I531">
        <v>3</v>
      </c>
      <c r="J531">
        <v>0</v>
      </c>
      <c r="K531">
        <f>IF(Convert_to_Games[[#This Row],[Total Score]]&gt;9, 1, 0)</f>
        <v>0</v>
      </c>
      <c r="L531">
        <f>IF(Convert_to_Games[[#This Row],[DD]]=0, 0, IF(L530 = "Cons DD", Convert_to_Games[[#This Row],[DD]], L530+L530))</f>
        <v>0</v>
      </c>
    </row>
    <row r="532" spans="1:12">
      <c r="A532" t="s">
        <v>25</v>
      </c>
      <c r="B532" t="s">
        <v>19</v>
      </c>
      <c r="C532" t="s">
        <v>16</v>
      </c>
      <c r="D532" s="9">
        <v>45838</v>
      </c>
      <c r="E532">
        <v>138</v>
      </c>
      <c r="F532" t="s">
        <v>94</v>
      </c>
      <c r="G532">
        <v>3</v>
      </c>
      <c r="H532" t="s">
        <v>5</v>
      </c>
      <c r="I532">
        <v>3</v>
      </c>
      <c r="J532">
        <v>0</v>
      </c>
      <c r="K532">
        <f>IF(Convert_to_Games[[#This Row],[Total Score]]&gt;9, 1, 0)</f>
        <v>0</v>
      </c>
      <c r="L532">
        <f>IF(Convert_to_Games[[#This Row],[DD]]=0, 0, IF(L531 = "Cons DD", Convert_to_Games[[#This Row],[DD]], L531+L531))</f>
        <v>0</v>
      </c>
    </row>
    <row r="533" spans="1:12">
      <c r="A533" t="s">
        <v>25</v>
      </c>
      <c r="B533" t="s">
        <v>19</v>
      </c>
      <c r="C533" t="s">
        <v>16</v>
      </c>
      <c r="D533" s="9">
        <v>45838</v>
      </c>
      <c r="E533">
        <v>138</v>
      </c>
      <c r="F533" t="s">
        <v>94</v>
      </c>
      <c r="G533">
        <v>3</v>
      </c>
      <c r="H533" t="s">
        <v>78</v>
      </c>
      <c r="I533">
        <v>3</v>
      </c>
      <c r="J533">
        <v>0</v>
      </c>
      <c r="K533">
        <f>IF(Convert_to_Games[[#This Row],[Total Score]]&gt;9, 1, 0)</f>
        <v>0</v>
      </c>
      <c r="L533">
        <f>IF(Convert_to_Games[[#This Row],[DD]]=0, 0, IF(L532 = "Cons DD", Convert_to_Games[[#This Row],[DD]], L532+L532))</f>
        <v>0</v>
      </c>
    </row>
    <row r="534" spans="1:12">
      <c r="A534" t="s">
        <v>25</v>
      </c>
      <c r="B534" t="s">
        <v>19</v>
      </c>
      <c r="C534" t="s">
        <v>16</v>
      </c>
      <c r="D534" s="9">
        <v>45839</v>
      </c>
      <c r="E534">
        <v>141</v>
      </c>
      <c r="F534" t="s">
        <v>8</v>
      </c>
      <c r="G534">
        <v>3</v>
      </c>
      <c r="H534" t="s">
        <v>4</v>
      </c>
      <c r="I534">
        <v>3</v>
      </c>
      <c r="J534">
        <v>0</v>
      </c>
      <c r="K534">
        <f>IF(Convert_to_Games[[#This Row],[Total Score]]&gt;9, 1, 0)</f>
        <v>0</v>
      </c>
      <c r="L534">
        <f>IF(Convert_to_Games[[#This Row],[DD]]=0, 0, IF(L533 = "Cons DD", Convert_to_Games[[#This Row],[DD]], L533+L533))</f>
        <v>0</v>
      </c>
    </row>
    <row r="535" spans="1:12">
      <c r="A535" t="s">
        <v>25</v>
      </c>
      <c r="B535" t="s">
        <v>20</v>
      </c>
      <c r="C535" t="s">
        <v>16</v>
      </c>
      <c r="D535" s="9">
        <v>45840</v>
      </c>
      <c r="E535">
        <v>143</v>
      </c>
      <c r="F535" t="s">
        <v>107</v>
      </c>
      <c r="G535">
        <v>3</v>
      </c>
      <c r="H535" t="s">
        <v>6</v>
      </c>
      <c r="I535">
        <v>3</v>
      </c>
      <c r="J535">
        <v>0</v>
      </c>
      <c r="K535">
        <f>IF(Convert_to_Games[[#This Row],[Total Score]]&gt;9, 1, 0)</f>
        <v>0</v>
      </c>
      <c r="L535">
        <f>IF(Convert_to_Games[[#This Row],[DD]]=0, 0, IF(L534 = "Cons DD", Convert_to_Games[[#This Row],[DD]], L534+L534))</f>
        <v>0</v>
      </c>
    </row>
    <row r="536" spans="1:12">
      <c r="A536" t="s">
        <v>25</v>
      </c>
      <c r="B536" t="s">
        <v>19</v>
      </c>
      <c r="C536" t="s">
        <v>16</v>
      </c>
      <c r="D536" s="9">
        <v>45841</v>
      </c>
      <c r="E536">
        <v>146</v>
      </c>
      <c r="F536" t="s">
        <v>104</v>
      </c>
      <c r="G536">
        <v>3</v>
      </c>
      <c r="H536" t="s">
        <v>78</v>
      </c>
      <c r="I536">
        <v>3</v>
      </c>
      <c r="J536">
        <v>0</v>
      </c>
      <c r="K536">
        <f>IF(Convert_to_Games[[#This Row],[Total Score]]&gt;9, 1, 0)</f>
        <v>0</v>
      </c>
      <c r="L536">
        <f>IF(Convert_to_Games[[#This Row],[DD]]=0, 0, IF(L535 = "Cons DD", Convert_to_Games[[#This Row],[DD]], L535+L535))</f>
        <v>0</v>
      </c>
    </row>
    <row r="537" spans="1:12">
      <c r="A537" t="s">
        <v>25</v>
      </c>
      <c r="B537" t="s">
        <v>21</v>
      </c>
      <c r="C537" t="s">
        <v>16</v>
      </c>
      <c r="D537" s="9">
        <v>45841</v>
      </c>
      <c r="E537">
        <v>147</v>
      </c>
      <c r="F537" t="s">
        <v>100</v>
      </c>
      <c r="G537">
        <v>3</v>
      </c>
      <c r="H537" t="s">
        <v>78</v>
      </c>
      <c r="I537">
        <v>3</v>
      </c>
      <c r="J537">
        <v>0</v>
      </c>
      <c r="K537">
        <f>IF(Convert_to_Games[[#This Row],[Total Score]]&gt;9, 1, 0)</f>
        <v>0</v>
      </c>
      <c r="L537">
        <f>IF(Convert_to_Games[[#This Row],[DD]]=0, 0, IF(L536 = "Cons DD", Convert_to_Games[[#This Row],[DD]], L536+L536))</f>
        <v>0</v>
      </c>
    </row>
    <row r="538" spans="1:12">
      <c r="A538" t="s">
        <v>25</v>
      </c>
      <c r="B538" t="s">
        <v>21</v>
      </c>
      <c r="C538" t="s">
        <v>16</v>
      </c>
      <c r="D538" s="9">
        <v>45848</v>
      </c>
      <c r="E538">
        <v>157</v>
      </c>
      <c r="F538" t="s">
        <v>103</v>
      </c>
      <c r="G538">
        <v>5</v>
      </c>
      <c r="H538" t="s">
        <v>78</v>
      </c>
      <c r="I538">
        <v>3</v>
      </c>
      <c r="J538">
        <v>0</v>
      </c>
      <c r="K538">
        <f>IF(Convert_to_Games[[#This Row],[Total Score]]&gt;9, 1, 0)</f>
        <v>0</v>
      </c>
      <c r="L538">
        <f>IF(Convert_to_Games[[#This Row],[DD]]=0, 0, IF(L537 = "Cons DD", Convert_to_Games[[#This Row],[DD]], L537+L537))</f>
        <v>0</v>
      </c>
    </row>
    <row r="539" spans="1:12">
      <c r="A539" t="s">
        <v>25</v>
      </c>
      <c r="B539" t="s">
        <v>20</v>
      </c>
      <c r="C539" t="s">
        <v>16</v>
      </c>
      <c r="D539" s="9">
        <v>45849</v>
      </c>
      <c r="E539">
        <v>160</v>
      </c>
      <c r="F539" t="s">
        <v>111</v>
      </c>
      <c r="G539">
        <v>3</v>
      </c>
      <c r="H539" t="s">
        <v>4</v>
      </c>
      <c r="I539">
        <v>3</v>
      </c>
      <c r="J539">
        <v>1</v>
      </c>
      <c r="K539">
        <f>IF(Convert_to_Games[[#This Row],[Total Score]]&gt;9, 1, 0)</f>
        <v>0</v>
      </c>
      <c r="L539">
        <f>IF(Convert_to_Games[[#This Row],[DD]]=0, 0, IF(L538 = "Cons DD", Convert_to_Games[[#This Row],[DD]], L538+L538))</f>
        <v>0</v>
      </c>
    </row>
    <row r="540" spans="1:12">
      <c r="A540" t="s">
        <v>25</v>
      </c>
      <c r="B540" t="s">
        <v>19</v>
      </c>
      <c r="C540" t="s">
        <v>16</v>
      </c>
      <c r="D540" s="9">
        <v>45853</v>
      </c>
      <c r="E540">
        <v>166</v>
      </c>
      <c r="F540" t="s">
        <v>94</v>
      </c>
      <c r="G540">
        <v>3</v>
      </c>
      <c r="H540" t="s">
        <v>5</v>
      </c>
      <c r="I540">
        <v>3</v>
      </c>
      <c r="J540">
        <v>0</v>
      </c>
      <c r="K540">
        <f>IF(Convert_to_Games[[#This Row],[Total Score]]&gt;9, 1, 0)</f>
        <v>0</v>
      </c>
      <c r="L540">
        <f>IF(Convert_to_Games[[#This Row],[DD]]=0, 0, IF(L539 = "Cons DD", Convert_to_Games[[#This Row],[DD]], L539+L539))</f>
        <v>0</v>
      </c>
    </row>
    <row r="541" spans="1:12">
      <c r="A541" t="s">
        <v>25</v>
      </c>
      <c r="B541" t="s">
        <v>20</v>
      </c>
      <c r="C541" t="s">
        <v>16</v>
      </c>
      <c r="D541" s="9">
        <v>45854</v>
      </c>
      <c r="E541">
        <v>168</v>
      </c>
      <c r="F541" t="s">
        <v>104</v>
      </c>
      <c r="G541">
        <v>3</v>
      </c>
      <c r="H541" t="s">
        <v>5</v>
      </c>
      <c r="I541">
        <v>3</v>
      </c>
      <c r="J541">
        <v>0</v>
      </c>
      <c r="K541">
        <f>IF(Convert_to_Games[[#This Row],[Total Score]]&gt;9, 1, 0)</f>
        <v>0</v>
      </c>
      <c r="L541">
        <f>IF(Convert_to_Games[[#This Row],[DD]]=0, 0, IF(L540 = "Cons DD", Convert_to_Games[[#This Row],[DD]], L540+L540))</f>
        <v>0</v>
      </c>
    </row>
    <row r="542" spans="1:12">
      <c r="A542" t="s">
        <v>25</v>
      </c>
      <c r="B542" t="s">
        <v>20</v>
      </c>
      <c r="C542" t="s">
        <v>16</v>
      </c>
      <c r="D542" s="9">
        <v>45855</v>
      </c>
      <c r="E542">
        <v>170</v>
      </c>
      <c r="F542" t="s">
        <v>108</v>
      </c>
      <c r="G542">
        <v>3</v>
      </c>
      <c r="H542" t="s">
        <v>78</v>
      </c>
      <c r="I542">
        <v>3</v>
      </c>
      <c r="J542">
        <v>0</v>
      </c>
      <c r="K542">
        <f>IF(Convert_to_Games[[#This Row],[Total Score]]&gt;9, 1, 0)</f>
        <v>0</v>
      </c>
      <c r="L542">
        <f>IF(Convert_to_Games[[#This Row],[DD]]=0, 0, IF(L541 = "Cons DD", Convert_to_Games[[#This Row],[DD]], L541+L541))</f>
        <v>0</v>
      </c>
    </row>
    <row r="543" spans="1:12">
      <c r="A543" t="s">
        <v>25</v>
      </c>
      <c r="B543" t="s">
        <v>20</v>
      </c>
      <c r="C543" t="s">
        <v>16</v>
      </c>
      <c r="D543" s="9">
        <v>45859</v>
      </c>
      <c r="E543">
        <v>174</v>
      </c>
      <c r="F543" t="s">
        <v>115</v>
      </c>
      <c r="G543">
        <v>3</v>
      </c>
      <c r="H543" t="s">
        <v>78</v>
      </c>
      <c r="I543">
        <v>3</v>
      </c>
      <c r="J543">
        <v>0</v>
      </c>
      <c r="K543">
        <f>IF(Convert_to_Games[[#This Row],[Total Score]]&gt;9, 1, 0)</f>
        <v>0</v>
      </c>
      <c r="L543">
        <f>IF(Convert_to_Games[[#This Row],[DD]]=0, 0, IF(L542 = "Cons DD", Convert_to_Games[[#This Row],[DD]], L542+L542))</f>
        <v>0</v>
      </c>
    </row>
    <row r="544" spans="1:12">
      <c r="A544" t="s">
        <v>25</v>
      </c>
      <c r="B544" t="s">
        <v>19</v>
      </c>
      <c r="C544" t="s">
        <v>16</v>
      </c>
      <c r="D544" s="9">
        <v>45860</v>
      </c>
      <c r="E544">
        <v>177</v>
      </c>
      <c r="F544" t="s">
        <v>9</v>
      </c>
      <c r="G544">
        <v>3</v>
      </c>
      <c r="H544" t="s">
        <v>4</v>
      </c>
      <c r="I544">
        <v>3</v>
      </c>
      <c r="J544">
        <v>0</v>
      </c>
      <c r="K544">
        <f>IF(Convert_to_Games[[#This Row],[Total Score]]&gt;9, 1, 0)</f>
        <v>0</v>
      </c>
      <c r="L544">
        <f>IF(Convert_to_Games[[#This Row],[DD]]=0, 0, IF(L543 = "Cons DD", Convert_to_Games[[#This Row],[DD]], L543+L543))</f>
        <v>0</v>
      </c>
    </row>
    <row r="545" spans="1:12">
      <c r="A545" t="s">
        <v>25</v>
      </c>
      <c r="B545" t="s">
        <v>20</v>
      </c>
      <c r="C545" t="s">
        <v>16</v>
      </c>
      <c r="D545" s="9">
        <v>45861</v>
      </c>
      <c r="E545">
        <v>179</v>
      </c>
      <c r="F545" t="s">
        <v>9</v>
      </c>
      <c r="G545">
        <v>3</v>
      </c>
      <c r="H545" t="s">
        <v>5</v>
      </c>
      <c r="I545">
        <v>3</v>
      </c>
      <c r="J545">
        <v>0</v>
      </c>
      <c r="K545">
        <f>IF(Convert_to_Games[[#This Row],[Total Score]]&gt;9, 1, 0)</f>
        <v>0</v>
      </c>
      <c r="L545">
        <f>IF(Convert_to_Games[[#This Row],[DD]]=0, 0, IF(L544 = "Cons DD", Convert_to_Games[[#This Row],[DD]], L544+L544))</f>
        <v>0</v>
      </c>
    </row>
    <row r="546" spans="1:12">
      <c r="A546" t="s">
        <v>25</v>
      </c>
      <c r="B546" t="s">
        <v>20</v>
      </c>
      <c r="C546" t="s">
        <v>16</v>
      </c>
      <c r="D546" s="9">
        <v>45863</v>
      </c>
      <c r="E546">
        <v>182</v>
      </c>
      <c r="F546" t="s">
        <v>115</v>
      </c>
      <c r="G546">
        <v>4</v>
      </c>
      <c r="H546" t="s">
        <v>78</v>
      </c>
      <c r="I546">
        <v>3</v>
      </c>
      <c r="J546">
        <v>0</v>
      </c>
      <c r="K546">
        <f>IF(Convert_to_Games[[#This Row],[Total Score]]&gt;9, 1, 0)</f>
        <v>0</v>
      </c>
      <c r="L546">
        <f>IF(Convert_to_Games[[#This Row],[DD]]=0, 0, IF(L545 = "Cons DD", Convert_to_Games[[#This Row],[DD]], L545+L545))</f>
        <v>0</v>
      </c>
    </row>
    <row r="547" spans="1:12">
      <c r="A547" t="s">
        <v>25</v>
      </c>
      <c r="B547" t="s">
        <v>20</v>
      </c>
      <c r="C547" t="s">
        <v>16</v>
      </c>
      <c r="D547" s="9">
        <v>45863</v>
      </c>
      <c r="E547">
        <v>183</v>
      </c>
      <c r="F547" t="s">
        <v>77</v>
      </c>
      <c r="G547">
        <v>3</v>
      </c>
      <c r="H547" t="s">
        <v>78</v>
      </c>
      <c r="I547">
        <v>3</v>
      </c>
      <c r="J547">
        <v>0</v>
      </c>
      <c r="K547">
        <f>IF(Convert_to_Games[[#This Row],[Total Score]]&gt;9, 1, 0)</f>
        <v>0</v>
      </c>
      <c r="L547">
        <f>IF(Convert_to_Games[[#This Row],[DD]]=0, 0, IF(L546 = "Cons DD", Convert_to_Games[[#This Row],[DD]], L546+L546))</f>
        <v>0</v>
      </c>
    </row>
    <row r="548" spans="1:12">
      <c r="A548" t="s">
        <v>25</v>
      </c>
      <c r="B548" t="s">
        <v>20</v>
      </c>
      <c r="C548" t="s">
        <v>116</v>
      </c>
      <c r="D548" s="9">
        <v>45873</v>
      </c>
      <c r="E548">
        <v>196</v>
      </c>
      <c r="F548" t="s">
        <v>11</v>
      </c>
      <c r="G548">
        <v>3</v>
      </c>
      <c r="H548" t="s">
        <v>5</v>
      </c>
      <c r="I548">
        <v>3</v>
      </c>
      <c r="J548">
        <v>0</v>
      </c>
      <c r="K548">
        <f>IF(Convert_to_Games[[#This Row],[Total Score]]&gt;9, 1, 0)</f>
        <v>0</v>
      </c>
      <c r="L548">
        <f>IF(Convert_to_Games[[#This Row],[DD]]=0, 0, IF(L547 = "Cons DD", Convert_to_Games[[#This Row],[DD]], L547+L547))</f>
        <v>0</v>
      </c>
    </row>
    <row r="549" spans="1:12">
      <c r="A549" t="s">
        <v>25</v>
      </c>
      <c r="B549">
        <v>256</v>
      </c>
      <c r="C549" t="s">
        <v>116</v>
      </c>
      <c r="D549" s="9">
        <v>45887</v>
      </c>
      <c r="E549">
        <v>206</v>
      </c>
      <c r="F549" t="s">
        <v>9</v>
      </c>
      <c r="G549">
        <v>3</v>
      </c>
      <c r="H549" t="s">
        <v>5</v>
      </c>
      <c r="I549">
        <v>3</v>
      </c>
      <c r="J549">
        <v>0</v>
      </c>
      <c r="K549">
        <f>IF(Convert_to_Games[[#This Row],[Total Score]]&gt;9, 1, 0)</f>
        <v>0</v>
      </c>
      <c r="L549">
        <f>IF(Convert_to_Games[[#This Row],[DD]]=0, 0, IF(L548 = "Cons DD", Convert_to_Games[[#This Row],[DD]], L548+L548))</f>
        <v>0</v>
      </c>
    </row>
    <row r="550" spans="1:12">
      <c r="A550" t="s">
        <v>25</v>
      </c>
      <c r="B550">
        <v>256</v>
      </c>
      <c r="C550" t="s">
        <v>116</v>
      </c>
      <c r="D550" s="9">
        <v>45926</v>
      </c>
      <c r="E550">
        <v>226</v>
      </c>
      <c r="F550" t="s">
        <v>94</v>
      </c>
      <c r="G550">
        <v>3</v>
      </c>
      <c r="H550" t="s">
        <v>78</v>
      </c>
      <c r="I550">
        <v>3</v>
      </c>
      <c r="J550">
        <v>0</v>
      </c>
      <c r="K550">
        <f>IF(Convert_to_Games[[#This Row],[Total Score]]&gt;9, 1, 0)</f>
        <v>0</v>
      </c>
      <c r="L550">
        <f>IF(Convert_to_Games[[#This Row],[DD]]=0, 0, IF(L549 = "Cons DD", Convert_to_Games[[#This Row],[DD]], L549+L549))</f>
        <v>0</v>
      </c>
    </row>
    <row r="551" spans="1:12">
      <c r="A551" t="s">
        <v>25</v>
      </c>
      <c r="B551" t="s">
        <v>20</v>
      </c>
      <c r="C551" t="s">
        <v>18</v>
      </c>
      <c r="D551" s="9">
        <v>45712</v>
      </c>
      <c r="E551">
        <v>8</v>
      </c>
      <c r="F551" t="s">
        <v>11</v>
      </c>
      <c r="G551">
        <v>3</v>
      </c>
      <c r="H551" t="s">
        <v>5</v>
      </c>
      <c r="I551">
        <v>2</v>
      </c>
      <c r="J551">
        <v>0</v>
      </c>
      <c r="K551">
        <f>IF(Convert_to_Games[[#This Row],[Total Score]]&gt;9, 1, 0)</f>
        <v>0</v>
      </c>
      <c r="L551">
        <f>IF(Convert_to_Games[[#This Row],[DD]]=0, 0, IF(L550 = "Cons DD", Convert_to_Games[[#This Row],[DD]], L550+L550))</f>
        <v>0</v>
      </c>
    </row>
    <row r="552" spans="1:12">
      <c r="A552" t="s">
        <v>25</v>
      </c>
      <c r="B552" t="s">
        <v>20</v>
      </c>
      <c r="C552" t="s">
        <v>16</v>
      </c>
      <c r="D552" s="9">
        <v>45723</v>
      </c>
      <c r="E552">
        <v>20</v>
      </c>
      <c r="F552" t="s">
        <v>9</v>
      </c>
      <c r="G552">
        <v>3</v>
      </c>
      <c r="H552" t="s">
        <v>5</v>
      </c>
      <c r="I552">
        <v>2</v>
      </c>
      <c r="J552">
        <v>0</v>
      </c>
      <c r="K552">
        <f>IF(Convert_to_Games[[#This Row],[Total Score]]&gt;9, 1, 0)</f>
        <v>0</v>
      </c>
      <c r="L552">
        <f>IF(Convert_to_Games[[#This Row],[DD]]=0, 0, IF(L551 = "Cons DD", Convert_to_Games[[#This Row],[DD]], L551+L551))</f>
        <v>0</v>
      </c>
    </row>
    <row r="553" spans="1:12">
      <c r="A553" t="s">
        <v>25</v>
      </c>
      <c r="B553" t="s">
        <v>20</v>
      </c>
      <c r="C553" t="s">
        <v>16</v>
      </c>
      <c r="D553" s="9">
        <v>45728</v>
      </c>
      <c r="E553">
        <v>23</v>
      </c>
      <c r="F553" t="s">
        <v>9</v>
      </c>
      <c r="G553">
        <v>3</v>
      </c>
      <c r="H553" t="s">
        <v>5</v>
      </c>
      <c r="I553">
        <v>2</v>
      </c>
      <c r="J553">
        <v>0</v>
      </c>
      <c r="K553">
        <f>IF(Convert_to_Games[[#This Row],[Total Score]]&gt;9, 1, 0)</f>
        <v>0</v>
      </c>
      <c r="L553">
        <f>IF(Convert_to_Games[[#This Row],[DD]]=0, 0, IF(L552 = "Cons DD", Convert_to_Games[[#This Row],[DD]], L552+L552))</f>
        <v>0</v>
      </c>
    </row>
    <row r="554" spans="1:12">
      <c r="A554" t="s">
        <v>25</v>
      </c>
      <c r="B554" t="s">
        <v>20</v>
      </c>
      <c r="C554" t="s">
        <v>16</v>
      </c>
      <c r="D554" s="9">
        <v>45742</v>
      </c>
      <c r="E554">
        <v>27</v>
      </c>
      <c r="F554" t="s">
        <v>15</v>
      </c>
      <c r="G554">
        <v>3</v>
      </c>
      <c r="H554" t="s">
        <v>5</v>
      </c>
      <c r="I554">
        <v>2</v>
      </c>
      <c r="J554">
        <v>0</v>
      </c>
      <c r="K554">
        <f>IF(Convert_to_Games[[#This Row],[Total Score]]&gt;9, 1, 0)</f>
        <v>0</v>
      </c>
      <c r="L554">
        <f>IF(Convert_to_Games[[#This Row],[DD]]=0, 0, IF(L553 = "Cons DD", Convert_to_Games[[#This Row],[DD]], L553+L553))</f>
        <v>0</v>
      </c>
    </row>
    <row r="555" spans="1:12">
      <c r="A555" t="s">
        <v>25</v>
      </c>
      <c r="B555" t="s">
        <v>20</v>
      </c>
      <c r="C555" t="s">
        <v>16</v>
      </c>
      <c r="D555" s="9">
        <v>45747</v>
      </c>
      <c r="E555">
        <v>30</v>
      </c>
      <c r="F555" t="s">
        <v>9</v>
      </c>
      <c r="G555">
        <v>3</v>
      </c>
      <c r="H555" t="s">
        <v>5</v>
      </c>
      <c r="I555">
        <v>2</v>
      </c>
      <c r="J555">
        <v>0</v>
      </c>
      <c r="K555">
        <f>IF(Convert_to_Games[[#This Row],[Total Score]]&gt;9, 1, 0)</f>
        <v>0</v>
      </c>
      <c r="L555">
        <f>IF(Convert_to_Games[[#This Row],[DD]]=0, 0, IF(L554 = "Cons DD", Convert_to_Games[[#This Row],[DD]], L554+L554))</f>
        <v>0</v>
      </c>
    </row>
    <row r="556" spans="1:12">
      <c r="A556" t="s">
        <v>25</v>
      </c>
      <c r="B556" t="s">
        <v>19</v>
      </c>
      <c r="C556" t="s">
        <v>16</v>
      </c>
      <c r="D556" s="9">
        <v>45749</v>
      </c>
      <c r="E556">
        <v>33</v>
      </c>
      <c r="F556" t="s">
        <v>9</v>
      </c>
      <c r="G556">
        <v>3</v>
      </c>
      <c r="H556" t="s">
        <v>6</v>
      </c>
      <c r="I556">
        <v>2</v>
      </c>
      <c r="J556">
        <v>0</v>
      </c>
      <c r="K556">
        <f>IF(Convert_to_Games[[#This Row],[Total Score]]&gt;9, 1, 0)</f>
        <v>0</v>
      </c>
      <c r="L556">
        <f>IF(Convert_to_Games[[#This Row],[DD]]=0, 0, IF(L555 = "Cons DD", Convert_to_Games[[#This Row],[DD]], L555+L555))</f>
        <v>0</v>
      </c>
    </row>
    <row r="557" spans="1:12">
      <c r="A557" t="s">
        <v>25</v>
      </c>
      <c r="B557" t="s">
        <v>20</v>
      </c>
      <c r="C557" t="s">
        <v>16</v>
      </c>
      <c r="D557" s="9">
        <v>45751</v>
      </c>
      <c r="E557">
        <v>35</v>
      </c>
      <c r="F557" t="s">
        <v>11</v>
      </c>
      <c r="G557">
        <v>3</v>
      </c>
      <c r="H557" t="s">
        <v>5</v>
      </c>
      <c r="I557">
        <v>2</v>
      </c>
      <c r="J557">
        <v>0</v>
      </c>
      <c r="K557">
        <f>IF(Convert_to_Games[[#This Row],[Total Score]]&gt;9, 1, 0)</f>
        <v>0</v>
      </c>
      <c r="L557">
        <f>IF(Convert_to_Games[[#This Row],[DD]]=0, 0, IF(L556 = "Cons DD", Convert_to_Games[[#This Row],[DD]], L556+L556))</f>
        <v>0</v>
      </c>
    </row>
    <row r="558" spans="1:12">
      <c r="A558" t="s">
        <v>25</v>
      </c>
      <c r="B558" t="s">
        <v>19</v>
      </c>
      <c r="C558" t="s">
        <v>16</v>
      </c>
      <c r="D558" s="9">
        <v>45754</v>
      </c>
      <c r="E558">
        <v>36</v>
      </c>
      <c r="F558" t="s">
        <v>15</v>
      </c>
      <c r="G558">
        <v>3</v>
      </c>
      <c r="H558" t="s">
        <v>5</v>
      </c>
      <c r="I558">
        <v>2</v>
      </c>
      <c r="J558">
        <v>1</v>
      </c>
      <c r="K558">
        <f>IF(Convert_to_Games[[#This Row],[Total Score]]&gt;9, 1, 0)</f>
        <v>0</v>
      </c>
      <c r="L558">
        <f>IF(Convert_to_Games[[#This Row],[DD]]=0, 0, IF(L557 = "Cons DD", Convert_to_Games[[#This Row],[DD]], L557+L557))</f>
        <v>0</v>
      </c>
    </row>
    <row r="559" spans="1:12">
      <c r="A559" t="s">
        <v>25</v>
      </c>
      <c r="B559" t="s">
        <v>21</v>
      </c>
      <c r="C559" t="s">
        <v>16</v>
      </c>
      <c r="D559" s="9">
        <v>45756</v>
      </c>
      <c r="E559">
        <v>41</v>
      </c>
      <c r="F559" t="s">
        <v>11</v>
      </c>
      <c r="G559">
        <v>3</v>
      </c>
      <c r="H559" t="s">
        <v>5</v>
      </c>
      <c r="I559">
        <v>2</v>
      </c>
      <c r="J559">
        <v>0</v>
      </c>
      <c r="K559">
        <f>IF(Convert_to_Games[[#This Row],[Total Score]]&gt;9, 1, 0)</f>
        <v>0</v>
      </c>
      <c r="L559">
        <f>IF(Convert_to_Games[[#This Row],[DD]]=0, 0, IF(L558 = "Cons DD", Convert_to_Games[[#This Row],[DD]], L558+L558))</f>
        <v>0</v>
      </c>
    </row>
    <row r="560" spans="1:12">
      <c r="A560" t="s">
        <v>25</v>
      </c>
      <c r="B560" t="s">
        <v>20</v>
      </c>
      <c r="C560" t="s">
        <v>16</v>
      </c>
      <c r="D560" s="9">
        <v>45762</v>
      </c>
      <c r="E560">
        <v>44</v>
      </c>
      <c r="F560" t="s">
        <v>24</v>
      </c>
      <c r="G560">
        <v>3</v>
      </c>
      <c r="H560" t="s">
        <v>23</v>
      </c>
      <c r="I560">
        <v>2</v>
      </c>
      <c r="J560">
        <v>0</v>
      </c>
      <c r="K560">
        <f>IF(Convert_to_Games[[#This Row],[Total Score]]&gt;9, 1, 0)</f>
        <v>0</v>
      </c>
      <c r="L560">
        <f>IF(Convert_to_Games[[#This Row],[DD]]=0, 0, IF(L559 = "Cons DD", Convert_to_Games[[#This Row],[DD]], L559+L559))</f>
        <v>0</v>
      </c>
    </row>
    <row r="561" spans="1:12">
      <c r="A561" t="s">
        <v>25</v>
      </c>
      <c r="B561" t="s">
        <v>19</v>
      </c>
      <c r="C561" t="s">
        <v>16</v>
      </c>
      <c r="D561" s="9">
        <v>45762</v>
      </c>
      <c r="E561">
        <v>46</v>
      </c>
      <c r="F561" t="s">
        <v>11</v>
      </c>
      <c r="G561">
        <v>3</v>
      </c>
      <c r="H561" t="s">
        <v>5</v>
      </c>
      <c r="I561">
        <v>2</v>
      </c>
      <c r="J561">
        <v>0</v>
      </c>
      <c r="K561">
        <f>IF(Convert_to_Games[[#This Row],[Total Score]]&gt;9, 1, 0)</f>
        <v>0</v>
      </c>
      <c r="L561">
        <f>IF(Convert_to_Games[[#This Row],[DD]]=0, 0, IF(L560 = "Cons DD", Convert_to_Games[[#This Row],[DD]], L560+L560))</f>
        <v>0</v>
      </c>
    </row>
    <row r="562" spans="1:12">
      <c r="A562" t="s">
        <v>25</v>
      </c>
      <c r="B562" t="s">
        <v>19</v>
      </c>
      <c r="C562" t="s">
        <v>16</v>
      </c>
      <c r="D562" s="9">
        <v>45769</v>
      </c>
      <c r="E562">
        <v>61</v>
      </c>
      <c r="F562" t="s">
        <v>11</v>
      </c>
      <c r="G562">
        <v>3</v>
      </c>
      <c r="H562" t="s">
        <v>5</v>
      </c>
      <c r="I562">
        <v>2</v>
      </c>
      <c r="J562">
        <v>0</v>
      </c>
      <c r="K562">
        <f>IF(Convert_to_Games[[#This Row],[Total Score]]&gt;9, 1, 0)</f>
        <v>0</v>
      </c>
      <c r="L562">
        <f>IF(Convert_to_Games[[#This Row],[DD]]=0, 0, IF(L561 = "Cons DD", Convert_to_Games[[#This Row],[DD]], L561+L561))</f>
        <v>0</v>
      </c>
    </row>
    <row r="563" spans="1:12">
      <c r="A563" t="s">
        <v>25</v>
      </c>
      <c r="B563" t="s">
        <v>21</v>
      </c>
      <c r="C563" t="s">
        <v>16</v>
      </c>
      <c r="D563" s="9">
        <v>45769</v>
      </c>
      <c r="E563">
        <v>62</v>
      </c>
      <c r="F563" t="s">
        <v>33</v>
      </c>
      <c r="G563">
        <v>3</v>
      </c>
      <c r="H563" t="s">
        <v>5</v>
      </c>
      <c r="I563">
        <v>2</v>
      </c>
      <c r="J563">
        <v>0</v>
      </c>
      <c r="K563">
        <f>IF(Convert_to_Games[[#This Row],[Total Score]]&gt;9, 1, 0)</f>
        <v>0</v>
      </c>
      <c r="L563">
        <f>IF(Convert_to_Games[[#This Row],[DD]]=0, 0, IF(L562 = "Cons DD", Convert_to_Games[[#This Row],[DD]], L562+L562))</f>
        <v>0</v>
      </c>
    </row>
    <row r="564" spans="1:12">
      <c r="A564" t="s">
        <v>25</v>
      </c>
      <c r="B564" t="s">
        <v>19</v>
      </c>
      <c r="C564" t="s">
        <v>16</v>
      </c>
      <c r="D564" s="9">
        <v>45775</v>
      </c>
      <c r="E564">
        <v>73</v>
      </c>
      <c r="F564" t="s">
        <v>9</v>
      </c>
      <c r="G564">
        <v>3</v>
      </c>
      <c r="H564" t="s">
        <v>4</v>
      </c>
      <c r="I564">
        <v>2</v>
      </c>
      <c r="J564">
        <v>0</v>
      </c>
      <c r="K564">
        <f>IF(Convert_to_Games[[#This Row],[Total Score]]&gt;9, 1, 0)</f>
        <v>0</v>
      </c>
      <c r="L564">
        <f>IF(Convert_to_Games[[#This Row],[DD]]=0, 0, IF(L563 = "Cons DD", Convert_to_Games[[#This Row],[DD]], L563+L563))</f>
        <v>0</v>
      </c>
    </row>
    <row r="565" spans="1:12">
      <c r="A565" t="s">
        <v>25</v>
      </c>
      <c r="B565" t="s">
        <v>21</v>
      </c>
      <c r="C565" t="s">
        <v>16</v>
      </c>
      <c r="D565" s="9">
        <v>45777</v>
      </c>
      <c r="E565">
        <v>82</v>
      </c>
      <c r="F565" t="s">
        <v>62</v>
      </c>
      <c r="G565">
        <v>3</v>
      </c>
      <c r="H565" t="s">
        <v>7</v>
      </c>
      <c r="I565">
        <v>2</v>
      </c>
      <c r="J565">
        <v>0</v>
      </c>
      <c r="K565">
        <f>IF(Convert_to_Games[[#This Row],[Total Score]]&gt;9, 1, 0)</f>
        <v>0</v>
      </c>
      <c r="L565">
        <f>IF(Convert_to_Games[[#This Row],[DD]]=0, 0, IF(L564 = "Cons DD", Convert_to_Games[[#This Row],[DD]], L564+L564))</f>
        <v>0</v>
      </c>
    </row>
    <row r="566" spans="1:12">
      <c r="A566" t="s">
        <v>25</v>
      </c>
      <c r="B566" t="s">
        <v>19</v>
      </c>
      <c r="C566" t="s">
        <v>16</v>
      </c>
      <c r="D566" s="9">
        <v>45779</v>
      </c>
      <c r="E566">
        <v>89</v>
      </c>
      <c r="F566" t="s">
        <v>69</v>
      </c>
      <c r="G566">
        <v>3</v>
      </c>
      <c r="H566" t="s">
        <v>4</v>
      </c>
      <c r="I566">
        <v>2</v>
      </c>
      <c r="J566">
        <v>0</v>
      </c>
      <c r="K566">
        <f>IF(Convert_to_Games[[#This Row],[Total Score]]&gt;9, 1, 0)</f>
        <v>0</v>
      </c>
      <c r="L566">
        <f>IF(Convert_to_Games[[#This Row],[DD]]=0, 0, IF(L565 = "Cons DD", Convert_to_Games[[#This Row],[DD]], L565+L565))</f>
        <v>0</v>
      </c>
    </row>
    <row r="567" spans="1:12">
      <c r="A567" t="s">
        <v>25</v>
      </c>
      <c r="B567" t="s">
        <v>19</v>
      </c>
      <c r="C567" t="s">
        <v>16</v>
      </c>
      <c r="D567" s="9">
        <v>45779</v>
      </c>
      <c r="E567">
        <v>89</v>
      </c>
      <c r="F567" t="s">
        <v>69</v>
      </c>
      <c r="G567">
        <v>3</v>
      </c>
      <c r="H567" t="s">
        <v>23</v>
      </c>
      <c r="I567">
        <v>2</v>
      </c>
      <c r="J567">
        <v>0</v>
      </c>
      <c r="K567">
        <f>IF(Convert_to_Games[[#This Row],[Total Score]]&gt;9, 1, 0)</f>
        <v>0</v>
      </c>
      <c r="L567">
        <f>IF(Convert_to_Games[[#This Row],[DD]]=0, 0, IF(L566 = "Cons DD", Convert_to_Games[[#This Row],[DD]], L566+L566))</f>
        <v>0</v>
      </c>
    </row>
    <row r="568" spans="1:12">
      <c r="A568" t="s">
        <v>25</v>
      </c>
      <c r="B568" t="s">
        <v>20</v>
      </c>
      <c r="C568" t="s">
        <v>16</v>
      </c>
      <c r="D568" s="9">
        <v>45782</v>
      </c>
      <c r="E568">
        <v>90</v>
      </c>
      <c r="F568" t="s">
        <v>9</v>
      </c>
      <c r="G568">
        <v>3</v>
      </c>
      <c r="H568" t="s">
        <v>4</v>
      </c>
      <c r="I568">
        <v>2</v>
      </c>
      <c r="J568">
        <v>1</v>
      </c>
      <c r="K568">
        <f>IF(Convert_to_Games[[#This Row],[Total Score]]&gt;9, 1, 0)</f>
        <v>0</v>
      </c>
      <c r="L568">
        <f>IF(Convert_to_Games[[#This Row],[DD]]=0, 0, IF(L567 = "Cons DD", Convert_to_Games[[#This Row],[DD]], L567+L567))</f>
        <v>0</v>
      </c>
    </row>
    <row r="569" spans="1:12">
      <c r="A569" t="s">
        <v>25</v>
      </c>
      <c r="B569" t="s">
        <v>21</v>
      </c>
      <c r="C569" t="s">
        <v>16</v>
      </c>
      <c r="D569" s="9">
        <v>45784</v>
      </c>
      <c r="E569">
        <v>95</v>
      </c>
      <c r="F569" t="s">
        <v>9</v>
      </c>
      <c r="G569">
        <v>3</v>
      </c>
      <c r="H569" t="s">
        <v>4</v>
      </c>
      <c r="I569">
        <v>2</v>
      </c>
      <c r="J569">
        <v>1</v>
      </c>
      <c r="K569">
        <f>IF(Convert_to_Games[[#This Row],[Total Score]]&gt;9, 1, 0)</f>
        <v>0</v>
      </c>
      <c r="L569">
        <f>IF(Convert_to_Games[[#This Row],[DD]]=0, 0, IF(L568 = "Cons DD", Convert_to_Games[[#This Row],[DD]], L568+L568))</f>
        <v>0</v>
      </c>
    </row>
    <row r="570" spans="1:12">
      <c r="A570" t="s">
        <v>25</v>
      </c>
      <c r="B570" t="s">
        <v>20</v>
      </c>
      <c r="C570" t="s">
        <v>16</v>
      </c>
      <c r="D570" s="9">
        <v>45791</v>
      </c>
      <c r="E570">
        <v>98</v>
      </c>
      <c r="F570" t="s">
        <v>8</v>
      </c>
      <c r="G570">
        <v>3</v>
      </c>
      <c r="H570" t="s">
        <v>5</v>
      </c>
      <c r="I570">
        <v>2</v>
      </c>
      <c r="J570">
        <v>0</v>
      </c>
      <c r="K570">
        <f>IF(Convert_to_Games[[#This Row],[Total Score]]&gt;9, 1, 0)</f>
        <v>0</v>
      </c>
      <c r="L570">
        <f>IF(Convert_to_Games[[#This Row],[DD]]=0, 0, IF(L569 = "Cons DD", Convert_to_Games[[#This Row],[DD]], L569+L569))</f>
        <v>0</v>
      </c>
    </row>
    <row r="571" spans="1:12">
      <c r="A571" t="s">
        <v>25</v>
      </c>
      <c r="B571" t="s">
        <v>20</v>
      </c>
      <c r="C571" t="s">
        <v>16</v>
      </c>
      <c r="D571" s="9">
        <v>45811</v>
      </c>
      <c r="E571">
        <v>106</v>
      </c>
      <c r="F571" t="s">
        <v>34</v>
      </c>
      <c r="G571">
        <v>3</v>
      </c>
      <c r="H571" t="s">
        <v>6</v>
      </c>
      <c r="I571">
        <v>2</v>
      </c>
      <c r="J571">
        <v>0</v>
      </c>
      <c r="K571">
        <f>IF(Convert_to_Games[[#This Row],[Total Score]]&gt;9, 1, 0)</f>
        <v>0</v>
      </c>
      <c r="L571">
        <f>IF(Convert_to_Games[[#This Row],[DD]]=0, 0, IF(L570 = "Cons DD", Convert_to_Games[[#This Row],[DD]], L570+L570))</f>
        <v>0</v>
      </c>
    </row>
    <row r="572" spans="1:12">
      <c r="A572" t="s">
        <v>25</v>
      </c>
      <c r="B572" t="s">
        <v>19</v>
      </c>
      <c r="C572" t="s">
        <v>16</v>
      </c>
      <c r="D572" s="9">
        <v>45825</v>
      </c>
      <c r="E572">
        <v>115</v>
      </c>
      <c r="F572" t="s">
        <v>8</v>
      </c>
      <c r="G572">
        <v>3</v>
      </c>
      <c r="H572" t="s">
        <v>6</v>
      </c>
      <c r="I572">
        <v>2</v>
      </c>
      <c r="J572">
        <v>0</v>
      </c>
      <c r="K572">
        <f>IF(Convert_to_Games[[#This Row],[Total Score]]&gt;9, 1, 0)</f>
        <v>0</v>
      </c>
      <c r="L572">
        <f>IF(Convert_to_Games[[#This Row],[DD]]=0, 0, IF(L571 = "Cons DD", Convert_to_Games[[#This Row],[DD]], L571+L571))</f>
        <v>0</v>
      </c>
    </row>
    <row r="573" spans="1:12">
      <c r="A573" t="s">
        <v>25</v>
      </c>
      <c r="B573" t="s">
        <v>21</v>
      </c>
      <c r="C573" t="s">
        <v>16</v>
      </c>
      <c r="D573" s="9">
        <v>45826</v>
      </c>
      <c r="E573">
        <v>117</v>
      </c>
      <c r="F573" t="s">
        <v>11</v>
      </c>
      <c r="G573">
        <v>3</v>
      </c>
      <c r="H573" t="s">
        <v>5</v>
      </c>
      <c r="I573">
        <v>2</v>
      </c>
      <c r="J573">
        <v>0</v>
      </c>
      <c r="K573">
        <f>IF(Convert_to_Games[[#This Row],[Total Score]]&gt;9, 1, 0)</f>
        <v>0</v>
      </c>
      <c r="L573">
        <f>IF(Convert_to_Games[[#This Row],[DD]]=0, 0, IF(L572 = "Cons DD", Convert_to_Games[[#This Row],[DD]], L572+L572))</f>
        <v>0</v>
      </c>
    </row>
    <row r="574" spans="1:12">
      <c r="A574" t="s">
        <v>25</v>
      </c>
      <c r="B574" t="s">
        <v>20</v>
      </c>
      <c r="C574" t="s">
        <v>16</v>
      </c>
      <c r="D574" s="9">
        <v>45831</v>
      </c>
      <c r="E574">
        <v>124</v>
      </c>
      <c r="F574" t="s">
        <v>77</v>
      </c>
      <c r="G574">
        <v>3</v>
      </c>
      <c r="H574" t="s">
        <v>78</v>
      </c>
      <c r="I574">
        <v>2</v>
      </c>
      <c r="J574">
        <v>0</v>
      </c>
      <c r="K574">
        <f>IF(Convert_to_Games[[#This Row],[Total Score]]&gt;9, 1, 0)</f>
        <v>0</v>
      </c>
      <c r="L574">
        <f>IF(Convert_to_Games[[#This Row],[DD]]=0, 0, IF(L573 = "Cons DD", Convert_to_Games[[#This Row],[DD]], L573+L573))</f>
        <v>0</v>
      </c>
    </row>
    <row r="575" spans="1:12">
      <c r="A575" t="s">
        <v>25</v>
      </c>
      <c r="B575" t="s">
        <v>20</v>
      </c>
      <c r="C575" t="s">
        <v>16</v>
      </c>
      <c r="D575" s="9">
        <v>45832</v>
      </c>
      <c r="E575">
        <v>127</v>
      </c>
      <c r="F575" t="s">
        <v>84</v>
      </c>
      <c r="G575">
        <v>3</v>
      </c>
      <c r="H575" t="s">
        <v>4</v>
      </c>
      <c r="I575">
        <v>2</v>
      </c>
      <c r="J575">
        <v>0</v>
      </c>
      <c r="K575">
        <f>IF(Convert_to_Games[[#This Row],[Total Score]]&gt;9, 1, 0)</f>
        <v>0</v>
      </c>
      <c r="L575">
        <f>IF(Convert_to_Games[[#This Row],[DD]]=0, 0, IF(L574 = "Cons DD", Convert_to_Games[[#This Row],[DD]], L574+L574))</f>
        <v>0</v>
      </c>
    </row>
    <row r="576" spans="1:12">
      <c r="A576" t="s">
        <v>25</v>
      </c>
      <c r="B576" t="s">
        <v>20</v>
      </c>
      <c r="C576" t="s">
        <v>16</v>
      </c>
      <c r="D576" s="9">
        <v>45832</v>
      </c>
      <c r="E576">
        <v>128</v>
      </c>
      <c r="F576" t="s">
        <v>9</v>
      </c>
      <c r="G576">
        <v>3</v>
      </c>
      <c r="H576" t="s">
        <v>5</v>
      </c>
      <c r="I576">
        <v>2</v>
      </c>
      <c r="J576">
        <v>0</v>
      </c>
      <c r="K576">
        <f>IF(Convert_to_Games[[#This Row],[Total Score]]&gt;9, 1, 0)</f>
        <v>0</v>
      </c>
      <c r="L576">
        <f>IF(Convert_to_Games[[#This Row],[DD]]=0, 0, IF(L575 = "Cons DD", Convert_to_Games[[#This Row],[DD]], L575+L575))</f>
        <v>0</v>
      </c>
    </row>
    <row r="577" spans="1:12">
      <c r="A577" t="s">
        <v>25</v>
      </c>
      <c r="B577" t="s">
        <v>20</v>
      </c>
      <c r="C577" t="s">
        <v>16</v>
      </c>
      <c r="D577" s="9">
        <v>45839</v>
      </c>
      <c r="E577">
        <v>140</v>
      </c>
      <c r="F577" t="s">
        <v>100</v>
      </c>
      <c r="G577">
        <v>3</v>
      </c>
      <c r="H577" t="s">
        <v>78</v>
      </c>
      <c r="I577">
        <v>2</v>
      </c>
      <c r="J577">
        <v>0</v>
      </c>
      <c r="K577">
        <f>IF(Convert_to_Games[[#This Row],[Total Score]]&gt;9, 1, 0)</f>
        <v>0</v>
      </c>
      <c r="L577">
        <f>IF(Convert_to_Games[[#This Row],[DD]]=0, 0, IF(L576 = "Cons DD", Convert_to_Games[[#This Row],[DD]], L576+L576))</f>
        <v>0</v>
      </c>
    </row>
    <row r="578" spans="1:12">
      <c r="A578" t="s">
        <v>25</v>
      </c>
      <c r="B578" t="s">
        <v>20</v>
      </c>
      <c r="C578" t="s">
        <v>16</v>
      </c>
      <c r="D578" s="9">
        <v>45840</v>
      </c>
      <c r="E578">
        <v>144</v>
      </c>
      <c r="F578" t="s">
        <v>8</v>
      </c>
      <c r="G578">
        <v>3</v>
      </c>
      <c r="H578" t="s">
        <v>6</v>
      </c>
      <c r="I578">
        <v>2</v>
      </c>
      <c r="J578">
        <v>0</v>
      </c>
      <c r="K578">
        <f>IF(Convert_to_Games[[#This Row],[Total Score]]&gt;9, 1, 0)</f>
        <v>0</v>
      </c>
      <c r="L578">
        <f>IF(Convert_to_Games[[#This Row],[DD]]=0, 0, IF(L577 = "Cons DD", Convert_to_Games[[#This Row],[DD]], L577+L577))</f>
        <v>0</v>
      </c>
    </row>
    <row r="579" spans="1:12">
      <c r="A579" t="s">
        <v>25</v>
      </c>
      <c r="B579" t="s">
        <v>19</v>
      </c>
      <c r="C579" t="s">
        <v>16</v>
      </c>
      <c r="D579" s="9">
        <v>45847</v>
      </c>
      <c r="E579">
        <v>154</v>
      </c>
      <c r="F579" t="s">
        <v>111</v>
      </c>
      <c r="G579">
        <v>3</v>
      </c>
      <c r="H579" t="s">
        <v>78</v>
      </c>
      <c r="I579">
        <v>2</v>
      </c>
      <c r="J579">
        <v>0</v>
      </c>
      <c r="K579">
        <f>IF(Convert_to_Games[[#This Row],[Total Score]]&gt;9, 1, 0)</f>
        <v>0</v>
      </c>
      <c r="L579">
        <f>IF(Convert_to_Games[[#This Row],[DD]]=0, 0, IF(L578 = "Cons DD", Convert_to_Games[[#This Row],[DD]], L578+L578))</f>
        <v>0</v>
      </c>
    </row>
    <row r="580" spans="1:12">
      <c r="A580" t="s">
        <v>25</v>
      </c>
      <c r="B580" t="s">
        <v>20</v>
      </c>
      <c r="C580" t="s">
        <v>16</v>
      </c>
      <c r="D580" s="9">
        <v>45852</v>
      </c>
      <c r="E580">
        <v>164</v>
      </c>
      <c r="F580" t="s">
        <v>111</v>
      </c>
      <c r="G580">
        <v>3</v>
      </c>
      <c r="H580" t="s">
        <v>4</v>
      </c>
      <c r="I580">
        <v>2</v>
      </c>
      <c r="J580">
        <v>0</v>
      </c>
      <c r="K580">
        <f>IF(Convert_to_Games[[#This Row],[Total Score]]&gt;9, 1, 0)</f>
        <v>0</v>
      </c>
      <c r="L580">
        <f>IF(Convert_to_Games[[#This Row],[DD]]=0, 0, IF(L579 = "Cons DD", Convert_to_Games[[#This Row],[DD]], L579+L579))</f>
        <v>0</v>
      </c>
    </row>
    <row r="581" spans="1:12">
      <c r="A581" t="s">
        <v>25</v>
      </c>
      <c r="B581" t="s">
        <v>21</v>
      </c>
      <c r="C581" t="s">
        <v>16</v>
      </c>
      <c r="D581" s="9">
        <v>45853</v>
      </c>
      <c r="E581">
        <v>167</v>
      </c>
      <c r="F581" t="s">
        <v>111</v>
      </c>
      <c r="G581">
        <v>3</v>
      </c>
      <c r="H581" t="s">
        <v>78</v>
      </c>
      <c r="I581">
        <v>2</v>
      </c>
      <c r="J581">
        <v>0</v>
      </c>
      <c r="K581">
        <f>IF(Convert_to_Games[[#This Row],[Total Score]]&gt;9, 1, 0)</f>
        <v>0</v>
      </c>
      <c r="L581">
        <f>IF(Convert_to_Games[[#This Row],[DD]]=0, 0, IF(L580 = "Cons DD", Convert_to_Games[[#This Row],[DD]], L580+L580))</f>
        <v>0</v>
      </c>
    </row>
    <row r="582" spans="1:12">
      <c r="A582" t="s">
        <v>25</v>
      </c>
      <c r="B582" t="s">
        <v>20</v>
      </c>
      <c r="C582" t="s">
        <v>16</v>
      </c>
      <c r="D582" s="9">
        <v>45854</v>
      </c>
      <c r="E582">
        <v>169</v>
      </c>
      <c r="F582" t="s">
        <v>108</v>
      </c>
      <c r="G582">
        <v>3</v>
      </c>
      <c r="H582" t="s">
        <v>78</v>
      </c>
      <c r="I582">
        <v>2</v>
      </c>
      <c r="J582">
        <v>0</v>
      </c>
      <c r="K582">
        <f>IF(Convert_to_Games[[#This Row],[Total Score]]&gt;9, 1, 0)</f>
        <v>0</v>
      </c>
      <c r="L582">
        <f>IF(Convert_to_Games[[#This Row],[DD]]=0, 0, IF(L581 = "Cons DD", Convert_to_Games[[#This Row],[DD]], L581+L581))</f>
        <v>0</v>
      </c>
    </row>
    <row r="583" spans="1:12">
      <c r="A583" t="s">
        <v>25</v>
      </c>
      <c r="B583" t="s">
        <v>20</v>
      </c>
      <c r="C583" t="s">
        <v>16</v>
      </c>
      <c r="D583" s="9">
        <v>45861</v>
      </c>
      <c r="E583">
        <v>178</v>
      </c>
      <c r="F583" t="s">
        <v>8</v>
      </c>
      <c r="G583">
        <v>3</v>
      </c>
      <c r="H583" t="s">
        <v>6</v>
      </c>
      <c r="I583">
        <v>2</v>
      </c>
      <c r="J583">
        <v>0</v>
      </c>
      <c r="K583">
        <f>IF(Convert_to_Games[[#This Row],[Total Score]]&gt;9, 1, 0)</f>
        <v>0</v>
      </c>
      <c r="L583">
        <f>IF(Convert_to_Games[[#This Row],[DD]]=0, 0, IF(L582 = "Cons DD", Convert_to_Games[[#This Row],[DD]], L582+L582))</f>
        <v>0</v>
      </c>
    </row>
    <row r="584" spans="1:12">
      <c r="A584" t="s">
        <v>25</v>
      </c>
      <c r="B584" t="s">
        <v>20</v>
      </c>
      <c r="C584" t="s">
        <v>16</v>
      </c>
      <c r="D584" s="9">
        <v>45866</v>
      </c>
      <c r="E584">
        <v>184</v>
      </c>
      <c r="F584" t="s">
        <v>71</v>
      </c>
      <c r="G584">
        <v>3</v>
      </c>
      <c r="H584" t="s">
        <v>6</v>
      </c>
      <c r="I584">
        <v>2</v>
      </c>
      <c r="J584">
        <v>0</v>
      </c>
      <c r="K584">
        <f>IF(Convert_to_Games[[#This Row],[Total Score]]&gt;9, 1, 0)</f>
        <v>0</v>
      </c>
      <c r="L584">
        <f>IF(Convert_to_Games[[#This Row],[DD]]=0, 0, IF(L583 = "Cons DD", Convert_to_Games[[#This Row],[DD]], L583+L583))</f>
        <v>0</v>
      </c>
    </row>
    <row r="585" spans="1:12">
      <c r="A585" t="s">
        <v>25</v>
      </c>
      <c r="B585">
        <v>256</v>
      </c>
      <c r="C585" t="s">
        <v>116</v>
      </c>
      <c r="D585" s="9">
        <v>45999</v>
      </c>
      <c r="E585">
        <v>249</v>
      </c>
      <c r="F585" t="s">
        <v>8</v>
      </c>
      <c r="G585">
        <v>3</v>
      </c>
      <c r="H585" t="s">
        <v>6</v>
      </c>
      <c r="I585">
        <v>2</v>
      </c>
      <c r="J585">
        <v>0</v>
      </c>
      <c r="K585">
        <f>IF(Convert_to_Games[[#This Row],[Total Score]]&gt;9, 1, 0)</f>
        <v>0</v>
      </c>
      <c r="L585">
        <f>IF(Convert_to_Games[[#This Row],[DD]]=0, 0, IF(L584 = "Cons DD", Convert_to_Games[[#This Row],[DD]], L584+L584))</f>
        <v>0</v>
      </c>
    </row>
    <row r="586" spans="1:12">
      <c r="A586" t="s">
        <v>25</v>
      </c>
      <c r="B586" t="s">
        <v>20</v>
      </c>
      <c r="C586" t="s">
        <v>18</v>
      </c>
      <c r="D586" s="9">
        <v>45707</v>
      </c>
      <c r="E586">
        <v>1</v>
      </c>
      <c r="F586" t="s">
        <v>8</v>
      </c>
      <c r="G586">
        <v>3</v>
      </c>
      <c r="H586" t="s">
        <v>5</v>
      </c>
      <c r="I586">
        <v>1</v>
      </c>
      <c r="J586">
        <v>0</v>
      </c>
      <c r="K586">
        <f>IF(Convert_to_Games[[#This Row],[Total Score]]&gt;9, 1, 0)</f>
        <v>0</v>
      </c>
      <c r="L586">
        <f>IF(Convert_to_Games[[#This Row],[DD]]=0, 0, IF(L585 = "Cons DD", Convert_to_Games[[#This Row],[DD]], L585+L585))</f>
        <v>0</v>
      </c>
    </row>
    <row r="587" spans="1:12">
      <c r="A587" t="s">
        <v>25</v>
      </c>
      <c r="B587" t="s">
        <v>20</v>
      </c>
      <c r="C587" t="s">
        <v>18</v>
      </c>
      <c r="D587" s="9">
        <v>45707</v>
      </c>
      <c r="E587">
        <v>1</v>
      </c>
      <c r="F587" t="s">
        <v>8</v>
      </c>
      <c r="G587">
        <v>3</v>
      </c>
      <c r="H587" t="s">
        <v>6</v>
      </c>
      <c r="I587">
        <v>1</v>
      </c>
      <c r="J587">
        <v>0</v>
      </c>
      <c r="K587">
        <f>IF(Convert_to_Games[[#This Row],[Total Score]]&gt;9, 1, 0)</f>
        <v>0</v>
      </c>
      <c r="L587">
        <f>IF(Convert_to_Games[[#This Row],[DD]]=0, 0, IF(L586 = "Cons DD", Convert_to_Games[[#This Row],[DD]], L586+L586))</f>
        <v>0</v>
      </c>
    </row>
    <row r="588" spans="1:12">
      <c r="A588" t="s">
        <v>25</v>
      </c>
      <c r="B588" t="s">
        <v>20</v>
      </c>
      <c r="C588" t="s">
        <v>18</v>
      </c>
      <c r="D588" s="9">
        <v>45708</v>
      </c>
      <c r="E588">
        <v>5</v>
      </c>
      <c r="F588" t="s">
        <v>10</v>
      </c>
      <c r="G588">
        <v>3</v>
      </c>
      <c r="H588" t="s">
        <v>5</v>
      </c>
      <c r="I588">
        <v>1</v>
      </c>
      <c r="J588">
        <v>0</v>
      </c>
      <c r="K588">
        <f>IF(Convert_to_Games[[#This Row],[Total Score]]&gt;9, 1, 0)</f>
        <v>0</v>
      </c>
      <c r="L588">
        <f>IF(Convert_to_Games[[#This Row],[DD]]=0, 0, IF(L587 = "Cons DD", Convert_to_Games[[#This Row],[DD]], L587+L587))</f>
        <v>0</v>
      </c>
    </row>
    <row r="589" spans="1:12">
      <c r="A589" t="s">
        <v>25</v>
      </c>
      <c r="B589" t="s">
        <v>20</v>
      </c>
      <c r="C589" t="s">
        <v>18</v>
      </c>
      <c r="D589" s="9">
        <v>45713</v>
      </c>
      <c r="E589">
        <v>10</v>
      </c>
      <c r="F589" t="s">
        <v>11</v>
      </c>
      <c r="G589">
        <v>3</v>
      </c>
      <c r="H589" t="s">
        <v>5</v>
      </c>
      <c r="I589">
        <v>1</v>
      </c>
      <c r="J589">
        <v>0</v>
      </c>
      <c r="K589">
        <f>IF(Convert_to_Games[[#This Row],[Total Score]]&gt;9, 1, 0)</f>
        <v>0</v>
      </c>
      <c r="L589">
        <f>IF(Convert_to_Games[[#This Row],[DD]]=0, 0, IF(L588 = "Cons DD", Convert_to_Games[[#This Row],[DD]], L588+L588))</f>
        <v>0</v>
      </c>
    </row>
    <row r="590" spans="1:12">
      <c r="A590" t="s">
        <v>25</v>
      </c>
      <c r="B590" t="s">
        <v>20</v>
      </c>
      <c r="C590" t="s">
        <v>16</v>
      </c>
      <c r="D590" s="9">
        <v>45715</v>
      </c>
      <c r="E590">
        <v>13</v>
      </c>
      <c r="F590" t="s">
        <v>12</v>
      </c>
      <c r="G590">
        <v>3</v>
      </c>
      <c r="H590" t="s">
        <v>5</v>
      </c>
      <c r="I590">
        <v>1</v>
      </c>
      <c r="J590">
        <v>0</v>
      </c>
      <c r="K590">
        <f>IF(Convert_to_Games[[#This Row],[Total Score]]&gt;9, 1, 0)</f>
        <v>0</v>
      </c>
      <c r="L590">
        <f>IF(Convert_to_Games[[#This Row],[DD]]=0, 0, IF(L589 = "Cons DD", Convert_to_Games[[#This Row],[DD]], L589+L589))</f>
        <v>0</v>
      </c>
    </row>
    <row r="591" spans="1:12">
      <c r="A591" t="s">
        <v>25</v>
      </c>
      <c r="B591" t="s">
        <v>20</v>
      </c>
      <c r="C591" t="s">
        <v>16</v>
      </c>
      <c r="D591" s="9">
        <v>45720</v>
      </c>
      <c r="E591">
        <v>16</v>
      </c>
      <c r="F591" t="s">
        <v>14</v>
      </c>
      <c r="G591">
        <v>3</v>
      </c>
      <c r="H591" t="s">
        <v>5</v>
      </c>
      <c r="I591">
        <v>1</v>
      </c>
      <c r="J591">
        <v>0</v>
      </c>
      <c r="K591">
        <f>IF(Convert_to_Games[[#This Row],[Total Score]]&gt;9, 1, 0)</f>
        <v>0</v>
      </c>
      <c r="L591">
        <f>IF(Convert_to_Games[[#This Row],[DD]]=0, 0, IF(L590 = "Cons DD", Convert_to_Games[[#This Row],[DD]], L590+L590))</f>
        <v>0</v>
      </c>
    </row>
    <row r="592" spans="1:12">
      <c r="A592" t="s">
        <v>25</v>
      </c>
      <c r="B592" t="s">
        <v>20</v>
      </c>
      <c r="C592" t="s">
        <v>16</v>
      </c>
      <c r="D592" s="9">
        <v>45721</v>
      </c>
      <c r="E592">
        <v>17</v>
      </c>
      <c r="F592" t="s">
        <v>9</v>
      </c>
      <c r="G592">
        <v>3</v>
      </c>
      <c r="H592" t="s">
        <v>5</v>
      </c>
      <c r="I592">
        <v>1</v>
      </c>
      <c r="J592">
        <v>0</v>
      </c>
      <c r="K592">
        <f>IF(Convert_to_Games[[#This Row],[Total Score]]&gt;9, 1, 0)</f>
        <v>0</v>
      </c>
      <c r="L592">
        <f>IF(Convert_to_Games[[#This Row],[DD]]=0, 0, IF(L591 = "Cons DD", Convert_to_Games[[#This Row],[DD]], L591+L591))</f>
        <v>0</v>
      </c>
    </row>
    <row r="593" spans="1:12">
      <c r="A593" t="s">
        <v>25</v>
      </c>
      <c r="B593" t="s">
        <v>20</v>
      </c>
      <c r="C593" t="s">
        <v>16</v>
      </c>
      <c r="D593" s="9">
        <v>45729</v>
      </c>
      <c r="E593">
        <v>24</v>
      </c>
      <c r="F593" t="s">
        <v>9</v>
      </c>
      <c r="G593">
        <v>3</v>
      </c>
      <c r="H593" t="s">
        <v>5</v>
      </c>
      <c r="I593">
        <v>1</v>
      </c>
      <c r="J593">
        <v>0</v>
      </c>
      <c r="K593">
        <f>IF(Convert_to_Games[[#This Row],[Total Score]]&gt;9, 1, 0)</f>
        <v>0</v>
      </c>
      <c r="L593">
        <f>IF(Convert_to_Games[[#This Row],[DD]]=0, 0, IF(L592 = "Cons DD", Convert_to_Games[[#This Row],[DD]], L592+L592))</f>
        <v>0</v>
      </c>
    </row>
    <row r="594" spans="1:12">
      <c r="A594" t="s">
        <v>25</v>
      </c>
      <c r="B594" t="s">
        <v>20</v>
      </c>
      <c r="C594" t="s">
        <v>18</v>
      </c>
      <c r="D594" s="9">
        <v>45740</v>
      </c>
      <c r="E594">
        <v>25</v>
      </c>
      <c r="F594" t="s">
        <v>13</v>
      </c>
      <c r="G594">
        <v>3</v>
      </c>
      <c r="H594" t="s">
        <v>7</v>
      </c>
      <c r="I594">
        <v>1</v>
      </c>
      <c r="J594">
        <v>0</v>
      </c>
      <c r="K594">
        <f>IF(Convert_to_Games[[#This Row],[Total Score]]&gt;9, 1, 0)</f>
        <v>0</v>
      </c>
      <c r="L594">
        <f>IF(Convert_to_Games[[#This Row],[DD]]=0, 0, IF(L593 = "Cons DD", Convert_to_Games[[#This Row],[DD]], L593+L593))</f>
        <v>0</v>
      </c>
    </row>
    <row r="595" spans="1:12">
      <c r="A595" t="s">
        <v>25</v>
      </c>
      <c r="B595" t="s">
        <v>21</v>
      </c>
      <c r="C595" t="s">
        <v>16</v>
      </c>
      <c r="D595" s="9">
        <v>45750</v>
      </c>
      <c r="E595">
        <v>34</v>
      </c>
      <c r="F595" t="s">
        <v>15</v>
      </c>
      <c r="G595">
        <v>3</v>
      </c>
      <c r="H595" t="s">
        <v>5</v>
      </c>
      <c r="I595">
        <v>1</v>
      </c>
      <c r="J595">
        <v>0</v>
      </c>
      <c r="K595">
        <f>IF(Convert_to_Games[[#This Row],[Total Score]]&gt;9, 1, 0)</f>
        <v>0</v>
      </c>
      <c r="L595">
        <f>IF(Convert_to_Games[[#This Row],[DD]]=0, 0, IF(L594 = "Cons DD", Convert_to_Games[[#This Row],[DD]], L594+L594))</f>
        <v>0</v>
      </c>
    </row>
    <row r="596" spans="1:12">
      <c r="A596" t="s">
        <v>25</v>
      </c>
      <c r="B596" t="s">
        <v>21</v>
      </c>
      <c r="C596" t="s">
        <v>16</v>
      </c>
      <c r="D596" s="9">
        <v>45750</v>
      </c>
      <c r="E596">
        <v>34</v>
      </c>
      <c r="F596" t="s">
        <v>15</v>
      </c>
      <c r="G596">
        <v>3</v>
      </c>
      <c r="H596" t="s">
        <v>6</v>
      </c>
      <c r="I596">
        <v>1</v>
      </c>
      <c r="J596">
        <v>0</v>
      </c>
      <c r="K596">
        <f>IF(Convert_to_Games[[#This Row],[Total Score]]&gt;9, 1, 0)</f>
        <v>0</v>
      </c>
      <c r="L596">
        <f>IF(Convert_to_Games[[#This Row],[DD]]=0, 0, IF(L595 = "Cons DD", Convert_to_Games[[#This Row],[DD]], L595+L595))</f>
        <v>0</v>
      </c>
    </row>
    <row r="597" spans="1:12">
      <c r="A597" t="s">
        <v>25</v>
      </c>
      <c r="B597" t="s">
        <v>19</v>
      </c>
      <c r="C597" t="s">
        <v>16</v>
      </c>
      <c r="D597" s="9">
        <v>45754</v>
      </c>
      <c r="E597">
        <v>36</v>
      </c>
      <c r="F597" t="s">
        <v>15</v>
      </c>
      <c r="G597">
        <v>3</v>
      </c>
      <c r="H597" t="s">
        <v>4</v>
      </c>
      <c r="I597">
        <v>1</v>
      </c>
      <c r="J597">
        <v>0</v>
      </c>
      <c r="K597">
        <f>IF(Convert_to_Games[[#This Row],[Total Score]]&gt;9, 1, 0)</f>
        <v>0</v>
      </c>
      <c r="L597">
        <f>IF(Convert_to_Games[[#This Row],[DD]]=0, 0, IF(L596 = "Cons DD", Convert_to_Games[[#This Row],[DD]], L596+L596))</f>
        <v>0</v>
      </c>
    </row>
    <row r="598" spans="1:12">
      <c r="A598" t="s">
        <v>25</v>
      </c>
      <c r="B598" t="s">
        <v>21</v>
      </c>
      <c r="C598" t="s">
        <v>16</v>
      </c>
      <c r="D598" s="9">
        <v>45755</v>
      </c>
      <c r="E598">
        <v>38</v>
      </c>
      <c r="F598" t="s">
        <v>13</v>
      </c>
      <c r="G598">
        <v>3</v>
      </c>
      <c r="H598" t="s">
        <v>4</v>
      </c>
      <c r="I598">
        <v>1</v>
      </c>
      <c r="J598">
        <v>0</v>
      </c>
      <c r="K598">
        <f>IF(Convert_to_Games[[#This Row],[Total Score]]&gt;9, 1, 0)</f>
        <v>0</v>
      </c>
      <c r="L598">
        <f>IF(Convert_to_Games[[#This Row],[DD]]=0, 0, IF(L597 = "Cons DD", Convert_to_Games[[#This Row],[DD]], L597+L597))</f>
        <v>0</v>
      </c>
    </row>
    <row r="599" spans="1:12">
      <c r="A599" t="s">
        <v>26</v>
      </c>
      <c r="B599" t="s">
        <v>20</v>
      </c>
      <c r="C599" t="s">
        <v>16</v>
      </c>
      <c r="D599" s="9">
        <v>45762</v>
      </c>
      <c r="E599">
        <v>45</v>
      </c>
      <c r="F599" t="s">
        <v>9</v>
      </c>
      <c r="G599">
        <v>3</v>
      </c>
      <c r="H599" t="s">
        <v>5</v>
      </c>
      <c r="I599">
        <v>1</v>
      </c>
      <c r="J599">
        <v>0</v>
      </c>
      <c r="K599">
        <f>IF(Convert_to_Games[[#This Row],[Total Score]]&gt;9, 1, 0)</f>
        <v>0</v>
      </c>
      <c r="L599">
        <f>IF(Convert_to_Games[[#This Row],[DD]]=0, 0, IF(L598 = "Cons DD", Convert_to_Games[[#This Row],[DD]], L598+L598))</f>
        <v>0</v>
      </c>
    </row>
    <row r="600" spans="1:12">
      <c r="A600" t="s">
        <v>25</v>
      </c>
      <c r="B600" t="s">
        <v>20</v>
      </c>
      <c r="C600" t="s">
        <v>16</v>
      </c>
      <c r="D600" s="9">
        <v>45762</v>
      </c>
      <c r="E600">
        <v>47</v>
      </c>
      <c r="F600" t="s">
        <v>27</v>
      </c>
      <c r="G600">
        <v>3</v>
      </c>
      <c r="H600" t="s">
        <v>7</v>
      </c>
      <c r="I600">
        <v>1</v>
      </c>
      <c r="J600">
        <v>0</v>
      </c>
      <c r="K600">
        <f>IF(Convert_to_Games[[#This Row],[Total Score]]&gt;9, 1, 0)</f>
        <v>0</v>
      </c>
      <c r="L600">
        <f>IF(Convert_to_Games[[#This Row],[DD]]=0, 0, IF(L599 = "Cons DD", Convert_to_Games[[#This Row],[DD]], L599+L599))</f>
        <v>0</v>
      </c>
    </row>
    <row r="601" spans="1:12">
      <c r="A601" t="s">
        <v>25</v>
      </c>
      <c r="B601" t="s">
        <v>21</v>
      </c>
      <c r="C601" t="s">
        <v>16</v>
      </c>
      <c r="D601" s="9">
        <v>45764</v>
      </c>
      <c r="E601">
        <v>54</v>
      </c>
      <c r="F601" t="s">
        <v>28</v>
      </c>
      <c r="G601">
        <v>3</v>
      </c>
      <c r="H601" t="s">
        <v>29</v>
      </c>
      <c r="I601">
        <v>1</v>
      </c>
      <c r="J601">
        <v>0</v>
      </c>
      <c r="K601">
        <f>IF(Convert_to_Games[[#This Row],[Total Score]]&gt;9, 1, 0)</f>
        <v>0</v>
      </c>
      <c r="L601">
        <f>IF(Convert_to_Games[[#This Row],[DD]]=0, 0, IF(L600 = "Cons DD", Convert_to_Games[[#This Row],[DD]], L600+L600))</f>
        <v>0</v>
      </c>
    </row>
    <row r="602" spans="1:12">
      <c r="A602" t="s">
        <v>25</v>
      </c>
      <c r="B602" t="s">
        <v>21</v>
      </c>
      <c r="C602" t="s">
        <v>16</v>
      </c>
      <c r="D602" s="9">
        <v>45768</v>
      </c>
      <c r="E602">
        <v>59</v>
      </c>
      <c r="F602" t="s">
        <v>11</v>
      </c>
      <c r="G602">
        <v>3</v>
      </c>
      <c r="H602" t="s">
        <v>5</v>
      </c>
      <c r="I602">
        <v>1</v>
      </c>
      <c r="J602">
        <v>0</v>
      </c>
      <c r="K602">
        <f>IF(Convert_to_Games[[#This Row],[Total Score]]&gt;9, 1, 0)</f>
        <v>0</v>
      </c>
      <c r="L602">
        <f>IF(Convert_to_Games[[#This Row],[DD]]=0, 0, IF(L601 = "Cons DD", Convert_to_Games[[#This Row],[DD]], L601+L601))</f>
        <v>0</v>
      </c>
    </row>
    <row r="603" spans="1:12">
      <c r="A603" t="s">
        <v>25</v>
      </c>
      <c r="B603" t="s">
        <v>21</v>
      </c>
      <c r="C603" t="s">
        <v>16</v>
      </c>
      <c r="D603" s="9">
        <v>45769</v>
      </c>
      <c r="E603">
        <v>62</v>
      </c>
      <c r="F603" t="s">
        <v>33</v>
      </c>
      <c r="G603">
        <v>3</v>
      </c>
      <c r="H603" t="s">
        <v>7</v>
      </c>
      <c r="I603">
        <v>1</v>
      </c>
      <c r="J603">
        <v>0</v>
      </c>
      <c r="K603">
        <f>IF(Convert_to_Games[[#This Row],[Total Score]]&gt;9, 1, 0)</f>
        <v>0</v>
      </c>
      <c r="L603">
        <f>IF(Convert_to_Games[[#This Row],[DD]]=0, 0, IF(L602 = "Cons DD", Convert_to_Games[[#This Row],[DD]], L602+L602))</f>
        <v>0</v>
      </c>
    </row>
    <row r="604" spans="1:12">
      <c r="A604" t="s">
        <v>25</v>
      </c>
      <c r="B604" t="s">
        <v>20</v>
      </c>
      <c r="C604" t="s">
        <v>16</v>
      </c>
      <c r="D604" s="9">
        <v>45771</v>
      </c>
      <c r="E604">
        <v>68</v>
      </c>
      <c r="F604" t="s">
        <v>15</v>
      </c>
      <c r="G604">
        <v>3</v>
      </c>
      <c r="H604" t="s">
        <v>5</v>
      </c>
      <c r="I604">
        <v>1</v>
      </c>
      <c r="J604">
        <v>0</v>
      </c>
      <c r="K604">
        <f>IF(Convert_to_Games[[#This Row],[Total Score]]&gt;9, 1, 0)</f>
        <v>0</v>
      </c>
      <c r="L604">
        <f>IF(Convert_to_Games[[#This Row],[DD]]=0, 0, IF(L603 = "Cons DD", Convert_to_Games[[#This Row],[DD]], L603+L603))</f>
        <v>0</v>
      </c>
    </row>
    <row r="605" spans="1:12">
      <c r="A605" t="s">
        <v>25</v>
      </c>
      <c r="B605" t="s">
        <v>20</v>
      </c>
      <c r="C605" t="s">
        <v>16</v>
      </c>
      <c r="D605" s="9">
        <v>45775</v>
      </c>
      <c r="E605">
        <v>72</v>
      </c>
      <c r="F605" t="s">
        <v>12</v>
      </c>
      <c r="G605">
        <v>3</v>
      </c>
      <c r="H605" t="s">
        <v>5</v>
      </c>
      <c r="I605">
        <v>1</v>
      </c>
      <c r="J605">
        <v>0</v>
      </c>
      <c r="K605">
        <f>IF(Convert_to_Games[[#This Row],[Total Score]]&gt;9, 1, 0)</f>
        <v>0</v>
      </c>
      <c r="L605">
        <f>IF(Convert_to_Games[[#This Row],[DD]]=0, 0, IF(L604 = "Cons DD", Convert_to_Games[[#This Row],[DD]], L604+L604))</f>
        <v>0</v>
      </c>
    </row>
    <row r="606" spans="1:12">
      <c r="A606" t="s">
        <v>25</v>
      </c>
      <c r="B606" t="s">
        <v>21</v>
      </c>
      <c r="C606" t="s">
        <v>16</v>
      </c>
      <c r="D606" s="9">
        <v>45775</v>
      </c>
      <c r="E606">
        <v>74</v>
      </c>
      <c r="F606" t="s">
        <v>33</v>
      </c>
      <c r="G606">
        <v>3</v>
      </c>
      <c r="H606" t="s">
        <v>5</v>
      </c>
      <c r="I606">
        <v>1</v>
      </c>
      <c r="J606">
        <v>0</v>
      </c>
      <c r="K606">
        <f>IF(Convert_to_Games[[#This Row],[Total Score]]&gt;9, 1, 0)</f>
        <v>0</v>
      </c>
      <c r="L606">
        <f>IF(Convert_to_Games[[#This Row],[DD]]=0, 0, IF(L605 = "Cons DD", Convert_to_Games[[#This Row],[DD]], L605+L605))</f>
        <v>0</v>
      </c>
    </row>
    <row r="607" spans="1:12">
      <c r="A607" t="s">
        <v>25</v>
      </c>
      <c r="B607" t="s">
        <v>20</v>
      </c>
      <c r="C607" t="s">
        <v>16</v>
      </c>
      <c r="D607" s="9">
        <v>45776</v>
      </c>
      <c r="E607">
        <v>77</v>
      </c>
      <c r="F607" t="s">
        <v>57</v>
      </c>
      <c r="G607">
        <v>3</v>
      </c>
      <c r="H607" t="s">
        <v>4</v>
      </c>
      <c r="I607">
        <v>1</v>
      </c>
      <c r="J607">
        <v>0</v>
      </c>
      <c r="K607">
        <f>IF(Convert_to_Games[[#This Row],[Total Score]]&gt;9, 1, 0)</f>
        <v>0</v>
      </c>
      <c r="L607">
        <f>IF(Convert_to_Games[[#This Row],[DD]]=0, 0, IF(L606 = "Cons DD", Convert_to_Games[[#This Row],[DD]], L606+L606))</f>
        <v>0</v>
      </c>
    </row>
    <row r="608" spans="1:12">
      <c r="A608" t="s">
        <v>25</v>
      </c>
      <c r="B608" t="s">
        <v>20</v>
      </c>
      <c r="C608" t="s">
        <v>16</v>
      </c>
      <c r="D608" s="9">
        <v>45776</v>
      </c>
      <c r="E608">
        <v>79</v>
      </c>
      <c r="F608" t="s">
        <v>59</v>
      </c>
      <c r="G608">
        <v>3</v>
      </c>
      <c r="H608" t="s">
        <v>5</v>
      </c>
      <c r="I608">
        <v>1</v>
      </c>
      <c r="J608">
        <v>0</v>
      </c>
      <c r="K608">
        <f>IF(Convert_to_Games[[#This Row],[Total Score]]&gt;9, 1, 0)</f>
        <v>0</v>
      </c>
      <c r="L608">
        <f>IF(Convert_to_Games[[#This Row],[DD]]=0, 0, IF(L607 = "Cons DD", Convert_to_Games[[#This Row],[DD]], L607+L607))</f>
        <v>0</v>
      </c>
    </row>
    <row r="609" spans="1:12">
      <c r="A609" t="s">
        <v>25</v>
      </c>
      <c r="B609" t="s">
        <v>20</v>
      </c>
      <c r="C609" t="s">
        <v>16</v>
      </c>
      <c r="D609" s="9">
        <v>45776</v>
      </c>
      <c r="E609">
        <v>79</v>
      </c>
      <c r="F609" t="s">
        <v>59</v>
      </c>
      <c r="G609">
        <v>3</v>
      </c>
      <c r="H609" t="s">
        <v>6</v>
      </c>
      <c r="I609">
        <v>1</v>
      </c>
      <c r="J609">
        <v>0</v>
      </c>
      <c r="K609">
        <f>IF(Convert_to_Games[[#This Row],[Total Score]]&gt;9, 1, 0)</f>
        <v>0</v>
      </c>
      <c r="L609">
        <f>IF(Convert_to_Games[[#This Row],[DD]]=0, 0, IF(L608 = "Cons DD", Convert_to_Games[[#This Row],[DD]], L608+L608))</f>
        <v>0</v>
      </c>
    </row>
    <row r="610" spans="1:12">
      <c r="A610" t="s">
        <v>25</v>
      </c>
      <c r="B610" t="s">
        <v>20</v>
      </c>
      <c r="C610" t="s">
        <v>16</v>
      </c>
      <c r="D610" s="9">
        <v>45782</v>
      </c>
      <c r="E610">
        <v>90</v>
      </c>
      <c r="F610" t="s">
        <v>9</v>
      </c>
      <c r="G610">
        <v>3</v>
      </c>
      <c r="H610" t="s">
        <v>5</v>
      </c>
      <c r="I610">
        <v>1</v>
      </c>
      <c r="J610">
        <v>0</v>
      </c>
      <c r="K610">
        <f>IF(Convert_to_Games[[#This Row],[Total Score]]&gt;9, 1, 0)</f>
        <v>0</v>
      </c>
      <c r="L610">
        <f>IF(Convert_to_Games[[#This Row],[DD]]=0, 0, IF(L609 = "Cons DD", Convert_to_Games[[#This Row],[DD]], L609+L609))</f>
        <v>0</v>
      </c>
    </row>
    <row r="611" spans="1:12">
      <c r="A611" t="s">
        <v>25</v>
      </c>
      <c r="B611" t="s">
        <v>20</v>
      </c>
      <c r="C611" t="s">
        <v>16</v>
      </c>
      <c r="D611" s="9">
        <v>45784</v>
      </c>
      <c r="E611">
        <v>93</v>
      </c>
      <c r="F611" t="s">
        <v>11</v>
      </c>
      <c r="G611">
        <v>3</v>
      </c>
      <c r="H611" t="s">
        <v>5</v>
      </c>
      <c r="I611">
        <v>1</v>
      </c>
      <c r="J611">
        <v>0</v>
      </c>
      <c r="K611">
        <f>IF(Convert_to_Games[[#This Row],[Total Score]]&gt;9, 1, 0)</f>
        <v>0</v>
      </c>
      <c r="L611">
        <f>IF(Convert_to_Games[[#This Row],[DD]]=0, 0, IF(L610 = "Cons DD", Convert_to_Games[[#This Row],[DD]], L610+L610))</f>
        <v>0</v>
      </c>
    </row>
    <row r="612" spans="1:12">
      <c r="A612" t="s">
        <v>25</v>
      </c>
      <c r="B612" t="s">
        <v>21</v>
      </c>
      <c r="C612" t="s">
        <v>16</v>
      </c>
      <c r="D612" s="9">
        <v>45784</v>
      </c>
      <c r="E612">
        <v>95</v>
      </c>
      <c r="F612" t="s">
        <v>9</v>
      </c>
      <c r="G612">
        <v>3</v>
      </c>
      <c r="H612" t="s">
        <v>5</v>
      </c>
      <c r="I612">
        <v>1</v>
      </c>
      <c r="J612">
        <v>0</v>
      </c>
      <c r="K612">
        <f>IF(Convert_to_Games[[#This Row],[Total Score]]&gt;9, 1, 0)</f>
        <v>0</v>
      </c>
      <c r="L612">
        <f>IF(Convert_to_Games[[#This Row],[DD]]=0, 0, IF(L611 = "Cons DD", Convert_to_Games[[#This Row],[DD]], L611+L611))</f>
        <v>0</v>
      </c>
    </row>
    <row r="613" spans="1:12">
      <c r="A613" t="s">
        <v>25</v>
      </c>
      <c r="B613" t="s">
        <v>20</v>
      </c>
      <c r="C613" t="s">
        <v>16</v>
      </c>
      <c r="D613" s="9">
        <v>45797</v>
      </c>
      <c r="E613">
        <v>102</v>
      </c>
      <c r="F613" t="s">
        <v>27</v>
      </c>
      <c r="G613">
        <v>3</v>
      </c>
      <c r="H613" t="s">
        <v>7</v>
      </c>
      <c r="I613">
        <v>1</v>
      </c>
      <c r="J613">
        <v>0</v>
      </c>
      <c r="K613">
        <f>IF(Convert_to_Games[[#This Row],[Total Score]]&gt;9, 1, 0)</f>
        <v>0</v>
      </c>
      <c r="L613">
        <f>IF(Convert_to_Games[[#This Row],[DD]]=0, 0, IF(L612 = "Cons DD", Convert_to_Games[[#This Row],[DD]], L612+L612))</f>
        <v>0</v>
      </c>
    </row>
    <row r="614" spans="1:12">
      <c r="A614" t="s">
        <v>25</v>
      </c>
      <c r="B614" t="s">
        <v>20</v>
      </c>
      <c r="C614" t="s">
        <v>16</v>
      </c>
      <c r="D614" s="9">
        <v>45799</v>
      </c>
      <c r="E614">
        <v>104</v>
      </c>
      <c r="F614" t="s">
        <v>71</v>
      </c>
      <c r="G614">
        <v>3</v>
      </c>
      <c r="H614" t="s">
        <v>6</v>
      </c>
      <c r="I614">
        <v>1</v>
      </c>
      <c r="J614">
        <v>0</v>
      </c>
      <c r="K614">
        <f>IF(Convert_to_Games[[#This Row],[Total Score]]&gt;9, 1, 0)</f>
        <v>0</v>
      </c>
      <c r="L614">
        <f>IF(Convert_to_Games[[#This Row],[DD]]=0, 0, IF(L613 = "Cons DD", Convert_to_Games[[#This Row],[DD]], L613+L613))</f>
        <v>0</v>
      </c>
    </row>
    <row r="615" spans="1:12">
      <c r="A615" t="s">
        <v>25</v>
      </c>
      <c r="B615" t="s">
        <v>20</v>
      </c>
      <c r="C615" t="s">
        <v>16</v>
      </c>
      <c r="D615" s="9">
        <v>45811</v>
      </c>
      <c r="E615">
        <v>105</v>
      </c>
      <c r="F615" t="s">
        <v>71</v>
      </c>
      <c r="G615">
        <v>3</v>
      </c>
      <c r="H615" t="s">
        <v>6</v>
      </c>
      <c r="I615">
        <v>1</v>
      </c>
      <c r="J615">
        <v>0</v>
      </c>
      <c r="K615">
        <f>IF(Convert_to_Games[[#This Row],[Total Score]]&gt;9, 1, 0)</f>
        <v>0</v>
      </c>
      <c r="L615">
        <f>IF(Convert_to_Games[[#This Row],[DD]]=0, 0, IF(L614 = "Cons DD", Convert_to_Games[[#This Row],[DD]], L614+L614))</f>
        <v>0</v>
      </c>
    </row>
    <row r="616" spans="1:12">
      <c r="A616" t="s">
        <v>25</v>
      </c>
      <c r="B616" t="s">
        <v>20</v>
      </c>
      <c r="C616" t="s">
        <v>16</v>
      </c>
      <c r="D616" s="9">
        <v>45824</v>
      </c>
      <c r="E616">
        <v>112</v>
      </c>
      <c r="F616" t="s">
        <v>59</v>
      </c>
      <c r="G616">
        <v>3</v>
      </c>
      <c r="H616" t="s">
        <v>5</v>
      </c>
      <c r="I616">
        <v>1</v>
      </c>
      <c r="J616">
        <v>0</v>
      </c>
      <c r="K616">
        <f>IF(Convert_to_Games[[#This Row],[Total Score]]&gt;9, 1, 0)</f>
        <v>0</v>
      </c>
      <c r="L616">
        <f>IF(Convert_to_Games[[#This Row],[DD]]=0, 0, IF(L615 = "Cons DD", Convert_to_Games[[#This Row],[DD]], L615+L615))</f>
        <v>0</v>
      </c>
    </row>
    <row r="617" spans="1:12">
      <c r="A617" t="s">
        <v>25</v>
      </c>
      <c r="B617" t="s">
        <v>20</v>
      </c>
      <c r="C617" t="s">
        <v>16</v>
      </c>
      <c r="D617" s="9">
        <v>45825</v>
      </c>
      <c r="E617">
        <v>114</v>
      </c>
      <c r="F617" t="s">
        <v>8</v>
      </c>
      <c r="G617">
        <v>3</v>
      </c>
      <c r="H617" t="s">
        <v>6</v>
      </c>
      <c r="I617">
        <v>1</v>
      </c>
      <c r="J617">
        <v>0</v>
      </c>
      <c r="K617">
        <f>IF(Convert_to_Games[[#This Row],[Total Score]]&gt;9, 1, 0)</f>
        <v>0</v>
      </c>
      <c r="L617">
        <f>IF(Convert_to_Games[[#This Row],[DD]]=0, 0, IF(L616 = "Cons DD", Convert_to_Games[[#This Row],[DD]], L616+L616))</f>
        <v>0</v>
      </c>
    </row>
    <row r="618" spans="1:12">
      <c r="A618" t="s">
        <v>25</v>
      </c>
      <c r="B618" t="s">
        <v>20</v>
      </c>
      <c r="C618" t="s">
        <v>16</v>
      </c>
      <c r="D618" s="9">
        <v>45833</v>
      </c>
      <c r="E618">
        <v>130</v>
      </c>
      <c r="F618" t="s">
        <v>94</v>
      </c>
      <c r="G618">
        <v>3</v>
      </c>
      <c r="H618" t="s">
        <v>78</v>
      </c>
      <c r="I618">
        <v>1</v>
      </c>
      <c r="J618">
        <v>0</v>
      </c>
      <c r="K618">
        <f>IF(Convert_to_Games[[#This Row],[Total Score]]&gt;9, 1, 0)</f>
        <v>0</v>
      </c>
      <c r="L618">
        <f>IF(Convert_to_Games[[#This Row],[DD]]=0, 0, IF(L617 = "Cons DD", Convert_to_Games[[#This Row],[DD]], L617+L617))</f>
        <v>0</v>
      </c>
    </row>
    <row r="619" spans="1:12">
      <c r="A619" t="s">
        <v>25</v>
      </c>
      <c r="B619" t="s">
        <v>20</v>
      </c>
      <c r="C619" t="s">
        <v>16</v>
      </c>
      <c r="D619" s="9">
        <v>45838</v>
      </c>
      <c r="E619">
        <v>137</v>
      </c>
      <c r="F619" t="s">
        <v>104</v>
      </c>
      <c r="G619">
        <v>3</v>
      </c>
      <c r="H619" t="s">
        <v>78</v>
      </c>
      <c r="I619">
        <v>1</v>
      </c>
      <c r="J619">
        <v>0</v>
      </c>
      <c r="K619">
        <f>IF(Convert_to_Games[[#This Row],[Total Score]]&gt;9, 1, 0)</f>
        <v>0</v>
      </c>
      <c r="L619">
        <f>IF(Convert_to_Games[[#This Row],[DD]]=0, 0, IF(L618 = "Cons DD", Convert_to_Games[[#This Row],[DD]], L618+L618))</f>
        <v>0</v>
      </c>
    </row>
    <row r="620" spans="1:12">
      <c r="A620" t="s">
        <v>25</v>
      </c>
      <c r="B620" t="s">
        <v>20</v>
      </c>
      <c r="C620" t="s">
        <v>16</v>
      </c>
      <c r="D620" s="9">
        <v>45841</v>
      </c>
      <c r="E620">
        <v>145</v>
      </c>
      <c r="F620" t="s">
        <v>108</v>
      </c>
      <c r="G620">
        <v>3</v>
      </c>
      <c r="H620" t="s">
        <v>78</v>
      </c>
      <c r="I620">
        <v>1</v>
      </c>
      <c r="J620">
        <v>0</v>
      </c>
      <c r="K620">
        <f>IF(Convert_to_Games[[#This Row],[Total Score]]&gt;9, 1, 0)</f>
        <v>0</v>
      </c>
      <c r="L620">
        <f>IF(Convert_to_Games[[#This Row],[DD]]=0, 0, IF(L619 = "Cons DD", Convert_to_Games[[#This Row],[DD]], L619+L619))</f>
        <v>0</v>
      </c>
    </row>
    <row r="621" spans="1:12">
      <c r="A621" t="s">
        <v>25</v>
      </c>
      <c r="B621" t="s">
        <v>20</v>
      </c>
      <c r="C621" t="s">
        <v>17</v>
      </c>
      <c r="D621" s="9">
        <v>45845</v>
      </c>
      <c r="E621">
        <v>148</v>
      </c>
      <c r="F621" t="s">
        <v>109</v>
      </c>
      <c r="G621">
        <v>3</v>
      </c>
      <c r="H621" t="s">
        <v>4</v>
      </c>
      <c r="I621">
        <v>1</v>
      </c>
      <c r="J621">
        <v>0</v>
      </c>
      <c r="K621">
        <f>IF(Convert_to_Games[[#This Row],[Total Score]]&gt;9, 1, 0)</f>
        <v>0</v>
      </c>
      <c r="L621">
        <f>IF(Convert_to_Games[[#This Row],[DD]]=0, 0, IF(L620 = "Cons DD", Convert_to_Games[[#This Row],[DD]], L620+L620))</f>
        <v>0</v>
      </c>
    </row>
    <row r="622" spans="1:12">
      <c r="A622" t="s">
        <v>25</v>
      </c>
      <c r="B622" t="s">
        <v>20</v>
      </c>
      <c r="C622" t="s">
        <v>16</v>
      </c>
      <c r="D622" s="9">
        <v>45847</v>
      </c>
      <c r="E622">
        <v>155</v>
      </c>
      <c r="F622" t="s">
        <v>103</v>
      </c>
      <c r="G622">
        <v>3</v>
      </c>
      <c r="H622" t="s">
        <v>78</v>
      </c>
      <c r="I622">
        <v>1</v>
      </c>
      <c r="J622">
        <v>0</v>
      </c>
      <c r="K622">
        <f>IF(Convert_to_Games[[#This Row],[Total Score]]&gt;9, 1, 0)</f>
        <v>0</v>
      </c>
      <c r="L622">
        <f>IF(Convert_to_Games[[#This Row],[DD]]=0, 0, IF(L621 = "Cons DD", Convert_to_Games[[#This Row],[DD]], L621+L621))</f>
        <v>0</v>
      </c>
    </row>
    <row r="623" spans="1:12">
      <c r="A623" t="s">
        <v>25</v>
      </c>
      <c r="B623" t="s">
        <v>20</v>
      </c>
      <c r="C623" t="s">
        <v>16</v>
      </c>
      <c r="D623" s="9">
        <v>45848</v>
      </c>
      <c r="E623">
        <v>156</v>
      </c>
      <c r="F623" t="s">
        <v>111</v>
      </c>
      <c r="G623">
        <v>3</v>
      </c>
      <c r="H623" t="s">
        <v>78</v>
      </c>
      <c r="I623">
        <v>1</v>
      </c>
      <c r="J623">
        <v>0</v>
      </c>
      <c r="K623">
        <f>IF(Convert_to_Games[[#This Row],[Total Score]]&gt;9, 1, 0)</f>
        <v>0</v>
      </c>
      <c r="L623">
        <f>IF(Convert_to_Games[[#This Row],[DD]]=0, 0, IF(L622 = "Cons DD", Convert_to_Games[[#This Row],[DD]], L622+L622))</f>
        <v>0</v>
      </c>
    </row>
    <row r="624" spans="1:12">
      <c r="A624" t="s">
        <v>25</v>
      </c>
      <c r="B624" t="s">
        <v>20</v>
      </c>
      <c r="C624" t="s">
        <v>16</v>
      </c>
      <c r="D624" s="9">
        <v>45849</v>
      </c>
      <c r="E624">
        <v>160</v>
      </c>
      <c r="F624" t="s">
        <v>111</v>
      </c>
      <c r="G624">
        <v>3</v>
      </c>
      <c r="H624" t="s">
        <v>78</v>
      </c>
      <c r="I624">
        <v>1</v>
      </c>
      <c r="J624">
        <v>0</v>
      </c>
      <c r="K624">
        <f>IF(Convert_to_Games[[#This Row],[Total Score]]&gt;9, 1, 0)</f>
        <v>0</v>
      </c>
      <c r="L624">
        <f>IF(Convert_to_Games[[#This Row],[DD]]=0, 0, IF(L623 = "Cons DD", Convert_to_Games[[#This Row],[DD]], L623+L623))</f>
        <v>0</v>
      </c>
    </row>
    <row r="625" spans="1:12">
      <c r="A625" t="s">
        <v>25</v>
      </c>
      <c r="B625" t="s">
        <v>20</v>
      </c>
      <c r="C625" t="s">
        <v>16</v>
      </c>
      <c r="D625" s="9">
        <v>45849</v>
      </c>
      <c r="E625">
        <v>161</v>
      </c>
      <c r="F625" t="s">
        <v>103</v>
      </c>
      <c r="G625">
        <v>3</v>
      </c>
      <c r="H625" t="s">
        <v>78</v>
      </c>
      <c r="I625">
        <v>1</v>
      </c>
      <c r="J625">
        <v>0</v>
      </c>
      <c r="K625">
        <f>IF(Convert_to_Games[[#This Row],[Total Score]]&gt;9, 1, 0)</f>
        <v>0</v>
      </c>
      <c r="L625">
        <f>IF(Convert_to_Games[[#This Row],[DD]]=0, 0, IF(L624 = "Cons DD", Convert_to_Games[[#This Row],[DD]], L624+L624))</f>
        <v>0</v>
      </c>
    </row>
    <row r="626" spans="1:12">
      <c r="A626" t="s">
        <v>25</v>
      </c>
      <c r="B626" t="s">
        <v>20</v>
      </c>
      <c r="C626" t="s">
        <v>16</v>
      </c>
      <c r="D626" s="9">
        <v>45854</v>
      </c>
      <c r="E626">
        <v>169</v>
      </c>
      <c r="F626" t="s">
        <v>108</v>
      </c>
      <c r="G626">
        <v>3</v>
      </c>
      <c r="H626" t="s">
        <v>5</v>
      </c>
      <c r="I626">
        <v>1</v>
      </c>
      <c r="J626">
        <v>0</v>
      </c>
      <c r="K626">
        <f>IF(Convert_to_Games[[#This Row],[Total Score]]&gt;9, 1, 0)</f>
        <v>0</v>
      </c>
      <c r="L626">
        <f>IF(Convert_to_Games[[#This Row],[DD]]=0, 0, IF(L625 = "Cons DD", Convert_to_Games[[#This Row],[DD]], L625+L625))</f>
        <v>0</v>
      </c>
    </row>
    <row r="627" spans="1:12">
      <c r="A627" t="s">
        <v>25</v>
      </c>
      <c r="B627" t="s">
        <v>20</v>
      </c>
      <c r="C627" t="s">
        <v>16</v>
      </c>
      <c r="D627" s="9">
        <v>45855</v>
      </c>
      <c r="E627">
        <v>171</v>
      </c>
      <c r="F627" t="s">
        <v>104</v>
      </c>
      <c r="G627">
        <v>3</v>
      </c>
      <c r="H627" t="s">
        <v>78</v>
      </c>
      <c r="I627">
        <v>1</v>
      </c>
      <c r="J627">
        <v>0</v>
      </c>
      <c r="K627">
        <f>IF(Convert_to_Games[[#This Row],[Total Score]]&gt;9, 1, 0)</f>
        <v>0</v>
      </c>
      <c r="L627">
        <f>IF(Convert_to_Games[[#This Row],[DD]]=0, 0, IF(L626 = "Cons DD", Convert_to_Games[[#This Row],[DD]], L626+L626))</f>
        <v>0</v>
      </c>
    </row>
    <row r="628" spans="1:12">
      <c r="A628" t="s">
        <v>25</v>
      </c>
      <c r="B628" t="s">
        <v>20</v>
      </c>
      <c r="C628" t="s">
        <v>16</v>
      </c>
      <c r="D628" s="9">
        <v>45859</v>
      </c>
      <c r="E628">
        <v>173</v>
      </c>
      <c r="F628" t="s">
        <v>77</v>
      </c>
      <c r="G628">
        <v>4</v>
      </c>
      <c r="H628" t="s">
        <v>5</v>
      </c>
      <c r="I628">
        <v>1</v>
      </c>
      <c r="J628">
        <v>1</v>
      </c>
      <c r="K628">
        <f>IF(Convert_to_Games[[#This Row],[Total Score]]&gt;9, 1, 0)</f>
        <v>0</v>
      </c>
      <c r="L628">
        <f>IF(Convert_to_Games[[#This Row],[DD]]=0, 0, IF(L627 = "Cons DD", Convert_to_Games[[#This Row],[DD]], L627+L627))</f>
        <v>0</v>
      </c>
    </row>
    <row r="629" spans="1:12">
      <c r="A629" t="s">
        <v>25</v>
      </c>
      <c r="B629" t="s">
        <v>19</v>
      </c>
      <c r="C629" t="s">
        <v>16</v>
      </c>
      <c r="D629" s="9">
        <v>45859</v>
      </c>
      <c r="E629">
        <v>175</v>
      </c>
      <c r="F629" t="s">
        <v>115</v>
      </c>
      <c r="G629">
        <v>3</v>
      </c>
      <c r="H629" t="s">
        <v>78</v>
      </c>
      <c r="I629">
        <v>1</v>
      </c>
      <c r="J629">
        <v>0</v>
      </c>
      <c r="K629">
        <f>IF(Convert_to_Games[[#This Row],[Total Score]]&gt;9, 1, 0)</f>
        <v>0</v>
      </c>
      <c r="L629">
        <f>IF(Convert_to_Games[[#This Row],[DD]]=0, 0, IF(L628 = "Cons DD", Convert_to_Games[[#This Row],[DD]], L628+L628))</f>
        <v>0</v>
      </c>
    </row>
    <row r="630" spans="1:12">
      <c r="A630" t="s">
        <v>25</v>
      </c>
      <c r="B630">
        <v>256</v>
      </c>
      <c r="C630" t="s">
        <v>116</v>
      </c>
      <c r="D630" s="9">
        <v>45881</v>
      </c>
      <c r="E630">
        <v>203</v>
      </c>
      <c r="F630" t="s">
        <v>117</v>
      </c>
      <c r="G630">
        <v>3</v>
      </c>
      <c r="H630" t="s">
        <v>23</v>
      </c>
      <c r="I630">
        <v>1</v>
      </c>
      <c r="J630">
        <v>0</v>
      </c>
      <c r="K630">
        <f>IF(Convert_to_Games[[#This Row],[Total Score]]&gt;9, 1, 0)</f>
        <v>0</v>
      </c>
      <c r="L630">
        <f>IF(Convert_to_Games[[#This Row],[DD]]=0, 0, IF(L629 = "Cons DD", Convert_to_Games[[#This Row],[DD]], L629+L629))</f>
        <v>0</v>
      </c>
    </row>
    <row r="631" spans="1:12">
      <c r="A631" t="s">
        <v>25</v>
      </c>
      <c r="B631" t="s">
        <v>20</v>
      </c>
      <c r="C631" t="s">
        <v>18</v>
      </c>
      <c r="D631" s="9">
        <v>45707</v>
      </c>
      <c r="E631">
        <v>2</v>
      </c>
      <c r="F631" t="s">
        <v>9</v>
      </c>
      <c r="G631">
        <v>3</v>
      </c>
      <c r="H631" t="s">
        <v>5</v>
      </c>
      <c r="I631">
        <v>0</v>
      </c>
      <c r="J631">
        <v>0</v>
      </c>
      <c r="K631">
        <f>IF(Convert_to_Games[[#This Row],[Total Score]]&gt;9, 1, 0)</f>
        <v>0</v>
      </c>
      <c r="L631">
        <f>IF(Convert_to_Games[[#This Row],[DD]]=0, 0, IF(L630 = "Cons DD", Convert_to_Games[[#This Row],[DD]], L630+L630))</f>
        <v>0</v>
      </c>
    </row>
    <row r="632" spans="1:12">
      <c r="A632" t="s">
        <v>25</v>
      </c>
      <c r="B632" t="s">
        <v>20</v>
      </c>
      <c r="C632" t="s">
        <v>18</v>
      </c>
      <c r="D632" s="9">
        <v>45708</v>
      </c>
      <c r="E632">
        <v>4</v>
      </c>
      <c r="F632" t="s">
        <v>8</v>
      </c>
      <c r="G632">
        <v>3</v>
      </c>
      <c r="H632" t="s">
        <v>5</v>
      </c>
      <c r="I632">
        <v>0</v>
      </c>
      <c r="J632">
        <v>0</v>
      </c>
      <c r="K632">
        <f>IF(Convert_to_Games[[#This Row],[Total Score]]&gt;9, 1, 0)</f>
        <v>0</v>
      </c>
      <c r="L632">
        <f>IF(Convert_to_Games[[#This Row],[DD]]=0, 0, IF(L631 = "Cons DD", Convert_to_Games[[#This Row],[DD]], L631+L631))</f>
        <v>0</v>
      </c>
    </row>
    <row r="633" spans="1:12">
      <c r="A633" t="s">
        <v>25</v>
      </c>
      <c r="B633" t="s">
        <v>20</v>
      </c>
      <c r="C633" t="s">
        <v>16</v>
      </c>
      <c r="D633" s="9">
        <v>45715</v>
      </c>
      <c r="E633">
        <v>13</v>
      </c>
      <c r="F633" t="s">
        <v>12</v>
      </c>
      <c r="G633">
        <v>3</v>
      </c>
      <c r="H633" t="s">
        <v>7</v>
      </c>
      <c r="I633">
        <v>0</v>
      </c>
      <c r="J633">
        <v>0</v>
      </c>
      <c r="K633">
        <f>IF(Convert_to_Games[[#This Row],[Total Score]]&gt;9, 1, 0)</f>
        <v>0</v>
      </c>
      <c r="L633">
        <f>IF(Convert_to_Games[[#This Row],[DD]]=0, 0, IF(L632 = "Cons DD", Convert_to_Games[[#This Row],[DD]], L632+L632))</f>
        <v>0</v>
      </c>
    </row>
    <row r="634" spans="1:12">
      <c r="A634" t="s">
        <v>25</v>
      </c>
      <c r="B634" t="s">
        <v>20</v>
      </c>
      <c r="C634" t="s">
        <v>16</v>
      </c>
      <c r="D634" s="9">
        <v>45727</v>
      </c>
      <c r="E634">
        <v>22</v>
      </c>
      <c r="F634" t="s">
        <v>11</v>
      </c>
      <c r="G634">
        <v>3</v>
      </c>
      <c r="H634" t="s">
        <v>5</v>
      </c>
      <c r="I634">
        <v>0</v>
      </c>
      <c r="J634">
        <v>0</v>
      </c>
      <c r="K634">
        <f>IF(Convert_to_Games[[#This Row],[Total Score]]&gt;9, 1, 0)</f>
        <v>0</v>
      </c>
      <c r="L634">
        <f>IF(Convert_to_Games[[#This Row],[DD]]=0, 0, IF(L633 = "Cons DD", Convert_to_Games[[#This Row],[DD]], L633+L633))</f>
        <v>0</v>
      </c>
    </row>
    <row r="635" spans="1:12">
      <c r="A635" t="s">
        <v>25</v>
      </c>
      <c r="B635" t="s">
        <v>19</v>
      </c>
      <c r="C635" t="s">
        <v>16</v>
      </c>
      <c r="D635" s="9">
        <v>45754</v>
      </c>
      <c r="E635">
        <v>36</v>
      </c>
      <c r="F635" t="s">
        <v>15</v>
      </c>
      <c r="G635">
        <v>3</v>
      </c>
      <c r="H635" t="s">
        <v>6</v>
      </c>
      <c r="I635">
        <v>0</v>
      </c>
      <c r="J635">
        <v>0</v>
      </c>
      <c r="K635">
        <f>IF(Convert_to_Games[[#This Row],[Total Score]]&gt;9, 1, 0)</f>
        <v>0</v>
      </c>
      <c r="L635">
        <f>IF(Convert_to_Games[[#This Row],[DD]]=0, 0, IF(L634 = "Cons DD", Convert_to_Games[[#This Row],[DD]], L634+L634))</f>
        <v>0</v>
      </c>
    </row>
    <row r="636" spans="1:12">
      <c r="A636" t="s">
        <v>26</v>
      </c>
      <c r="B636" t="s">
        <v>20</v>
      </c>
      <c r="C636" t="s">
        <v>16</v>
      </c>
      <c r="D636" s="9">
        <v>45762</v>
      </c>
      <c r="E636">
        <v>45</v>
      </c>
      <c r="F636" t="s">
        <v>9</v>
      </c>
      <c r="G636">
        <v>3</v>
      </c>
      <c r="H636" t="s">
        <v>7</v>
      </c>
      <c r="I636">
        <v>0</v>
      </c>
      <c r="J636">
        <v>0</v>
      </c>
      <c r="K636">
        <f>IF(Convert_to_Games[[#This Row],[Total Score]]&gt;9, 1, 0)</f>
        <v>0</v>
      </c>
      <c r="L636">
        <f>IF(Convert_to_Games[[#This Row],[DD]]=0, 0, IF(L635 = "Cons DD", Convert_to_Games[[#This Row],[DD]], L635+L635))</f>
        <v>0</v>
      </c>
    </row>
    <row r="637" spans="1:12">
      <c r="A637" t="s">
        <v>25</v>
      </c>
      <c r="B637" t="s">
        <v>20</v>
      </c>
      <c r="C637" t="s">
        <v>16</v>
      </c>
      <c r="D637" s="9">
        <v>45764</v>
      </c>
      <c r="E637">
        <v>53</v>
      </c>
      <c r="F637" t="s">
        <v>11</v>
      </c>
      <c r="G637">
        <v>3</v>
      </c>
      <c r="H637" t="s">
        <v>5</v>
      </c>
      <c r="I637">
        <v>0</v>
      </c>
      <c r="J637">
        <v>0</v>
      </c>
      <c r="K637">
        <f>IF(Convert_to_Games[[#This Row],[Total Score]]&gt;9, 1, 0)</f>
        <v>0</v>
      </c>
      <c r="L637">
        <f>IF(Convert_to_Games[[#This Row],[DD]]=0, 0, IF(L636 = "Cons DD", Convert_to_Games[[#This Row],[DD]], L636+L636))</f>
        <v>0</v>
      </c>
    </row>
    <row r="638" spans="1:12">
      <c r="A638" t="s">
        <v>25</v>
      </c>
      <c r="B638" t="s">
        <v>21</v>
      </c>
      <c r="C638" t="s">
        <v>16</v>
      </c>
      <c r="D638" s="9">
        <v>45764</v>
      </c>
      <c r="E638">
        <v>54</v>
      </c>
      <c r="F638" t="s">
        <v>28</v>
      </c>
      <c r="G638">
        <v>3</v>
      </c>
      <c r="H638" t="s">
        <v>6</v>
      </c>
      <c r="I638">
        <v>0</v>
      </c>
      <c r="J638">
        <v>0</v>
      </c>
      <c r="K638">
        <f>IF(Convert_to_Games[[#This Row],[Total Score]]&gt;9, 1, 0)</f>
        <v>0</v>
      </c>
      <c r="L638">
        <f>IF(Convert_to_Games[[#This Row],[DD]]=0, 0, IF(L637 = "Cons DD", Convert_to_Games[[#This Row],[DD]], L637+L637))</f>
        <v>0</v>
      </c>
    </row>
    <row r="639" spans="1:12">
      <c r="A639" t="s">
        <v>25</v>
      </c>
      <c r="B639" t="s">
        <v>20</v>
      </c>
      <c r="C639" t="s">
        <v>16</v>
      </c>
      <c r="D639" s="9">
        <v>45768</v>
      </c>
      <c r="E639">
        <v>57</v>
      </c>
      <c r="F639" t="s">
        <v>30</v>
      </c>
      <c r="G639">
        <v>3</v>
      </c>
      <c r="H639" t="s">
        <v>31</v>
      </c>
      <c r="I639">
        <v>0</v>
      </c>
      <c r="J639">
        <v>0</v>
      </c>
      <c r="K639">
        <f>IF(Convert_to_Games[[#This Row],[Total Score]]&gt;9, 1, 0)</f>
        <v>0</v>
      </c>
      <c r="L639">
        <f>IF(Convert_to_Games[[#This Row],[DD]]=0, 0, IF(L638 = "Cons DD", Convert_to_Games[[#This Row],[DD]], L638+L638))</f>
        <v>0</v>
      </c>
    </row>
    <row r="640" spans="1:12">
      <c r="A640" t="s">
        <v>25</v>
      </c>
      <c r="B640" t="s">
        <v>20</v>
      </c>
      <c r="C640" t="s">
        <v>16</v>
      </c>
      <c r="D640" s="9">
        <v>45775</v>
      </c>
      <c r="E640">
        <v>72</v>
      </c>
      <c r="F640" t="s">
        <v>12</v>
      </c>
      <c r="G640">
        <v>3</v>
      </c>
      <c r="H640" t="s">
        <v>7</v>
      </c>
      <c r="I640">
        <v>0</v>
      </c>
      <c r="J640">
        <v>0</v>
      </c>
      <c r="K640">
        <f>IF(Convert_to_Games[[#This Row],[Total Score]]&gt;9, 1, 0)</f>
        <v>0</v>
      </c>
      <c r="L640">
        <f>IF(Convert_to_Games[[#This Row],[DD]]=0, 0, IF(L639 = "Cons DD", Convert_to_Games[[#This Row],[DD]], L639+L639))</f>
        <v>0</v>
      </c>
    </row>
    <row r="641" spans="1:12">
      <c r="A641" t="s">
        <v>25</v>
      </c>
      <c r="B641" t="s">
        <v>20</v>
      </c>
      <c r="C641" t="s">
        <v>16</v>
      </c>
      <c r="D641" s="9">
        <v>45776</v>
      </c>
      <c r="E641">
        <v>76</v>
      </c>
      <c r="F641" t="s">
        <v>9</v>
      </c>
      <c r="G641">
        <v>3</v>
      </c>
      <c r="H641" t="s">
        <v>5</v>
      </c>
      <c r="I641">
        <v>0</v>
      </c>
      <c r="J641">
        <v>0</v>
      </c>
      <c r="K641">
        <f>IF(Convert_to_Games[[#This Row],[Total Score]]&gt;9, 1, 0)</f>
        <v>0</v>
      </c>
      <c r="L641">
        <f>IF(Convert_to_Games[[#This Row],[DD]]=0, 0, IF(L640 = "Cons DD", Convert_to_Games[[#This Row],[DD]], L640+L640))</f>
        <v>0</v>
      </c>
    </row>
    <row r="642" spans="1:12">
      <c r="A642" t="s">
        <v>25</v>
      </c>
      <c r="B642" t="s">
        <v>19</v>
      </c>
      <c r="C642" t="s">
        <v>16</v>
      </c>
      <c r="D642" s="9">
        <v>45777</v>
      </c>
      <c r="E642">
        <v>81</v>
      </c>
      <c r="F642" t="s">
        <v>11</v>
      </c>
      <c r="G642">
        <v>3</v>
      </c>
      <c r="H642" t="s">
        <v>5</v>
      </c>
      <c r="I642">
        <v>0</v>
      </c>
      <c r="J642">
        <v>0</v>
      </c>
      <c r="K642">
        <f>IF(Convert_to_Games[[#This Row],[Total Score]]&gt;9, 1, 0)</f>
        <v>0</v>
      </c>
      <c r="L642">
        <f>IF(Convert_to_Games[[#This Row],[DD]]=0, 0, IF(L641 = "Cons DD", Convert_to_Games[[#This Row],[DD]], L641+L641))</f>
        <v>0</v>
      </c>
    </row>
    <row r="643" spans="1:12">
      <c r="A643" t="s">
        <v>25</v>
      </c>
      <c r="B643" t="s">
        <v>20</v>
      </c>
      <c r="C643" t="s">
        <v>16</v>
      </c>
      <c r="D643" s="9">
        <v>45825</v>
      </c>
      <c r="E643">
        <v>114</v>
      </c>
      <c r="F643" t="s">
        <v>8</v>
      </c>
      <c r="G643">
        <v>3</v>
      </c>
      <c r="H643" t="s">
        <v>4</v>
      </c>
      <c r="I643">
        <v>0</v>
      </c>
      <c r="J643">
        <v>0</v>
      </c>
      <c r="K643">
        <f>IF(Convert_to_Games[[#This Row],[Total Score]]&gt;9, 1, 0)</f>
        <v>0</v>
      </c>
      <c r="L643">
        <f>IF(Convert_to_Games[[#This Row],[DD]]=0, 0, IF(L642 = "Cons DD", Convert_to_Games[[#This Row],[DD]], L642+L642))</f>
        <v>0</v>
      </c>
    </row>
    <row r="644" spans="1:12">
      <c r="A644" t="s">
        <v>25</v>
      </c>
      <c r="B644" t="s">
        <v>20</v>
      </c>
      <c r="C644" t="s">
        <v>16</v>
      </c>
      <c r="D644" s="9">
        <v>45833</v>
      </c>
      <c r="E644">
        <v>129</v>
      </c>
      <c r="F644" t="s">
        <v>11</v>
      </c>
      <c r="G644">
        <v>3</v>
      </c>
      <c r="H644" t="s">
        <v>4</v>
      </c>
      <c r="I644">
        <v>0</v>
      </c>
      <c r="J644">
        <v>0</v>
      </c>
      <c r="K644">
        <f>IF(Convert_to_Games[[#This Row],[Total Score]]&gt;9, 1, 0)</f>
        <v>0</v>
      </c>
      <c r="L644">
        <f>IF(Convert_to_Games[[#This Row],[DD]]=0, 0, IF(L643 = "Cons DD", Convert_to_Games[[#This Row],[DD]], L643+L643))</f>
        <v>0</v>
      </c>
    </row>
    <row r="645" spans="1:12">
      <c r="A645" t="s">
        <v>25</v>
      </c>
      <c r="B645" t="s">
        <v>20</v>
      </c>
      <c r="C645" t="s">
        <v>16</v>
      </c>
      <c r="D645" s="9">
        <v>45833</v>
      </c>
      <c r="E645">
        <v>130</v>
      </c>
      <c r="F645" t="s">
        <v>94</v>
      </c>
      <c r="G645">
        <v>3</v>
      </c>
      <c r="H645" t="s">
        <v>5</v>
      </c>
      <c r="I645">
        <v>0</v>
      </c>
      <c r="J645">
        <v>0</v>
      </c>
      <c r="K645">
        <f>IF(Convert_to_Games[[#This Row],[Total Score]]&gt;9, 1, 0)</f>
        <v>0</v>
      </c>
      <c r="L645">
        <f>IF(Convert_to_Games[[#This Row],[DD]]=0, 0, IF(L644 = "Cons DD", Convert_to_Games[[#This Row],[DD]], L644+L644))</f>
        <v>0</v>
      </c>
    </row>
    <row r="646" spans="1:12">
      <c r="A646" t="s">
        <v>25</v>
      </c>
      <c r="B646" t="s">
        <v>20</v>
      </c>
      <c r="C646" t="s">
        <v>16</v>
      </c>
      <c r="D646" s="9">
        <v>45835</v>
      </c>
      <c r="E646">
        <v>135</v>
      </c>
      <c r="F646" t="s">
        <v>11</v>
      </c>
      <c r="G646">
        <v>3</v>
      </c>
      <c r="H646" t="s">
        <v>5</v>
      </c>
      <c r="I646">
        <v>0</v>
      </c>
      <c r="J646">
        <v>0</v>
      </c>
      <c r="K646">
        <f>IF(Convert_to_Games[[#This Row],[Total Score]]&gt;9, 1, 0)</f>
        <v>0</v>
      </c>
      <c r="L646">
        <f>IF(Convert_to_Games[[#This Row],[DD]]=0, 0, IF(L645 = "Cons DD", Convert_to_Games[[#This Row],[DD]], L645+L645))</f>
        <v>0</v>
      </c>
    </row>
    <row r="647" spans="1:12">
      <c r="A647" t="s">
        <v>25</v>
      </c>
      <c r="B647" t="s">
        <v>19</v>
      </c>
      <c r="C647" t="s">
        <v>16</v>
      </c>
      <c r="D647" s="9">
        <v>45848</v>
      </c>
      <c r="E647">
        <v>158</v>
      </c>
      <c r="F647" t="s">
        <v>103</v>
      </c>
      <c r="G647">
        <v>3</v>
      </c>
      <c r="H647" t="s">
        <v>78</v>
      </c>
      <c r="I647">
        <v>0</v>
      </c>
      <c r="J647">
        <v>0</v>
      </c>
      <c r="K647">
        <f>IF(Convert_to_Games[[#This Row],[Total Score]]&gt;9, 1, 0)</f>
        <v>0</v>
      </c>
      <c r="L647">
        <f>IF(Convert_to_Games[[#This Row],[DD]]=0, 0, IF(L646 = "Cons DD", Convert_to_Games[[#This Row],[DD]], L646+L646))</f>
        <v>0</v>
      </c>
    </row>
    <row r="648" spans="1:12">
      <c r="A648" t="s">
        <v>25</v>
      </c>
      <c r="B648" t="s">
        <v>20</v>
      </c>
      <c r="C648" t="s">
        <v>16</v>
      </c>
      <c r="D648" s="9">
        <v>45853</v>
      </c>
      <c r="E648">
        <v>165</v>
      </c>
      <c r="F648" t="s">
        <v>108</v>
      </c>
      <c r="G648">
        <v>3</v>
      </c>
      <c r="H648" t="s">
        <v>5</v>
      </c>
      <c r="I648">
        <v>0</v>
      </c>
      <c r="J648">
        <v>0</v>
      </c>
      <c r="K648">
        <f>IF(Convert_to_Games[[#This Row],[Total Score]]&gt;9, 1, 0)</f>
        <v>0</v>
      </c>
      <c r="L648">
        <f>IF(Convert_to_Games[[#This Row],[DD]]=0, 0, IF(L647 = "Cons DD", Convert_to_Games[[#This Row],[DD]], L647+L647))</f>
        <v>0</v>
      </c>
    </row>
    <row r="649" spans="1:12">
      <c r="A649" t="s">
        <v>25</v>
      </c>
      <c r="B649" t="s">
        <v>20</v>
      </c>
      <c r="C649" t="s">
        <v>16</v>
      </c>
      <c r="D649" s="9">
        <v>45854</v>
      </c>
      <c r="E649">
        <v>168</v>
      </c>
      <c r="F649" t="s">
        <v>104</v>
      </c>
      <c r="G649">
        <v>3</v>
      </c>
      <c r="H649" t="s">
        <v>78</v>
      </c>
      <c r="I649">
        <v>0</v>
      </c>
      <c r="J649">
        <v>0</v>
      </c>
      <c r="K649">
        <f>IF(Convert_to_Games[[#This Row],[Total Score]]&gt;9, 1, 0)</f>
        <v>0</v>
      </c>
      <c r="L649">
        <f>IF(Convert_to_Games[[#This Row],[DD]]=0, 0, IF(L648 = "Cons DD", Convert_to_Games[[#This Row],[DD]], L648+L648))</f>
        <v>0</v>
      </c>
    </row>
    <row r="650" spans="1:12">
      <c r="A650" t="s">
        <v>25</v>
      </c>
      <c r="B650" t="s">
        <v>20</v>
      </c>
      <c r="C650" t="s">
        <v>16</v>
      </c>
      <c r="D650" s="9">
        <v>45855</v>
      </c>
      <c r="E650">
        <v>172</v>
      </c>
      <c r="F650" t="s">
        <v>103</v>
      </c>
      <c r="G650">
        <v>3</v>
      </c>
      <c r="H650" t="s">
        <v>78</v>
      </c>
      <c r="I650">
        <v>0</v>
      </c>
      <c r="J650">
        <v>0</v>
      </c>
      <c r="K650">
        <f>IF(Convert_to_Games[[#This Row],[Total Score]]&gt;9, 1, 0)</f>
        <v>0</v>
      </c>
      <c r="L650">
        <f>IF(Convert_to_Games[[#This Row],[DD]]=0, 0, IF(L649 = "Cons DD", Convert_to_Games[[#This Row],[DD]], L649+L649))</f>
        <v>0</v>
      </c>
    </row>
    <row r="651" spans="1:12">
      <c r="A651" t="s">
        <v>25</v>
      </c>
      <c r="B651" t="s">
        <v>20</v>
      </c>
      <c r="C651" t="s">
        <v>16</v>
      </c>
      <c r="D651" s="9">
        <v>45859</v>
      </c>
      <c r="E651">
        <v>173</v>
      </c>
      <c r="F651" t="s">
        <v>77</v>
      </c>
      <c r="G651">
        <v>4</v>
      </c>
      <c r="H651" t="s">
        <v>78</v>
      </c>
      <c r="I651">
        <v>0</v>
      </c>
      <c r="J651">
        <v>0</v>
      </c>
      <c r="K651">
        <f>IF(Convert_to_Games[[#This Row],[Total Score]]&gt;9, 1, 0)</f>
        <v>0</v>
      </c>
      <c r="L651">
        <f>IF(Convert_to_Games[[#This Row],[DD]]=0, 0, IF(L650 = "Cons DD", Convert_to_Games[[#This Row],[DD]], L650+L650))</f>
        <v>0</v>
      </c>
    </row>
    <row r="652" spans="1:12">
      <c r="A652" t="s">
        <v>25</v>
      </c>
      <c r="B652" t="s">
        <v>20</v>
      </c>
      <c r="C652" t="s">
        <v>16</v>
      </c>
      <c r="D652" s="9">
        <v>45863</v>
      </c>
      <c r="E652">
        <v>181</v>
      </c>
      <c r="F652" t="s">
        <v>71</v>
      </c>
      <c r="G652">
        <v>3</v>
      </c>
      <c r="H652" t="s">
        <v>6</v>
      </c>
      <c r="I652">
        <v>0</v>
      </c>
      <c r="J652">
        <v>0</v>
      </c>
      <c r="K652">
        <f>IF(Convert_to_Games[[#This Row],[Total Score]]&gt;9, 1, 0)</f>
        <v>0</v>
      </c>
      <c r="L652">
        <f>IF(Convert_to_Games[[#This Row],[DD]]=0, 0, IF(L651 = "Cons DD", Convert_to_Games[[#This Row],[DD]], L651+L651))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D21" sqref="D21"/>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80"/>
  <sheetViews>
    <sheetView topLeftCell="A299" workbookViewId="0">
      <selection activeCell="E312" sqref="E312"/>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6</v>
      </c>
      <c r="M6" s="10">
        <v>0.33333333333333331</v>
      </c>
    </row>
    <row r="7" spans="1:13">
      <c r="A7" s="9">
        <v>45709</v>
      </c>
      <c r="B7">
        <v>6</v>
      </c>
      <c r="C7" t="s">
        <v>5</v>
      </c>
      <c r="D7" t="s">
        <v>5</v>
      </c>
      <c r="E7" t="s">
        <v>73</v>
      </c>
      <c r="F7">
        <v>5</v>
      </c>
      <c r="G7">
        <v>0</v>
      </c>
      <c r="K7" s="6" t="s">
        <v>5</v>
      </c>
      <c r="L7">
        <v>20</v>
      </c>
      <c r="M7" s="10">
        <v>0.25</v>
      </c>
    </row>
    <row r="8" spans="1:13">
      <c r="A8" s="9">
        <v>45712</v>
      </c>
      <c r="B8">
        <v>7</v>
      </c>
      <c r="C8" t="s">
        <v>4</v>
      </c>
      <c r="D8" t="s">
        <v>5</v>
      </c>
      <c r="E8" t="s">
        <v>73</v>
      </c>
      <c r="F8">
        <v>2</v>
      </c>
      <c r="G8">
        <v>1</v>
      </c>
      <c r="K8" s="6" t="s">
        <v>38</v>
      </c>
      <c r="L8">
        <v>26</v>
      </c>
      <c r="M8" s="10">
        <v>0.26923076923076922</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row r="289" spans="1:7">
      <c r="A289" s="9">
        <v>45981</v>
      </c>
      <c r="B289">
        <v>242</v>
      </c>
      <c r="C289" t="s">
        <v>4</v>
      </c>
      <c r="D289" t="s">
        <v>5</v>
      </c>
      <c r="E289" t="s">
        <v>73</v>
      </c>
      <c r="F289">
        <v>10</v>
      </c>
      <c r="G289">
        <v>0</v>
      </c>
    </row>
    <row r="290" spans="1:7">
      <c r="A290" s="9">
        <v>45982</v>
      </c>
      <c r="B290">
        <v>243</v>
      </c>
      <c r="C290" t="s">
        <v>4</v>
      </c>
      <c r="D290" t="s">
        <v>4</v>
      </c>
      <c r="E290" t="s">
        <v>73</v>
      </c>
      <c r="F290">
        <v>1</v>
      </c>
      <c r="G290">
        <v>1</v>
      </c>
    </row>
    <row r="291" spans="1:7">
      <c r="A291" s="9">
        <v>45982</v>
      </c>
      <c r="B291">
        <v>243</v>
      </c>
      <c r="C291" t="s">
        <v>4</v>
      </c>
      <c r="D291" t="s">
        <v>5</v>
      </c>
      <c r="E291" t="s">
        <v>73</v>
      </c>
      <c r="F291">
        <v>3</v>
      </c>
      <c r="G291">
        <v>1</v>
      </c>
    </row>
    <row r="292" spans="1:7">
      <c r="A292" s="9">
        <v>45992</v>
      </c>
      <c r="B292">
        <v>244</v>
      </c>
      <c r="C292" t="s">
        <v>4</v>
      </c>
      <c r="D292" t="s">
        <v>4</v>
      </c>
      <c r="E292" t="s">
        <v>73</v>
      </c>
      <c r="F292">
        <v>1</v>
      </c>
      <c r="G292">
        <v>1</v>
      </c>
    </row>
    <row r="293" spans="1:7">
      <c r="A293" s="9">
        <v>45992</v>
      </c>
      <c r="B293">
        <v>244</v>
      </c>
      <c r="C293" t="s">
        <v>4</v>
      </c>
      <c r="D293" t="s">
        <v>4</v>
      </c>
      <c r="E293" t="s">
        <v>82</v>
      </c>
      <c r="F293">
        <v>0</v>
      </c>
      <c r="G293">
        <v>1</v>
      </c>
    </row>
    <row r="294" spans="1:7">
      <c r="A294" s="9">
        <v>45992</v>
      </c>
      <c r="B294">
        <v>244</v>
      </c>
      <c r="C294" t="s">
        <v>4</v>
      </c>
      <c r="D294" t="s">
        <v>4</v>
      </c>
      <c r="E294" t="s">
        <v>83</v>
      </c>
      <c r="F294">
        <v>0</v>
      </c>
      <c r="G294">
        <v>1</v>
      </c>
    </row>
    <row r="295" spans="1:7">
      <c r="A295" s="9">
        <v>45992</v>
      </c>
      <c r="B295">
        <v>244</v>
      </c>
      <c r="C295" t="s">
        <v>4</v>
      </c>
      <c r="D295" t="s">
        <v>5</v>
      </c>
      <c r="E295" t="s">
        <v>73</v>
      </c>
      <c r="F295">
        <v>2</v>
      </c>
      <c r="G295">
        <v>1</v>
      </c>
    </row>
    <row r="296" spans="1:7">
      <c r="A296" s="9">
        <v>45992</v>
      </c>
      <c r="B296">
        <v>244</v>
      </c>
      <c r="C296" t="s">
        <v>4</v>
      </c>
      <c r="D296" t="s">
        <v>5</v>
      </c>
      <c r="E296" t="s">
        <v>82</v>
      </c>
      <c r="F296">
        <v>3</v>
      </c>
      <c r="G296">
        <v>0</v>
      </c>
    </row>
    <row r="297" spans="1:7">
      <c r="A297" s="9">
        <v>45992</v>
      </c>
      <c r="B297">
        <v>244</v>
      </c>
      <c r="C297" t="s">
        <v>4</v>
      </c>
      <c r="D297" t="s">
        <v>5</v>
      </c>
      <c r="E297" t="s">
        <v>83</v>
      </c>
      <c r="F297">
        <v>3</v>
      </c>
      <c r="G297">
        <v>1</v>
      </c>
    </row>
    <row r="298" spans="1:7">
      <c r="A298" s="9">
        <v>45993</v>
      </c>
      <c r="B298">
        <v>245</v>
      </c>
      <c r="C298" t="s">
        <v>5</v>
      </c>
      <c r="D298" t="s">
        <v>4</v>
      </c>
      <c r="E298" t="s">
        <v>73</v>
      </c>
      <c r="F298">
        <v>3</v>
      </c>
      <c r="G298">
        <v>1</v>
      </c>
    </row>
    <row r="299" spans="1:7">
      <c r="A299" s="9">
        <v>45993</v>
      </c>
      <c r="B299">
        <v>245</v>
      </c>
      <c r="C299" t="s">
        <v>5</v>
      </c>
      <c r="D299" t="s">
        <v>5</v>
      </c>
      <c r="E299" t="s">
        <v>73</v>
      </c>
      <c r="F299">
        <v>3</v>
      </c>
      <c r="G299">
        <v>1</v>
      </c>
    </row>
    <row r="300" spans="1:7">
      <c r="A300" s="9">
        <v>45994</v>
      </c>
      <c r="B300">
        <v>246</v>
      </c>
      <c r="C300" t="s">
        <v>5</v>
      </c>
      <c r="D300" t="s">
        <v>4</v>
      </c>
      <c r="E300" t="s">
        <v>73</v>
      </c>
      <c r="F300">
        <v>3</v>
      </c>
      <c r="G300">
        <v>1</v>
      </c>
    </row>
    <row r="301" spans="1:7">
      <c r="A301" s="9">
        <v>45994</v>
      </c>
      <c r="B301">
        <v>246</v>
      </c>
      <c r="C301" t="s">
        <v>5</v>
      </c>
      <c r="D301" t="s">
        <v>5</v>
      </c>
      <c r="E301" t="s">
        <v>73</v>
      </c>
      <c r="F301">
        <v>1</v>
      </c>
      <c r="G301">
        <v>1</v>
      </c>
    </row>
    <row r="302" spans="1:7">
      <c r="A302" s="9">
        <v>45995</v>
      </c>
      <c r="B302">
        <v>247</v>
      </c>
      <c r="C302" t="s">
        <v>4</v>
      </c>
      <c r="D302" t="s">
        <v>5</v>
      </c>
      <c r="E302" t="s">
        <v>73</v>
      </c>
      <c r="F302">
        <v>3</v>
      </c>
      <c r="G302">
        <v>0</v>
      </c>
    </row>
    <row r="303" spans="1:7">
      <c r="A303" s="9">
        <v>45996</v>
      </c>
      <c r="B303">
        <v>248</v>
      </c>
      <c r="C303" t="s">
        <v>4</v>
      </c>
      <c r="D303" t="s">
        <v>5</v>
      </c>
      <c r="E303" t="s">
        <v>73</v>
      </c>
      <c r="F303">
        <v>11</v>
      </c>
      <c r="G303">
        <v>0</v>
      </c>
    </row>
    <row r="304" spans="1:7">
      <c r="A304" s="9">
        <v>45999</v>
      </c>
      <c r="B304">
        <v>249</v>
      </c>
      <c r="C304" t="s">
        <v>4</v>
      </c>
      <c r="D304" t="s">
        <v>4</v>
      </c>
      <c r="E304" t="s">
        <v>73</v>
      </c>
      <c r="F304">
        <v>7</v>
      </c>
      <c r="G304">
        <v>0</v>
      </c>
    </row>
    <row r="305" spans="1:7">
      <c r="A305" s="9">
        <v>45999</v>
      </c>
      <c r="B305">
        <v>250</v>
      </c>
      <c r="C305" t="s">
        <v>5</v>
      </c>
      <c r="D305" t="s">
        <v>4</v>
      </c>
      <c r="E305" t="s">
        <v>73</v>
      </c>
      <c r="F305">
        <v>4</v>
      </c>
      <c r="G305">
        <v>1</v>
      </c>
    </row>
    <row r="306" spans="1:7">
      <c r="A306" s="9">
        <v>45999</v>
      </c>
      <c r="B306">
        <v>250</v>
      </c>
      <c r="C306" t="s">
        <v>5</v>
      </c>
      <c r="D306" t="s">
        <v>4</v>
      </c>
      <c r="E306" t="s">
        <v>82</v>
      </c>
      <c r="F306">
        <v>6</v>
      </c>
      <c r="G306">
        <v>0</v>
      </c>
    </row>
    <row r="307" spans="1:7">
      <c r="A307" s="9">
        <v>45999</v>
      </c>
      <c r="B307">
        <v>250</v>
      </c>
      <c r="C307" t="s">
        <v>5</v>
      </c>
      <c r="D307" t="s">
        <v>5</v>
      </c>
      <c r="E307" t="s">
        <v>82</v>
      </c>
      <c r="F307">
        <v>0</v>
      </c>
      <c r="G307">
        <v>1</v>
      </c>
    </row>
    <row r="308" spans="1:7">
      <c r="A308" s="9">
        <v>46000</v>
      </c>
      <c r="B308">
        <v>251</v>
      </c>
      <c r="C308" t="s">
        <v>4</v>
      </c>
      <c r="D308" t="s">
        <v>5</v>
      </c>
      <c r="E308" t="s">
        <v>73</v>
      </c>
      <c r="F308">
        <v>6</v>
      </c>
      <c r="G308">
        <v>0</v>
      </c>
    </row>
    <row r="309" spans="1:7">
      <c r="A309" s="9">
        <v>46034</v>
      </c>
      <c r="B309">
        <v>253</v>
      </c>
      <c r="C309" t="s">
        <v>5</v>
      </c>
      <c r="D309" t="s">
        <v>5</v>
      </c>
      <c r="E309" t="s">
        <v>73</v>
      </c>
      <c r="F309">
        <v>7</v>
      </c>
      <c r="G309">
        <v>0</v>
      </c>
    </row>
    <row r="310" spans="1:7">
      <c r="A310" s="9">
        <v>46035</v>
      </c>
      <c r="B310">
        <v>254</v>
      </c>
      <c r="C310" t="s">
        <v>4</v>
      </c>
      <c r="D310" t="s">
        <v>5</v>
      </c>
      <c r="E310" t="s">
        <v>73</v>
      </c>
      <c r="F310">
        <v>5</v>
      </c>
      <c r="G310">
        <v>1</v>
      </c>
    </row>
    <row r="311" spans="1:7">
      <c r="A311" s="9">
        <v>46036</v>
      </c>
      <c r="B311">
        <v>255</v>
      </c>
      <c r="C311" t="s">
        <v>4</v>
      </c>
      <c r="D311" t="s">
        <v>5</v>
      </c>
      <c r="E311" t="s">
        <v>73</v>
      </c>
      <c r="F311">
        <v>13</v>
      </c>
      <c r="G311">
        <v>0</v>
      </c>
    </row>
    <row r="312" spans="1:7">
      <c r="A312" s="9">
        <v>46044</v>
      </c>
      <c r="B312">
        <v>256</v>
      </c>
      <c r="C312" t="s">
        <v>5</v>
      </c>
      <c r="D312" t="s">
        <v>4</v>
      </c>
      <c r="E312" t="s">
        <v>73</v>
      </c>
      <c r="F312">
        <v>3</v>
      </c>
      <c r="G312">
        <v>1</v>
      </c>
    </row>
    <row r="313" spans="1:7">
      <c r="A313" s="9">
        <v>46044</v>
      </c>
      <c r="B313">
        <v>256</v>
      </c>
      <c r="C313" t="s">
        <v>5</v>
      </c>
      <c r="D313" t="s">
        <v>4</v>
      </c>
      <c r="E313" t="s">
        <v>82</v>
      </c>
      <c r="F313">
        <v>7</v>
      </c>
      <c r="G313">
        <v>0</v>
      </c>
    </row>
    <row r="314" spans="1:7">
      <c r="A314" s="9">
        <v>46044</v>
      </c>
      <c r="B314">
        <v>256</v>
      </c>
      <c r="C314" t="s">
        <v>5</v>
      </c>
      <c r="D314" t="s">
        <v>5</v>
      </c>
      <c r="E314" t="s">
        <v>82</v>
      </c>
      <c r="F314">
        <v>0</v>
      </c>
      <c r="G314">
        <v>1</v>
      </c>
    </row>
    <row r="315" spans="1:7">
      <c r="A315" s="9">
        <v>46051</v>
      </c>
      <c r="B315">
        <v>257</v>
      </c>
      <c r="C315" t="s">
        <v>5</v>
      </c>
      <c r="D315" t="s">
        <v>4</v>
      </c>
      <c r="E315" t="s">
        <v>73</v>
      </c>
      <c r="F315">
        <v>2</v>
      </c>
      <c r="G315">
        <v>1</v>
      </c>
    </row>
    <row r="316" spans="1:7">
      <c r="A316" s="9">
        <v>46051</v>
      </c>
      <c r="B316">
        <v>257</v>
      </c>
      <c r="C316" t="s">
        <v>5</v>
      </c>
      <c r="D316" t="s">
        <v>5</v>
      </c>
      <c r="E316" t="s">
        <v>73</v>
      </c>
      <c r="F316">
        <v>0</v>
      </c>
      <c r="G316">
        <v>1</v>
      </c>
    </row>
    <row r="317" spans="1:7">
      <c r="A317" s="9">
        <v>46055</v>
      </c>
      <c r="B317">
        <v>258</v>
      </c>
      <c r="C317" t="s">
        <v>4</v>
      </c>
      <c r="D317" t="s">
        <v>5</v>
      </c>
      <c r="E317" t="s">
        <v>73</v>
      </c>
      <c r="F317">
        <v>7</v>
      </c>
      <c r="G317">
        <v>0</v>
      </c>
    </row>
    <row r="318" spans="1:7">
      <c r="A318" s="9">
        <v>46056</v>
      </c>
      <c r="B318">
        <v>259</v>
      </c>
      <c r="C318" t="s">
        <v>4</v>
      </c>
      <c r="D318" t="s">
        <v>4</v>
      </c>
      <c r="E318" t="s">
        <v>73</v>
      </c>
      <c r="F318">
        <v>1</v>
      </c>
      <c r="G318">
        <v>1</v>
      </c>
    </row>
    <row r="319" spans="1:7">
      <c r="A319" s="9">
        <v>46056</v>
      </c>
      <c r="B319">
        <v>259</v>
      </c>
      <c r="C319" t="s">
        <v>4</v>
      </c>
      <c r="D319" t="s">
        <v>5</v>
      </c>
      <c r="E319" t="s">
        <v>73</v>
      </c>
      <c r="F319">
        <v>7</v>
      </c>
      <c r="G319">
        <v>0</v>
      </c>
    </row>
    <row r="320" spans="1:7">
      <c r="A320" s="9">
        <v>46058</v>
      </c>
      <c r="B320">
        <v>260</v>
      </c>
      <c r="C320" t="s">
        <v>5</v>
      </c>
      <c r="D320" t="s">
        <v>4</v>
      </c>
      <c r="E320" t="s">
        <v>73</v>
      </c>
      <c r="F320">
        <v>5</v>
      </c>
      <c r="G320">
        <v>1</v>
      </c>
    </row>
    <row r="321" spans="1:7">
      <c r="A321" s="9">
        <v>46058</v>
      </c>
      <c r="B321">
        <v>260</v>
      </c>
      <c r="C321" t="s">
        <v>5</v>
      </c>
      <c r="D321" t="s">
        <v>4</v>
      </c>
      <c r="E321" t="s">
        <v>82</v>
      </c>
      <c r="F321">
        <v>2</v>
      </c>
      <c r="G321">
        <v>1</v>
      </c>
    </row>
    <row r="322" spans="1:7">
      <c r="A322" s="9">
        <v>46058</v>
      </c>
      <c r="B322">
        <v>260</v>
      </c>
      <c r="C322" t="s">
        <v>5</v>
      </c>
      <c r="D322" t="s">
        <v>5</v>
      </c>
      <c r="E322" t="s">
        <v>73</v>
      </c>
      <c r="F322">
        <v>1</v>
      </c>
      <c r="G322">
        <v>1</v>
      </c>
    </row>
    <row r="323" spans="1:7">
      <c r="A323" s="9">
        <v>46058</v>
      </c>
      <c r="B323">
        <v>260</v>
      </c>
      <c r="C323" t="s">
        <v>5</v>
      </c>
      <c r="D323" t="s">
        <v>5</v>
      </c>
      <c r="E323" t="s">
        <v>82</v>
      </c>
      <c r="F323">
        <v>0</v>
      </c>
      <c r="G323">
        <v>1</v>
      </c>
    </row>
    <row r="324" spans="1:7">
      <c r="A324" s="9">
        <v>46059</v>
      </c>
      <c r="B324">
        <v>261</v>
      </c>
      <c r="C324" t="s">
        <v>5</v>
      </c>
      <c r="D324" t="s">
        <v>5</v>
      </c>
      <c r="E324" t="s">
        <v>73</v>
      </c>
      <c r="F324">
        <v>8</v>
      </c>
      <c r="G324">
        <v>0</v>
      </c>
    </row>
    <row r="325" spans="1:7">
      <c r="A325" s="9">
        <v>46063</v>
      </c>
      <c r="B325">
        <v>262</v>
      </c>
      <c r="C325" t="s">
        <v>5</v>
      </c>
      <c r="D325" t="s">
        <v>5</v>
      </c>
      <c r="E325" t="s">
        <v>73</v>
      </c>
      <c r="F325">
        <v>11</v>
      </c>
      <c r="G325">
        <v>0</v>
      </c>
    </row>
    <row r="326" spans="1:7">
      <c r="A326" s="9">
        <v>46071</v>
      </c>
      <c r="B326">
        <v>263</v>
      </c>
      <c r="C326" t="s">
        <v>5</v>
      </c>
      <c r="D326" t="s">
        <v>5</v>
      </c>
      <c r="E326" t="s">
        <v>73</v>
      </c>
      <c r="F326">
        <v>5</v>
      </c>
      <c r="G326">
        <v>0</v>
      </c>
    </row>
    <row r="327" spans="1:7">
      <c r="A327" s="9">
        <v>46073</v>
      </c>
      <c r="B327">
        <v>264</v>
      </c>
      <c r="C327" t="s">
        <v>4</v>
      </c>
      <c r="D327" t="s">
        <v>5</v>
      </c>
      <c r="E327" t="s">
        <v>73</v>
      </c>
      <c r="F327">
        <v>15</v>
      </c>
      <c r="G327">
        <v>0</v>
      </c>
    </row>
    <row r="328" spans="1:7">
      <c r="A328" s="9">
        <v>46077</v>
      </c>
      <c r="B328">
        <v>265</v>
      </c>
      <c r="C328" t="s">
        <v>4</v>
      </c>
      <c r="D328" t="s">
        <v>4</v>
      </c>
      <c r="E328" t="s">
        <v>73</v>
      </c>
      <c r="F328">
        <v>3</v>
      </c>
      <c r="G328">
        <v>0</v>
      </c>
    </row>
    <row r="329" spans="1:7">
      <c r="A329" s="9">
        <v>46078</v>
      </c>
      <c r="B329">
        <v>266</v>
      </c>
      <c r="C329" t="s">
        <v>4</v>
      </c>
      <c r="D329" t="s">
        <v>5</v>
      </c>
      <c r="E329" t="s">
        <v>73</v>
      </c>
      <c r="F329">
        <v>7</v>
      </c>
      <c r="G329">
        <v>0</v>
      </c>
    </row>
    <row r="330" spans="1:7">
      <c r="A330" s="9">
        <v>46080</v>
      </c>
      <c r="B330">
        <v>267</v>
      </c>
      <c r="C330" t="s">
        <v>5</v>
      </c>
      <c r="D330" t="s">
        <v>4</v>
      </c>
      <c r="E330" t="s">
        <v>73</v>
      </c>
      <c r="F330">
        <v>2</v>
      </c>
      <c r="G330">
        <v>1</v>
      </c>
    </row>
    <row r="331" spans="1:7">
      <c r="A331" s="9">
        <v>46084</v>
      </c>
      <c r="B331">
        <v>268</v>
      </c>
      <c r="C331" t="s">
        <v>5</v>
      </c>
      <c r="D331" t="s">
        <v>4</v>
      </c>
      <c r="E331" t="s">
        <v>73</v>
      </c>
      <c r="F331">
        <v>0</v>
      </c>
      <c r="G331">
        <v>1</v>
      </c>
    </row>
    <row r="332" spans="1:7">
      <c r="A332" s="9">
        <v>46084</v>
      </c>
      <c r="B332">
        <v>268</v>
      </c>
      <c r="C332" t="s">
        <v>5</v>
      </c>
      <c r="D332" t="s">
        <v>5</v>
      </c>
      <c r="E332" t="s">
        <v>73</v>
      </c>
      <c r="F332">
        <v>5</v>
      </c>
      <c r="G332">
        <v>1</v>
      </c>
    </row>
    <row r="333" spans="1:7">
      <c r="A333" s="9">
        <v>46085</v>
      </c>
      <c r="B333">
        <v>269</v>
      </c>
      <c r="C333" t="s">
        <v>4</v>
      </c>
      <c r="D333" t="s">
        <v>5</v>
      </c>
      <c r="E333" t="s">
        <v>73</v>
      </c>
      <c r="F333">
        <v>13</v>
      </c>
      <c r="G333">
        <v>0</v>
      </c>
    </row>
    <row r="334" spans="1:7">
      <c r="A334" s="9">
        <v>46086</v>
      </c>
      <c r="B334">
        <v>270</v>
      </c>
      <c r="C334" t="s">
        <v>5</v>
      </c>
      <c r="D334" t="s">
        <v>4</v>
      </c>
      <c r="E334" t="s">
        <v>73</v>
      </c>
      <c r="F334">
        <v>2</v>
      </c>
      <c r="G334">
        <v>1</v>
      </c>
    </row>
    <row r="335" spans="1:7">
      <c r="A335" s="9">
        <v>46086</v>
      </c>
      <c r="B335">
        <v>270</v>
      </c>
      <c r="C335" t="s">
        <v>5</v>
      </c>
      <c r="D335" t="s">
        <v>5</v>
      </c>
      <c r="E335" t="s">
        <v>73</v>
      </c>
      <c r="F335">
        <v>1</v>
      </c>
      <c r="G335">
        <v>1</v>
      </c>
    </row>
    <row r="336" spans="1:7">
      <c r="A336" s="9">
        <v>46087</v>
      </c>
      <c r="B336">
        <v>271</v>
      </c>
      <c r="C336" t="s">
        <v>5</v>
      </c>
      <c r="D336" t="s">
        <v>4</v>
      </c>
      <c r="E336" t="s">
        <v>73</v>
      </c>
      <c r="F336">
        <v>2</v>
      </c>
      <c r="G336">
        <v>1</v>
      </c>
    </row>
    <row r="337" spans="1:7">
      <c r="A337" s="9">
        <v>46087</v>
      </c>
      <c r="B337">
        <v>271</v>
      </c>
      <c r="C337" t="s">
        <v>5</v>
      </c>
      <c r="D337" t="s">
        <v>5</v>
      </c>
      <c r="E337" t="s">
        <v>73</v>
      </c>
      <c r="F337">
        <v>4</v>
      </c>
      <c r="G337">
        <v>1</v>
      </c>
    </row>
    <row r="338" spans="1:7">
      <c r="A338" s="9">
        <v>46091</v>
      </c>
      <c r="B338">
        <v>272</v>
      </c>
      <c r="C338" t="s">
        <v>5</v>
      </c>
      <c r="D338" t="s">
        <v>5</v>
      </c>
      <c r="E338" t="s">
        <v>73</v>
      </c>
      <c r="F338">
        <v>4</v>
      </c>
      <c r="G338">
        <v>0</v>
      </c>
    </row>
    <row r="339" spans="1:7">
      <c r="A339" s="9">
        <v>46092</v>
      </c>
      <c r="B339">
        <v>273</v>
      </c>
      <c r="C339" t="s">
        <v>4</v>
      </c>
      <c r="D339" t="s">
        <v>4</v>
      </c>
      <c r="E339" t="s">
        <v>83</v>
      </c>
      <c r="F339">
        <v>0</v>
      </c>
      <c r="G339">
        <v>1</v>
      </c>
    </row>
    <row r="340" spans="1:7">
      <c r="A340" s="9">
        <v>46092</v>
      </c>
      <c r="B340">
        <v>273</v>
      </c>
      <c r="C340" t="s">
        <v>4</v>
      </c>
      <c r="D340" t="s">
        <v>5</v>
      </c>
      <c r="E340" t="s">
        <v>73</v>
      </c>
      <c r="F340">
        <v>6</v>
      </c>
      <c r="G340">
        <v>0</v>
      </c>
    </row>
    <row r="341" spans="1:7">
      <c r="A341" s="9">
        <v>46092</v>
      </c>
      <c r="B341">
        <v>273</v>
      </c>
      <c r="C341" t="s">
        <v>4</v>
      </c>
      <c r="D341" t="s">
        <v>5</v>
      </c>
      <c r="E341" t="s">
        <v>83</v>
      </c>
      <c r="F341">
        <v>6</v>
      </c>
      <c r="G341">
        <v>0</v>
      </c>
    </row>
    <row r="342" spans="1:7">
      <c r="A342" s="9">
        <v>46093</v>
      </c>
      <c r="B342">
        <v>274</v>
      </c>
      <c r="C342" t="s">
        <v>5</v>
      </c>
      <c r="D342" t="s">
        <v>4</v>
      </c>
      <c r="E342" t="s">
        <v>83</v>
      </c>
      <c r="F342">
        <v>3</v>
      </c>
      <c r="G342">
        <v>1</v>
      </c>
    </row>
    <row r="343" spans="1:7">
      <c r="A343" s="9">
        <v>46093</v>
      </c>
      <c r="B343">
        <v>274</v>
      </c>
      <c r="C343" t="s">
        <v>5</v>
      </c>
      <c r="D343" t="s">
        <v>5</v>
      </c>
      <c r="E343" t="s">
        <v>73</v>
      </c>
      <c r="F343">
        <v>5</v>
      </c>
      <c r="G343">
        <v>0</v>
      </c>
    </row>
    <row r="344" spans="1:7">
      <c r="A344" s="9">
        <v>46093</v>
      </c>
      <c r="B344">
        <v>274</v>
      </c>
      <c r="C344" t="s">
        <v>5</v>
      </c>
      <c r="D344" t="s">
        <v>5</v>
      </c>
      <c r="E344" t="s">
        <v>83</v>
      </c>
      <c r="F344">
        <v>0</v>
      </c>
      <c r="G344">
        <v>1</v>
      </c>
    </row>
    <row r="345" spans="1:7">
      <c r="A345" s="9">
        <v>46094</v>
      </c>
      <c r="B345">
        <v>275</v>
      </c>
      <c r="C345" t="s">
        <v>4</v>
      </c>
      <c r="D345" t="s">
        <v>4</v>
      </c>
      <c r="E345" t="s">
        <v>83</v>
      </c>
      <c r="F345">
        <v>0</v>
      </c>
      <c r="G345">
        <v>1</v>
      </c>
    </row>
    <row r="346" spans="1:7">
      <c r="A346" s="9">
        <v>46094</v>
      </c>
      <c r="B346">
        <v>275</v>
      </c>
      <c r="C346" t="s">
        <v>4</v>
      </c>
      <c r="D346" t="s">
        <v>5</v>
      </c>
      <c r="E346" t="s">
        <v>73</v>
      </c>
      <c r="F346">
        <v>6</v>
      </c>
      <c r="G346">
        <v>0</v>
      </c>
    </row>
    <row r="347" spans="1:7">
      <c r="A347" s="9">
        <v>46094</v>
      </c>
      <c r="B347">
        <v>275</v>
      </c>
      <c r="C347" t="s">
        <v>4</v>
      </c>
      <c r="D347" t="s">
        <v>5</v>
      </c>
      <c r="E347" t="s">
        <v>83</v>
      </c>
      <c r="F347">
        <v>6</v>
      </c>
      <c r="G347">
        <v>0</v>
      </c>
    </row>
    <row r="348" spans="1:7">
      <c r="A348" s="9">
        <v>46105</v>
      </c>
      <c r="B348">
        <v>276</v>
      </c>
      <c r="C348" t="s">
        <v>4</v>
      </c>
      <c r="D348" t="s">
        <v>4</v>
      </c>
      <c r="E348" t="s">
        <v>73</v>
      </c>
      <c r="F348">
        <v>0</v>
      </c>
      <c r="G348">
        <v>1</v>
      </c>
    </row>
    <row r="349" spans="1:7">
      <c r="A349" s="9">
        <v>46105</v>
      </c>
      <c r="B349">
        <v>276</v>
      </c>
      <c r="C349" t="s">
        <v>4</v>
      </c>
      <c r="D349" t="s">
        <v>4</v>
      </c>
      <c r="E349" t="s">
        <v>83</v>
      </c>
      <c r="F349">
        <v>0</v>
      </c>
      <c r="G349">
        <v>1</v>
      </c>
    </row>
    <row r="350" spans="1:7">
      <c r="A350" s="9">
        <v>46105</v>
      </c>
      <c r="B350">
        <v>276</v>
      </c>
      <c r="C350" t="s">
        <v>4</v>
      </c>
      <c r="D350" t="s">
        <v>5</v>
      </c>
      <c r="E350" t="s">
        <v>73</v>
      </c>
      <c r="F350">
        <v>3</v>
      </c>
      <c r="G350">
        <v>0</v>
      </c>
    </row>
    <row r="351" spans="1:7">
      <c r="A351" s="9">
        <v>46105</v>
      </c>
      <c r="B351">
        <v>276</v>
      </c>
      <c r="C351" t="s">
        <v>4</v>
      </c>
      <c r="D351" t="s">
        <v>5</v>
      </c>
      <c r="E351" t="s">
        <v>83</v>
      </c>
      <c r="F351">
        <v>2</v>
      </c>
      <c r="G351">
        <v>0</v>
      </c>
    </row>
    <row r="352" spans="1:7">
      <c r="A352" s="9">
        <v>46106</v>
      </c>
      <c r="B352">
        <v>277</v>
      </c>
      <c r="C352" t="s">
        <v>4</v>
      </c>
      <c r="D352" t="s">
        <v>4</v>
      </c>
      <c r="E352" t="s">
        <v>83</v>
      </c>
      <c r="F352">
        <v>0</v>
      </c>
      <c r="G352">
        <v>1</v>
      </c>
    </row>
    <row r="353" spans="1:7">
      <c r="A353" s="9">
        <v>46106</v>
      </c>
      <c r="B353">
        <v>277</v>
      </c>
      <c r="C353" t="s">
        <v>4</v>
      </c>
      <c r="D353" t="s">
        <v>5</v>
      </c>
      <c r="E353" t="s">
        <v>73</v>
      </c>
      <c r="F353">
        <v>6</v>
      </c>
      <c r="G353">
        <v>0</v>
      </c>
    </row>
    <row r="354" spans="1:7">
      <c r="A354" s="9">
        <v>46106</v>
      </c>
      <c r="B354">
        <v>277</v>
      </c>
      <c r="C354" t="s">
        <v>4</v>
      </c>
      <c r="D354" t="s">
        <v>5</v>
      </c>
      <c r="E354" t="s">
        <v>83</v>
      </c>
      <c r="F354">
        <v>4</v>
      </c>
      <c r="G354">
        <v>0</v>
      </c>
    </row>
    <row r="355" spans="1:7">
      <c r="A355" s="9">
        <v>46108</v>
      </c>
      <c r="B355">
        <v>278</v>
      </c>
      <c r="C355" t="s">
        <v>5</v>
      </c>
      <c r="D355" t="s">
        <v>4</v>
      </c>
      <c r="E355" t="s">
        <v>73</v>
      </c>
      <c r="F355">
        <v>2</v>
      </c>
      <c r="G355">
        <v>1</v>
      </c>
    </row>
    <row r="356" spans="1:7">
      <c r="A356" s="9">
        <v>46108</v>
      </c>
      <c r="B356">
        <v>278</v>
      </c>
      <c r="C356" t="s">
        <v>5</v>
      </c>
      <c r="D356" t="s">
        <v>4</v>
      </c>
      <c r="E356" t="s">
        <v>83</v>
      </c>
      <c r="F356">
        <v>2</v>
      </c>
      <c r="G356">
        <v>1</v>
      </c>
    </row>
    <row r="357" spans="1:7">
      <c r="A357" s="9">
        <v>46108</v>
      </c>
      <c r="B357">
        <v>278</v>
      </c>
      <c r="C357" t="s">
        <v>5</v>
      </c>
      <c r="D357" t="s">
        <v>5</v>
      </c>
      <c r="E357" t="s">
        <v>73</v>
      </c>
      <c r="F357">
        <v>0</v>
      </c>
      <c r="G357">
        <v>1</v>
      </c>
    </row>
    <row r="358" spans="1:7">
      <c r="A358" s="9">
        <v>46108</v>
      </c>
      <c r="B358">
        <v>278</v>
      </c>
      <c r="C358" t="s">
        <v>5</v>
      </c>
      <c r="D358" t="s">
        <v>5</v>
      </c>
      <c r="E358" t="s">
        <v>83</v>
      </c>
      <c r="F358">
        <v>0</v>
      </c>
      <c r="G358">
        <v>1</v>
      </c>
    </row>
    <row r="359" spans="1:7">
      <c r="A359" s="9">
        <v>46114</v>
      </c>
      <c r="B359">
        <v>279</v>
      </c>
      <c r="C359" t="s">
        <v>5</v>
      </c>
      <c r="D359" t="s">
        <v>4</v>
      </c>
      <c r="E359" t="s">
        <v>83</v>
      </c>
      <c r="F359">
        <v>3</v>
      </c>
      <c r="G359">
        <v>1</v>
      </c>
    </row>
    <row r="360" spans="1:7">
      <c r="A360" s="9">
        <v>46114</v>
      </c>
      <c r="B360">
        <v>279</v>
      </c>
      <c r="C360" t="s">
        <v>5</v>
      </c>
      <c r="D360" t="s">
        <v>5</v>
      </c>
      <c r="E360" t="s">
        <v>73</v>
      </c>
      <c r="F360">
        <v>3</v>
      </c>
      <c r="G360">
        <v>0</v>
      </c>
    </row>
    <row r="361" spans="1:7">
      <c r="A361" s="9">
        <v>46114</v>
      </c>
      <c r="B361">
        <v>279</v>
      </c>
      <c r="C361" t="s">
        <v>5</v>
      </c>
      <c r="D361" t="s">
        <v>5</v>
      </c>
      <c r="E361" t="s">
        <v>83</v>
      </c>
      <c r="F361">
        <v>0</v>
      </c>
      <c r="G361">
        <v>1</v>
      </c>
    </row>
    <row r="362" spans="1:7">
      <c r="A362" s="9">
        <v>46121</v>
      </c>
      <c r="B362">
        <v>280</v>
      </c>
      <c r="C362" t="s">
        <v>4</v>
      </c>
      <c r="D362" t="s">
        <v>4</v>
      </c>
      <c r="E362" t="s">
        <v>83</v>
      </c>
      <c r="F362">
        <v>0</v>
      </c>
      <c r="G362">
        <v>1</v>
      </c>
    </row>
    <row r="363" spans="1:7">
      <c r="A363" s="9">
        <v>46121</v>
      </c>
      <c r="B363">
        <v>280</v>
      </c>
      <c r="C363" t="s">
        <v>4</v>
      </c>
      <c r="D363" t="s">
        <v>5</v>
      </c>
      <c r="E363" t="s">
        <v>73</v>
      </c>
      <c r="F363">
        <v>12</v>
      </c>
      <c r="G363">
        <v>0</v>
      </c>
    </row>
    <row r="364" spans="1:7">
      <c r="A364" s="9">
        <v>46121</v>
      </c>
      <c r="B364">
        <v>280</v>
      </c>
      <c r="C364" t="s">
        <v>4</v>
      </c>
      <c r="D364" t="s">
        <v>5</v>
      </c>
      <c r="E364" t="s">
        <v>83</v>
      </c>
      <c r="F364">
        <v>5</v>
      </c>
      <c r="G364">
        <v>0</v>
      </c>
    </row>
    <row r="365" spans="1:7">
      <c r="A365" s="9">
        <v>46122</v>
      </c>
      <c r="B365">
        <v>281</v>
      </c>
      <c r="C365" t="s">
        <v>5</v>
      </c>
      <c r="D365" t="s">
        <v>4</v>
      </c>
      <c r="E365" t="s">
        <v>83</v>
      </c>
      <c r="F365">
        <v>1</v>
      </c>
      <c r="G365">
        <v>1</v>
      </c>
    </row>
    <row r="366" spans="1:7">
      <c r="A366" s="9">
        <v>46122</v>
      </c>
      <c r="B366">
        <v>281</v>
      </c>
      <c r="C366" t="s">
        <v>5</v>
      </c>
      <c r="D366" t="s">
        <v>5</v>
      </c>
      <c r="E366" t="s">
        <v>73</v>
      </c>
      <c r="F366">
        <v>2</v>
      </c>
      <c r="G366">
        <v>0</v>
      </c>
    </row>
    <row r="367" spans="1:7">
      <c r="A367" s="9">
        <v>46122</v>
      </c>
      <c r="B367">
        <v>281</v>
      </c>
      <c r="C367" t="s">
        <v>5</v>
      </c>
      <c r="D367" t="s">
        <v>5</v>
      </c>
      <c r="E367" t="s">
        <v>83</v>
      </c>
      <c r="F367">
        <v>0</v>
      </c>
      <c r="G367">
        <v>1</v>
      </c>
    </row>
    <row r="368" spans="1:7">
      <c r="A368" s="9">
        <v>46127</v>
      </c>
      <c r="B368">
        <v>282</v>
      </c>
      <c r="C368" t="s">
        <v>4</v>
      </c>
      <c r="D368" t="s">
        <v>4</v>
      </c>
      <c r="E368" t="s">
        <v>83</v>
      </c>
      <c r="F368">
        <v>0</v>
      </c>
      <c r="G368">
        <v>1</v>
      </c>
    </row>
    <row r="369" spans="1:7">
      <c r="A369" s="9">
        <v>46127</v>
      </c>
      <c r="B369">
        <v>282</v>
      </c>
      <c r="C369" t="s">
        <v>4</v>
      </c>
      <c r="D369" t="s">
        <v>5</v>
      </c>
      <c r="E369" t="s">
        <v>73</v>
      </c>
      <c r="F369">
        <v>8</v>
      </c>
      <c r="G369">
        <v>0</v>
      </c>
    </row>
    <row r="370" spans="1:7">
      <c r="A370" s="9">
        <v>46127</v>
      </c>
      <c r="B370">
        <v>282</v>
      </c>
      <c r="C370" t="s">
        <v>4</v>
      </c>
      <c r="D370" t="s">
        <v>5</v>
      </c>
      <c r="E370" t="s">
        <v>83</v>
      </c>
      <c r="F370">
        <v>6</v>
      </c>
      <c r="G370">
        <v>0</v>
      </c>
    </row>
    <row r="371" spans="1:7">
      <c r="A371" s="9">
        <v>46132</v>
      </c>
      <c r="B371">
        <v>283</v>
      </c>
      <c r="C371" t="s">
        <v>4</v>
      </c>
      <c r="D371" t="s">
        <v>4</v>
      </c>
      <c r="E371" t="s">
        <v>83</v>
      </c>
      <c r="F371">
        <v>0</v>
      </c>
      <c r="G371">
        <v>1</v>
      </c>
    </row>
    <row r="372" spans="1:7">
      <c r="A372" s="9">
        <v>46132</v>
      </c>
      <c r="B372">
        <v>283</v>
      </c>
      <c r="C372" t="s">
        <v>4</v>
      </c>
      <c r="D372" t="s">
        <v>5</v>
      </c>
      <c r="E372" t="s">
        <v>73</v>
      </c>
      <c r="F372">
        <v>11</v>
      </c>
      <c r="G372">
        <v>0</v>
      </c>
    </row>
    <row r="373" spans="1:7">
      <c r="A373" s="9">
        <v>46132</v>
      </c>
      <c r="B373">
        <v>283</v>
      </c>
      <c r="C373" t="s">
        <v>4</v>
      </c>
      <c r="D373" t="s">
        <v>5</v>
      </c>
      <c r="E373" t="s">
        <v>83</v>
      </c>
      <c r="F373">
        <v>6</v>
      </c>
      <c r="G373">
        <v>0</v>
      </c>
    </row>
    <row r="374" spans="1:7">
      <c r="A374" s="9">
        <v>46148</v>
      </c>
      <c r="B374">
        <v>284</v>
      </c>
      <c r="C374" t="s">
        <v>4</v>
      </c>
      <c r="D374" t="s">
        <v>4</v>
      </c>
      <c r="E374" t="s">
        <v>83</v>
      </c>
      <c r="F374">
        <v>0</v>
      </c>
      <c r="G374">
        <v>1</v>
      </c>
    </row>
    <row r="375" spans="1:7">
      <c r="A375" s="9">
        <v>46148</v>
      </c>
      <c r="B375">
        <v>284</v>
      </c>
      <c r="C375" t="s">
        <v>4</v>
      </c>
      <c r="D375" t="s">
        <v>5</v>
      </c>
      <c r="E375" t="s">
        <v>73</v>
      </c>
      <c r="F375">
        <v>5</v>
      </c>
      <c r="G375">
        <v>0</v>
      </c>
    </row>
    <row r="376" spans="1:7">
      <c r="A376" s="9">
        <v>46148</v>
      </c>
      <c r="B376">
        <v>284</v>
      </c>
      <c r="C376" t="s">
        <v>4</v>
      </c>
      <c r="D376" t="s">
        <v>5</v>
      </c>
      <c r="E376" t="s">
        <v>83</v>
      </c>
      <c r="F376">
        <v>3</v>
      </c>
      <c r="G376">
        <v>1</v>
      </c>
    </row>
    <row r="377" spans="1:7">
      <c r="A377" s="9">
        <v>46154</v>
      </c>
      <c r="B377">
        <v>285</v>
      </c>
      <c r="C377" t="s">
        <v>4</v>
      </c>
      <c r="D377" t="s">
        <v>4</v>
      </c>
      <c r="E377" t="s">
        <v>73</v>
      </c>
      <c r="F377">
        <v>0</v>
      </c>
      <c r="G377">
        <v>1</v>
      </c>
    </row>
    <row r="378" spans="1:7">
      <c r="A378" s="9">
        <v>46154</v>
      </c>
      <c r="B378">
        <v>285</v>
      </c>
      <c r="C378" t="s">
        <v>4</v>
      </c>
      <c r="D378" t="s">
        <v>4</v>
      </c>
      <c r="E378" t="s">
        <v>83</v>
      </c>
      <c r="F378">
        <v>0</v>
      </c>
      <c r="G378">
        <v>1</v>
      </c>
    </row>
    <row r="379" spans="1:7">
      <c r="A379" s="9">
        <v>46154</v>
      </c>
      <c r="B379">
        <v>285</v>
      </c>
      <c r="C379" t="s">
        <v>4</v>
      </c>
      <c r="D379" t="s">
        <v>5</v>
      </c>
      <c r="E379" t="s">
        <v>73</v>
      </c>
      <c r="F379">
        <v>4</v>
      </c>
      <c r="G379">
        <v>0</v>
      </c>
    </row>
    <row r="380" spans="1:7">
      <c r="A380" s="9">
        <v>46154</v>
      </c>
      <c r="B380">
        <v>285</v>
      </c>
      <c r="C380" t="s">
        <v>4</v>
      </c>
      <c r="D380" t="s">
        <v>5</v>
      </c>
      <c r="E380" t="s">
        <v>83</v>
      </c>
      <c r="F380">
        <v>5</v>
      </c>
      <c r="G380">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85"/>
  <sheetViews>
    <sheetView tabSelected="1" zoomScale="125" workbookViewId="0">
      <pane xSplit="2" ySplit="1" topLeftCell="C469" activePane="bottomRight" state="frozen"/>
      <selection pane="topRight" activeCell="C1" sqref="C1"/>
      <selection pane="bottomLeft" activeCell="A2" sqref="A2"/>
      <selection pane="bottomRight" activeCell="H488" sqref="H488"/>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SUMIF(Scores!$F$2:$F$910, 'Next Gen'!$A2, INDEX(Scores!$I$2:$Q$910, 0, MATCH($B2, Scores!$I$1:$Q$1, 0)))</f>
        <v>13</v>
      </c>
      <c r="G2" s="1" t="str">
        <f>INDEX(Scores!$B$2:$B$910, MATCH('Next Gen'!$A3, Scores!$F$2:$F$910, 0))</f>
        <v>high</v>
      </c>
      <c r="H2" s="1" t="str">
        <f>INDEX(Scores!$D$2:$D$910, MATCH('Next Gen'!$A2, Scores!$F$2:$F$910, 0))</f>
        <v>Original</v>
      </c>
      <c r="I2" s="4">
        <f>INDEX(Scores!$E$2:$E$910, MATCH('Next Gen'!$A3, Scores!$F$2:$F$910, 0))</f>
        <v>45772</v>
      </c>
      <c r="L2"/>
      <c r="M2"/>
      <c r="N2"/>
      <c r="O2"/>
      <c r="P2"/>
      <c r="W2" s="1" t="s">
        <v>54</v>
      </c>
    </row>
    <row r="3" spans="1:23">
      <c r="A3" s="1">
        <v>71</v>
      </c>
      <c r="B3" s="1" t="s">
        <v>5</v>
      </c>
      <c r="C3" s="1">
        <v>9</v>
      </c>
      <c r="D3" s="1">
        <v>9</v>
      </c>
      <c r="E3" s="1">
        <v>4</v>
      </c>
      <c r="F3" s="1">
        <f>SUMIF(Scores!$F$2:$F$910, 'Next Gen'!$A3, INDEX(Scores!$I$2:$Q$910, 0, MATCH($B3, Scores!$I$1:$Q$1, 0)))</f>
        <v>8</v>
      </c>
      <c r="G3" s="1" t="str">
        <f>INDEX(Scores!$B$2:$B$910, MATCH('Next Gen'!$A2, Scores!$F$2:$F$910, 0))</f>
        <v>high</v>
      </c>
      <c r="H3" s="1" t="str">
        <f>INDEX(Scores!$D$2:$D$910, MATCH('Next Gen'!$A3, Scores!$F$2:$F$910, 0))</f>
        <v>Original</v>
      </c>
      <c r="I3" s="4">
        <f>INDEX(Scores!$E$2:$E$910, MATCH('Next Gen'!$A2, Scores!$F$2:$F$910,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SUMIF(Scores!$F$2:$F$910, 'Next Gen'!$A4, INDEX(Scores!$I$2:$Q$910, 0, MATCH($B4, Scores!$I$1:$Q$1, 0)))</f>
        <v>4</v>
      </c>
      <c r="G4" s="1" t="str">
        <f>INDEX(Scores!$B$2:$B$910, MATCH('Next Gen'!$A5, Scores!$F$2:$F$910, 0))</f>
        <v>mid</v>
      </c>
      <c r="H4" s="1" t="str">
        <f>INDEX(Scores!$D$2:$D$910, MATCH('Next Gen'!$A4, Scores!$F$2:$F$910, 0))</f>
        <v>Original</v>
      </c>
      <c r="I4" s="4">
        <f>INDEX(Scores!$E$2:$E$910, MATCH('Next Gen'!$A5, Scores!$F$2:$F$910,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SUMIF(Scores!$F$2:$F$910, 'Next Gen'!$A5, INDEX(Scores!$I$2:$Q$910, 0, MATCH($B5, Scores!$I$1:$Q$1, 0)))</f>
        <v>1</v>
      </c>
      <c r="G5" s="1" t="str">
        <f>INDEX(Scores!$B$2:$B$910, MATCH('Next Gen'!$A4, Scores!$F$2:$F$910, 0))</f>
        <v>mid</v>
      </c>
      <c r="H5" s="1" t="str">
        <f>INDEX(Scores!$D$2:$D$910, MATCH('Next Gen'!$A5, Scores!$F$2:$F$910, 0))</f>
        <v>Original</v>
      </c>
      <c r="I5" s="4">
        <f>INDEX(Scores!$E$2:$E$910, MATCH('Next Gen'!$A4, Scores!$F$2:$F$910,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SUMIF(Scores!$F$2:$F$910, 'Next Gen'!$A6, INDEX(Scores!$I$2:$Q$910, 0, MATCH($B6, Scores!$I$1:$Q$1, 0)))</f>
        <v>0</v>
      </c>
      <c r="G6" s="1" t="str">
        <f>INDEX(Scores!$B$2:$B$910, MATCH('Next Gen'!$A6, Scores!$F$2:$F$910, 0))</f>
        <v>mid</v>
      </c>
      <c r="H6" s="1" t="str">
        <f>INDEX(Scores!$D$2:$D$910, MATCH('Next Gen'!$A6, Scores!$F$2:$F$910, 0))</f>
        <v>Original</v>
      </c>
      <c r="I6" s="4">
        <f>INDEX(Scores!$E$2:$E$910, MATCH('Next Gen'!$A6, Scores!$F$2:$F$910,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SUMIF(Scores!$F$2:$F$910, 'Next Gen'!$A7, INDEX(Scores!$I$2:$Q$910, 0, MATCH($B7, Scores!$I$1:$Q$1, 0)))</f>
        <v>10</v>
      </c>
      <c r="G7" s="1" t="str">
        <f>INDEX(Scores!$B$2:$B$910, MATCH('Next Gen'!$A8, Scores!$F$2:$F$910, 0))</f>
        <v>high</v>
      </c>
      <c r="H7" s="1" t="str">
        <f>INDEX(Scores!$D$2:$D$910, MATCH('Next Gen'!$A7, Scores!$F$2:$F$910, 0))</f>
        <v>Original</v>
      </c>
      <c r="I7" s="4">
        <f>INDEX(Scores!$E$2:$E$910, MATCH('Next Gen'!$A8, Scores!$F$2:$F$910,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SUMIF(Scores!$F$2:$F$910, 'Next Gen'!$A8, INDEX(Scores!$I$2:$Q$910, 0, MATCH($B8, Scores!$I$1:$Q$1, 0)))</f>
        <v>2</v>
      </c>
      <c r="G8" s="1" t="str">
        <f>INDEX(Scores!$B$2:$B$910, MATCH('Next Gen'!$A7, Scores!$F$2:$F$910, 0))</f>
        <v>high</v>
      </c>
      <c r="H8" s="1" t="str">
        <f>INDEX(Scores!$D$2:$D$910, MATCH('Next Gen'!$A8, Scores!$F$2:$F$910, 0))</f>
        <v>Original</v>
      </c>
      <c r="I8" s="4">
        <f>INDEX(Scores!$E$2:$E$910, MATCH('Next Gen'!$A7, Scores!$F$2:$F$910,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SUMIF(Scores!$F$2:$F$910, 'Next Gen'!$A9, INDEX(Scores!$I$2:$Q$910, 0, MATCH($B9, Scores!$I$1:$Q$1, 0)))</f>
        <v>7</v>
      </c>
      <c r="G9" s="1" t="str">
        <f>INDEX(Scores!$B$2:$B$910, MATCH('Next Gen'!$A10, Scores!$F$2:$F$910, 0))</f>
        <v>low</v>
      </c>
      <c r="H9" s="1" t="str">
        <f>INDEX(Scores!$D$2:$D$910, MATCH('Next Gen'!$A9, Scores!$F$2:$F$910, 0))</f>
        <v>Original</v>
      </c>
      <c r="I9" s="4">
        <f>INDEX(Scores!$E$2:$E$910, MATCH('Next Gen'!$A10, Scores!$F$2:$F$910,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SUMIF(Scores!$F$2:$F$910, 'Next Gen'!$A10, INDEX(Scores!$I$2:$Q$910, 0, MATCH($B10, Scores!$I$1:$Q$1, 0)))</f>
        <v>3</v>
      </c>
      <c r="G10" s="1" t="str">
        <f>INDEX(Scores!$B$2:$B$910, MATCH('Next Gen'!$A11, Scores!$F$2:$F$910, 0))</f>
        <v>low</v>
      </c>
      <c r="H10" s="1" t="str">
        <f>INDEX(Scores!$D$2:$D$910, MATCH('Next Gen'!$A10, Scores!$F$2:$F$910, 0))</f>
        <v>Original</v>
      </c>
      <c r="I10" s="4">
        <f>INDEX(Scores!$E$2:$E$910, MATCH('Next Gen'!$A11, Scores!$F$2:$F$910,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SUMIF(Scores!$F$2:$F$910, 'Next Gen'!$A11, INDEX(Scores!$I$2:$Q$910, 0, MATCH($B11, Scores!$I$1:$Q$1, 0)))</f>
        <v>1</v>
      </c>
      <c r="G11" s="1" t="str">
        <f>INDEX(Scores!$B$2:$B$910, MATCH('Next Gen'!$A9, Scores!$F$2:$F$910, 0))</f>
        <v>low</v>
      </c>
      <c r="H11" s="1" t="str">
        <f>INDEX(Scores!$D$2:$D$910, MATCH('Next Gen'!$A11, Scores!$F$2:$F$910, 0))</f>
        <v>Original</v>
      </c>
      <c r="I11" s="4">
        <f>INDEX(Scores!$E$2:$E$910, MATCH('Next Gen'!$A9, Scores!$F$2:$F$910,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SUMIF(Scores!$F$2:$F$910, 'Next Gen'!$A12, INDEX(Scores!$I$2:$Q$910, 0, MATCH($B12, Scores!$I$1:$Q$1, 0)))</f>
        <v>8</v>
      </c>
      <c r="G12" s="1" t="str">
        <f>INDEX(Scores!$B$2:$B$910, MATCH('Next Gen'!$A13, Scores!$F$2:$F$910, 0))</f>
        <v>mid</v>
      </c>
      <c r="H12" s="1" t="str">
        <f>INDEX(Scores!$D$2:$D$910, MATCH('Next Gen'!$A12, Scores!$F$2:$F$910, 0))</f>
        <v>Original</v>
      </c>
      <c r="I12" s="4">
        <f>INDEX(Scores!$E$2:$E$910, MATCH('Next Gen'!$A13, Scores!$F$2:$F$910, 0))</f>
        <v>45775</v>
      </c>
      <c r="L12"/>
      <c r="M12"/>
      <c r="N12"/>
    </row>
    <row r="13" spans="1:23">
      <c r="A13" s="1">
        <v>75</v>
      </c>
      <c r="B13" s="1" t="s">
        <v>4</v>
      </c>
      <c r="C13" s="1">
        <v>12</v>
      </c>
      <c r="D13" s="1">
        <v>12</v>
      </c>
      <c r="E13" s="1">
        <v>5</v>
      </c>
      <c r="F13" s="1">
        <f>SUMIF(Scores!$F$2:$F$910, 'Next Gen'!$A13, INDEX(Scores!$I$2:$Q$910, 0, MATCH($B13, Scores!$I$1:$Q$1, 0)))</f>
        <v>10</v>
      </c>
      <c r="G13" s="1" t="str">
        <f>INDEX(Scores!$B$2:$B$910, MATCH('Next Gen'!$A12, Scores!$F$2:$F$910, 0))</f>
        <v>mid</v>
      </c>
      <c r="H13" s="1" t="str">
        <f>INDEX(Scores!$D$2:$D$910, MATCH('Next Gen'!$A13, Scores!$F$2:$F$910, 0))</f>
        <v>Original</v>
      </c>
      <c r="I13" s="4">
        <f>INDEX(Scores!$E$2:$E$910, MATCH('Next Gen'!$A12, Scores!$F$2:$F$910, 0))</f>
        <v>45775</v>
      </c>
      <c r="L13"/>
      <c r="M13"/>
      <c r="N13"/>
    </row>
    <row r="14" spans="1:23">
      <c r="A14" s="1">
        <v>76</v>
      </c>
      <c r="B14" s="1" t="s">
        <v>4</v>
      </c>
      <c r="C14" s="1">
        <v>9</v>
      </c>
      <c r="D14" s="1">
        <v>8</v>
      </c>
      <c r="E14" s="1">
        <v>3</v>
      </c>
      <c r="F14" s="1">
        <f>SUMIF(Scores!$F$2:$F$910, 'Next Gen'!$A14, INDEX(Scores!$I$2:$Q$910, 0, MATCH($B14, Scores!$I$1:$Q$1, 0)))</f>
        <v>5</v>
      </c>
      <c r="G14" s="1" t="str">
        <f>INDEX(Scores!$B$2:$B$910, MATCH('Next Gen'!$A14, Scores!$F$2:$F$910, 0))</f>
        <v>mid</v>
      </c>
      <c r="H14" s="1" t="str">
        <f>INDEX(Scores!$D$2:$D$910, MATCH('Next Gen'!$A14, Scores!$F$2:$F$910, 0))</f>
        <v>Original</v>
      </c>
      <c r="I14" s="4">
        <f>INDEX(Scores!$E$2:$E$910, MATCH('Next Gen'!$A14, Scores!$F$2:$F$910, 0))</f>
        <v>45776</v>
      </c>
      <c r="L14"/>
      <c r="M14"/>
      <c r="N14"/>
    </row>
    <row r="15" spans="1:23">
      <c r="A15" s="1">
        <v>76</v>
      </c>
      <c r="B15" s="1" t="s">
        <v>5</v>
      </c>
      <c r="C15" s="1">
        <v>9</v>
      </c>
      <c r="D15" s="1">
        <v>6</v>
      </c>
      <c r="E15" s="1">
        <v>0</v>
      </c>
      <c r="F15" s="1">
        <f>SUMIF(Scores!$F$2:$F$910, 'Next Gen'!$A15, INDEX(Scores!$I$2:$Q$910, 0, MATCH($B15, Scores!$I$1:$Q$1, 0)))</f>
        <v>0</v>
      </c>
      <c r="G15" s="1" t="str">
        <f>INDEX(Scores!$B$2:$B$910, MATCH('Next Gen'!$A15, Scores!$F$2:$F$910, 0))</f>
        <v>mid</v>
      </c>
      <c r="H15" s="1" t="str">
        <f>INDEX(Scores!$D$2:$D$910, MATCH('Next Gen'!$A15, Scores!$F$2:$F$910, 0))</f>
        <v>Original</v>
      </c>
      <c r="I15" s="4">
        <f>INDEX(Scores!$E$2:$E$910, MATCH('Next Gen'!$A15, Scores!$F$2:$F$910, 0))</f>
        <v>45776</v>
      </c>
      <c r="L15"/>
      <c r="M15"/>
      <c r="N15"/>
    </row>
    <row r="16" spans="1:23">
      <c r="A16" s="1">
        <v>77</v>
      </c>
      <c r="B16" s="1" t="s">
        <v>5</v>
      </c>
      <c r="C16" s="1">
        <v>9</v>
      </c>
      <c r="D16" s="1">
        <v>5</v>
      </c>
      <c r="E16" s="1">
        <v>3</v>
      </c>
      <c r="F16" s="1">
        <f>SUMIF(Scores!$F$2:$F$910, 'Next Gen'!$A16, INDEX(Scores!$I$2:$Q$910, 0, MATCH($B16, Scores!$I$1:$Q$1, 0)))</f>
        <v>5</v>
      </c>
      <c r="G16" s="1" t="str">
        <f>INDEX(Scores!$B$2:$B$910, MATCH('Next Gen'!$A17, Scores!$F$2:$F$910, 0))</f>
        <v>mid</v>
      </c>
      <c r="H16" s="1" t="str">
        <f>INDEX(Scores!$D$2:$D$910, MATCH('Next Gen'!$A16, Scores!$F$2:$F$910, 0))</f>
        <v>Original</v>
      </c>
      <c r="I16" s="4">
        <f>INDEX(Scores!$E$2:$E$910, MATCH('Next Gen'!$A17, Scores!$F$2:$F$910, 0))</f>
        <v>45776</v>
      </c>
      <c r="L16"/>
      <c r="M16"/>
      <c r="N16"/>
    </row>
    <row r="17" spans="1:16">
      <c r="A17" s="1">
        <v>77</v>
      </c>
      <c r="B17" s="1" t="s">
        <v>6</v>
      </c>
      <c r="C17" s="1">
        <v>9</v>
      </c>
      <c r="D17" s="1">
        <v>5</v>
      </c>
      <c r="E17" s="1">
        <v>3</v>
      </c>
      <c r="F17" s="1">
        <f>SUMIF(Scores!$F$2:$F$910, 'Next Gen'!$A17, INDEX(Scores!$I$2:$Q$910, 0, MATCH($B17, Scores!$I$1:$Q$1, 0)))</f>
        <v>8</v>
      </c>
      <c r="G17" s="1" t="str">
        <f>INDEX(Scores!$B$2:$B$910, MATCH('Next Gen'!$A18, Scores!$F$2:$F$910, 0))</f>
        <v>mid</v>
      </c>
      <c r="H17" s="1" t="str">
        <f>INDEX(Scores!$D$2:$D$910, MATCH('Next Gen'!$A17, Scores!$F$2:$F$910, 0))</f>
        <v>Original</v>
      </c>
      <c r="I17" s="4">
        <f>INDEX(Scores!$E$2:$E$910, MATCH('Next Gen'!$A18, Scores!$F$2:$F$910, 0))</f>
        <v>45776</v>
      </c>
      <c r="L17"/>
      <c r="M17"/>
      <c r="N17"/>
    </row>
    <row r="18" spans="1:16">
      <c r="A18" s="1">
        <v>77</v>
      </c>
      <c r="B18" s="1" t="s">
        <v>4</v>
      </c>
      <c r="C18" s="1">
        <v>9</v>
      </c>
      <c r="D18" s="1">
        <v>9</v>
      </c>
      <c r="E18" s="1">
        <v>1</v>
      </c>
      <c r="F18" s="1">
        <f>SUMIF(Scores!$F$2:$F$910, 'Next Gen'!$A18, INDEX(Scores!$I$2:$Q$910, 0, MATCH($B18, Scores!$I$1:$Q$1, 0)))</f>
        <v>1</v>
      </c>
      <c r="G18" s="1" t="str">
        <f>INDEX(Scores!$B$2:$B$910, MATCH('Next Gen'!$A16, Scores!$F$2:$F$910, 0))</f>
        <v>mid</v>
      </c>
      <c r="H18" s="1" t="str">
        <f>INDEX(Scores!$D$2:$D$910, MATCH('Next Gen'!$A18, Scores!$F$2:$F$910, 0))</f>
        <v>Original</v>
      </c>
      <c r="I18" s="4">
        <f>INDEX(Scores!$E$2:$E$910, MATCH('Next Gen'!$A16, Scores!$F$2:$F$910, 0))</f>
        <v>45776</v>
      </c>
      <c r="L18"/>
      <c r="M18"/>
      <c r="N18"/>
    </row>
    <row r="19" spans="1:16">
      <c r="A19" s="1">
        <v>78</v>
      </c>
      <c r="B19" s="1" t="s">
        <v>4</v>
      </c>
      <c r="C19" s="1">
        <v>9</v>
      </c>
      <c r="D19" s="1">
        <v>8</v>
      </c>
      <c r="E19" s="1">
        <v>5</v>
      </c>
      <c r="F19" s="1">
        <f>SUMIF(Scores!$F$2:$F$910, 'Next Gen'!$A19, INDEX(Scores!$I$2:$Q$910, 0, MATCH($B19, Scores!$I$1:$Q$1, 0)))</f>
        <v>9</v>
      </c>
      <c r="G19" s="1" t="str">
        <f>INDEX(Scores!$B$2:$B$910, MATCH('Next Gen'!$A19, Scores!$F$2:$F$910, 0))</f>
        <v>mid</v>
      </c>
      <c r="H19" s="1" t="str">
        <f>INDEX(Scores!$D$2:$D$910, MATCH('Next Gen'!$A19, Scores!$F$2:$F$910, 0))</f>
        <v>Original</v>
      </c>
      <c r="I19" s="4">
        <f>INDEX(Scores!$E$2:$E$910, MATCH('Next Gen'!$A19, Scores!$F$2:$F$910, 0))</f>
        <v>45776</v>
      </c>
      <c r="L19"/>
      <c r="M19"/>
      <c r="N19"/>
    </row>
    <row r="20" spans="1:16">
      <c r="A20" s="1">
        <v>78</v>
      </c>
      <c r="B20" s="1" t="s">
        <v>7</v>
      </c>
      <c r="C20" s="1">
        <v>9</v>
      </c>
      <c r="D20" s="1">
        <v>6</v>
      </c>
      <c r="E20" s="1">
        <v>2</v>
      </c>
      <c r="F20" s="1">
        <f>SUMIF(Scores!$F$2:$F$910, 'Next Gen'!$A20, INDEX(Scores!$I$2:$Q$910, 0, MATCH($B20, Scores!$I$1:$Q$1, 0)))</f>
        <v>4</v>
      </c>
      <c r="G20" s="1" t="str">
        <f>INDEX(Scores!$B$2:$B$910, MATCH('Next Gen'!$A20, Scores!$F$2:$F$910, 0))</f>
        <v>mid</v>
      </c>
      <c r="H20" s="1" t="str">
        <f>INDEX(Scores!$D$2:$D$910, MATCH('Next Gen'!$A20, Scores!$F$2:$F$910, 0))</f>
        <v>Original</v>
      </c>
      <c r="I20" s="4">
        <f>INDEX(Scores!$E$2:$E$910, MATCH('Next Gen'!$A20, Scores!$F$2:$F$910, 0))</f>
        <v>45776</v>
      </c>
      <c r="L20"/>
      <c r="M20"/>
      <c r="N20"/>
    </row>
    <row r="21" spans="1:16">
      <c r="A21" s="1">
        <v>79</v>
      </c>
      <c r="B21" s="1" t="s">
        <v>7</v>
      </c>
      <c r="C21" s="1">
        <v>9</v>
      </c>
      <c r="D21" s="1">
        <v>5</v>
      </c>
      <c r="E21" s="1">
        <v>3</v>
      </c>
      <c r="F21" s="1">
        <f>SUMIF(Scores!$F$2:$F$910, 'Next Gen'!$A21, INDEX(Scores!$I$2:$Q$910, 0, MATCH($B21, Scores!$I$1:$Q$1, 0)))</f>
        <v>5</v>
      </c>
      <c r="G21" s="1" t="str">
        <f>INDEX(Scores!$B$2:$B$910, MATCH('Next Gen'!$A24, Scores!$F$2:$F$910, 0))</f>
        <v>mid</v>
      </c>
      <c r="H21" s="1" t="str">
        <f>INDEX(Scores!$D$2:$D$910, MATCH('Next Gen'!$A21, Scores!$F$2:$F$910, 0))</f>
        <v>Original</v>
      </c>
      <c r="I21" s="4">
        <f>INDEX(Scores!$E$2:$E$910, MATCH('Next Gen'!$A24, Scores!$F$2:$F$910, 0))</f>
        <v>45776</v>
      </c>
      <c r="L21"/>
      <c r="M21"/>
      <c r="N21"/>
    </row>
    <row r="22" spans="1:16">
      <c r="A22" s="1">
        <v>79</v>
      </c>
      <c r="B22" s="1" t="s">
        <v>4</v>
      </c>
      <c r="C22" s="1">
        <v>9</v>
      </c>
      <c r="D22" s="1">
        <v>7</v>
      </c>
      <c r="E22" s="1">
        <v>3</v>
      </c>
      <c r="F22" s="1">
        <f>SUMIF(Scores!$F$2:$F$910, 'Next Gen'!$A22, INDEX(Scores!$I$2:$Q$910, 0, MATCH($B22, Scores!$I$1:$Q$1, 0)))</f>
        <v>7</v>
      </c>
      <c r="G22" s="1" t="str">
        <f>INDEX(Scores!$B$2:$B$910, MATCH('Next Gen'!$A21, Scores!$F$2:$F$910, 0))</f>
        <v>mid</v>
      </c>
      <c r="H22" s="1" t="str">
        <f>INDEX(Scores!$D$2:$D$910, MATCH('Next Gen'!$A22, Scores!$F$2:$F$910, 0))</f>
        <v>Original</v>
      </c>
      <c r="I22" s="4">
        <f>INDEX(Scores!$E$2:$E$910, MATCH('Next Gen'!$A21, Scores!$F$2:$F$910, 0))</f>
        <v>45776</v>
      </c>
      <c r="L22"/>
      <c r="M22"/>
      <c r="N22"/>
    </row>
    <row r="23" spans="1:16">
      <c r="A23" s="1">
        <v>79</v>
      </c>
      <c r="B23" s="1" t="s">
        <v>5</v>
      </c>
      <c r="C23" s="1">
        <v>9</v>
      </c>
      <c r="D23" s="1">
        <v>6</v>
      </c>
      <c r="E23" s="1">
        <v>1</v>
      </c>
      <c r="F23" s="1">
        <f>SUMIF(Scores!$F$2:$F$910, 'Next Gen'!$A23, INDEX(Scores!$I$2:$Q$910, 0, MATCH($B23, Scores!$I$1:$Q$1, 0)))</f>
        <v>1</v>
      </c>
      <c r="G23" s="1" t="str">
        <f>INDEX(Scores!$B$2:$B$910, MATCH('Next Gen'!$A22, Scores!$F$2:$F$910, 0))</f>
        <v>mid</v>
      </c>
      <c r="H23" s="1" t="str">
        <f>INDEX(Scores!$D$2:$D$910, MATCH('Next Gen'!$A23, Scores!$F$2:$F$910, 0))</f>
        <v>Original</v>
      </c>
      <c r="I23" s="4">
        <f>INDEX(Scores!$E$2:$E$910, MATCH('Next Gen'!$A22, Scores!$F$2:$F$910, 0))</f>
        <v>45776</v>
      </c>
      <c r="L23"/>
      <c r="M23"/>
      <c r="N23"/>
    </row>
    <row r="24" spans="1:16">
      <c r="A24" s="1">
        <v>79</v>
      </c>
      <c r="B24" s="1" t="s">
        <v>6</v>
      </c>
      <c r="C24" s="1">
        <v>9</v>
      </c>
      <c r="D24" s="1">
        <v>2</v>
      </c>
      <c r="E24" s="1">
        <v>1</v>
      </c>
      <c r="F24" s="1">
        <f>SUMIF(Scores!$F$2:$F$910, 'Next Gen'!$A24, INDEX(Scores!$I$2:$Q$910, 0, MATCH($B24, Scores!$I$1:$Q$1, 0)))</f>
        <v>1</v>
      </c>
      <c r="G24" s="1" t="str">
        <f>INDEX(Scores!$B$2:$B$910, MATCH('Next Gen'!$A23, Scores!$F$2:$F$910, 0))</f>
        <v>mid</v>
      </c>
      <c r="H24" s="1" t="str">
        <f>INDEX(Scores!$D$2:$D$910, MATCH('Next Gen'!$A24, Scores!$F$2:$F$910, 0))</f>
        <v>Original</v>
      </c>
      <c r="I24" s="4">
        <f>INDEX(Scores!$E$2:$E$910, MATCH('Next Gen'!$A23, Scores!$F$2:$F$910, 0))</f>
        <v>45776</v>
      </c>
      <c r="L24"/>
      <c r="M24"/>
    </row>
    <row r="25" spans="1:16">
      <c r="A25" s="1">
        <v>80</v>
      </c>
      <c r="B25" s="1" t="s">
        <v>4</v>
      </c>
      <c r="C25" s="1">
        <v>9</v>
      </c>
      <c r="D25" s="1">
        <v>8</v>
      </c>
      <c r="E25" s="1">
        <v>6</v>
      </c>
      <c r="F25" s="1">
        <f>SUMIF(Scores!$F$2:$F$910, 'Next Gen'!$A25, INDEX(Scores!$I$2:$Q$910, 0, MATCH($B25, Scores!$I$1:$Q$1, 0)))</f>
        <v>12</v>
      </c>
      <c r="G25" s="1" t="str">
        <f>INDEX(Scores!$B$2:$B$910, MATCH('Next Gen'!$A27, Scores!$F$2:$F$910, 0))</f>
        <v>mid</v>
      </c>
      <c r="H25" s="1" t="str">
        <f>INDEX(Scores!$D$2:$D$910, MATCH('Next Gen'!$A25, Scores!$F$2:$F$910, 0))</f>
        <v>Original</v>
      </c>
      <c r="I25" s="4">
        <f>INDEX(Scores!$E$2:$E$910, MATCH('Next Gen'!$A27, Scores!$F$2:$F$910, 0))</f>
        <v>45777</v>
      </c>
    </row>
    <row r="26" spans="1:16">
      <c r="A26" s="1">
        <v>80</v>
      </c>
      <c r="B26" s="1" t="s">
        <v>6</v>
      </c>
      <c r="C26" s="1">
        <v>9</v>
      </c>
      <c r="D26" s="1">
        <v>4</v>
      </c>
      <c r="E26" s="1">
        <v>3</v>
      </c>
      <c r="F26" s="1">
        <f>SUMIF(Scores!$F$2:$F$910, 'Next Gen'!$A26, INDEX(Scores!$I$2:$Q$910, 0, MATCH($B26, Scores!$I$1:$Q$1, 0)))</f>
        <v>4</v>
      </c>
      <c r="G26" s="1" t="str">
        <f>INDEX(Scores!$B$2:$B$910, MATCH('Next Gen'!$A26, Scores!$F$2:$F$910, 0))</f>
        <v>mid</v>
      </c>
      <c r="H26" s="1" t="str">
        <f>INDEX(Scores!$D$2:$D$910, MATCH('Next Gen'!$A26, Scores!$F$2:$F$910, 0))</f>
        <v>Original</v>
      </c>
      <c r="I26" s="4">
        <f>INDEX(Scores!$E$2:$E$910, MATCH('Next Gen'!$A26, Scores!$F$2:$F$910, 0))</f>
        <v>45777</v>
      </c>
      <c r="L26"/>
      <c r="M26"/>
      <c r="N26"/>
      <c r="O26"/>
      <c r="P26"/>
    </row>
    <row r="27" spans="1:16">
      <c r="A27" s="1">
        <v>80</v>
      </c>
      <c r="B27" s="1" t="s">
        <v>5</v>
      </c>
      <c r="C27" s="1">
        <v>9</v>
      </c>
      <c r="D27" s="1">
        <v>6</v>
      </c>
      <c r="E27" s="1">
        <v>2</v>
      </c>
      <c r="F27" s="1">
        <f>SUMIF(Scores!$F$2:$F$910, 'Next Gen'!$A27, INDEX(Scores!$I$2:$Q$910, 0, MATCH($B27, Scores!$I$1:$Q$1, 0)))</f>
        <v>3</v>
      </c>
      <c r="G27" s="1" t="str">
        <f>INDEX(Scores!$B$2:$B$910, MATCH('Next Gen'!$A25, Scores!$F$2:$F$910, 0))</f>
        <v>mid</v>
      </c>
      <c r="H27" s="1" t="str">
        <f>INDEX(Scores!$D$2:$D$910, MATCH('Next Gen'!$A27, Scores!$F$2:$F$910, 0))</f>
        <v>Original</v>
      </c>
      <c r="I27" s="4">
        <f>INDEX(Scores!$E$2:$E$910, MATCH('Next Gen'!$A25, Scores!$F$2:$F$910, 0))</f>
        <v>45777</v>
      </c>
      <c r="L27"/>
      <c r="M27"/>
      <c r="N27"/>
      <c r="O27"/>
      <c r="P27"/>
    </row>
    <row r="28" spans="1:16">
      <c r="A28" s="1">
        <v>81</v>
      </c>
      <c r="B28" s="1" t="s">
        <v>4</v>
      </c>
      <c r="C28" s="1">
        <v>9</v>
      </c>
      <c r="D28" s="1">
        <v>8</v>
      </c>
      <c r="E28" s="1">
        <v>4</v>
      </c>
      <c r="F28" s="1">
        <f>SUMIF(Scores!$F$2:$F$910, 'Next Gen'!$A28, INDEX(Scores!$I$2:$Q$910, 0, MATCH($B28, Scores!$I$1:$Q$1, 0)))</f>
        <v>6</v>
      </c>
      <c r="G28" s="1" t="str">
        <f>INDEX(Scores!$B$2:$B$910, MATCH('Next Gen'!$A28, Scores!$F$2:$F$910, 0))</f>
        <v>high</v>
      </c>
      <c r="H28" s="1" t="str">
        <f>INDEX(Scores!$D$2:$D$910, MATCH('Next Gen'!$A28, Scores!$F$2:$F$910, 0))</f>
        <v>Original</v>
      </c>
      <c r="I28" s="4">
        <f>INDEX(Scores!$E$2:$E$910, MATCH('Next Gen'!$A28, Scores!$F$2:$F$910, 0))</f>
        <v>45777</v>
      </c>
      <c r="L28"/>
      <c r="M28"/>
      <c r="N28"/>
      <c r="O28"/>
      <c r="P28"/>
    </row>
    <row r="29" spans="1:16">
      <c r="A29" s="1">
        <v>81</v>
      </c>
      <c r="B29" s="1" t="s">
        <v>5</v>
      </c>
      <c r="C29" s="1">
        <v>9</v>
      </c>
      <c r="D29" s="1">
        <v>4</v>
      </c>
      <c r="E29" s="1">
        <v>0</v>
      </c>
      <c r="F29" s="1">
        <f>SUMIF(Scores!$F$2:$F$910, 'Next Gen'!$A29, INDEX(Scores!$I$2:$Q$910, 0, MATCH($B29, Scores!$I$1:$Q$1, 0)))</f>
        <v>0</v>
      </c>
      <c r="G29" s="1" t="str">
        <f>INDEX(Scores!$B$2:$B$910, MATCH('Next Gen'!$A29, Scores!$F$2:$F$910, 0))</f>
        <v>high</v>
      </c>
      <c r="H29" s="1" t="str">
        <f>INDEX(Scores!$D$2:$D$910, MATCH('Next Gen'!$A29, Scores!$F$2:$F$910, 0))</f>
        <v>Original</v>
      </c>
      <c r="I29" s="4">
        <f>INDEX(Scores!$E$2:$E$910, MATCH('Next Gen'!$A29, Scores!$F$2:$F$910, 0))</f>
        <v>45777</v>
      </c>
      <c r="L29"/>
      <c r="M29"/>
      <c r="N29"/>
      <c r="O29"/>
      <c r="P29"/>
    </row>
    <row r="30" spans="1:16">
      <c r="A30" s="1">
        <v>82</v>
      </c>
      <c r="B30" s="1" t="s">
        <v>4</v>
      </c>
      <c r="C30" s="1">
        <v>9</v>
      </c>
      <c r="D30" s="1">
        <v>8</v>
      </c>
      <c r="E30" s="1">
        <v>6</v>
      </c>
      <c r="F30" s="1">
        <f>SUMIF(Scores!$F$2:$F$910, 'Next Gen'!$A30, INDEX(Scores!$I$2:$Q$910, 0, MATCH($B30, Scores!$I$1:$Q$1, 0)))</f>
        <v>12</v>
      </c>
      <c r="G30" s="1" t="str">
        <f>INDEX(Scores!$B$2:$B$910, MATCH('Next Gen'!$A30, Scores!$F$2:$F$910, 0))</f>
        <v>low</v>
      </c>
      <c r="H30" s="1" t="str">
        <f>INDEX(Scores!$D$2:$D$910, MATCH('Next Gen'!$A30, Scores!$F$2:$F$910, 0))</f>
        <v>Original</v>
      </c>
      <c r="I30" s="4">
        <f>INDEX(Scores!$E$2:$E$910, MATCH('Next Gen'!$A30, Scores!$F$2:$F$910, 0))</f>
        <v>45777</v>
      </c>
      <c r="L30"/>
      <c r="M30"/>
      <c r="N30"/>
      <c r="O30"/>
      <c r="P30"/>
    </row>
    <row r="31" spans="1:16">
      <c r="A31" s="1">
        <v>82</v>
      </c>
      <c r="B31" s="1" t="s">
        <v>7</v>
      </c>
      <c r="C31" s="1">
        <v>9</v>
      </c>
      <c r="D31" s="1">
        <v>3</v>
      </c>
      <c r="E31" s="1">
        <v>2</v>
      </c>
      <c r="F31" s="1">
        <f>SUMIF(Scores!$F$2:$F$910, 'Next Gen'!$A31, INDEX(Scores!$I$2:$Q$910, 0, MATCH($B31, Scores!$I$1:$Q$1, 0)))</f>
        <v>2</v>
      </c>
      <c r="G31" s="1" t="str">
        <f>INDEX(Scores!$B$2:$B$910, MATCH('Next Gen'!$A31, Scores!$F$2:$F$910, 0))</f>
        <v>low</v>
      </c>
      <c r="H31" s="1" t="str">
        <f>INDEX(Scores!$D$2:$D$910, MATCH('Next Gen'!$A31, Scores!$F$2:$F$910, 0))</f>
        <v>Original</v>
      </c>
      <c r="I31" s="4">
        <f>INDEX(Scores!$E$2:$E$910, MATCH('Next Gen'!$A31, Scores!$F$2:$F$910, 0))</f>
        <v>45777</v>
      </c>
      <c r="L31"/>
      <c r="M31"/>
      <c r="N31"/>
      <c r="O31"/>
      <c r="P31"/>
    </row>
    <row r="32" spans="1:16">
      <c r="A32" s="1">
        <v>82</v>
      </c>
      <c r="B32" s="1" t="s">
        <v>5</v>
      </c>
      <c r="C32" s="1">
        <v>9</v>
      </c>
      <c r="D32" s="1">
        <v>7</v>
      </c>
      <c r="E32" s="1">
        <v>2</v>
      </c>
      <c r="F32" s="1">
        <f>SUMIF(Scores!$F$2:$F$910, 'Next Gen'!$A32, INDEX(Scores!$I$2:$Q$910, 0, MATCH($B32, Scores!$I$1:$Q$1, 0)))</f>
        <v>5</v>
      </c>
      <c r="G32" s="1" t="str">
        <f>INDEX(Scores!$B$2:$B$910, MATCH('Next Gen'!$A32, Scores!$F$2:$F$910, 0))</f>
        <v>low</v>
      </c>
      <c r="H32" s="1" t="str">
        <f>INDEX(Scores!$D$2:$D$910, MATCH('Next Gen'!$A32, Scores!$F$2:$F$910, 0))</f>
        <v>Original</v>
      </c>
      <c r="I32" s="4">
        <f>INDEX(Scores!$E$2:$E$910, MATCH('Next Gen'!$A32, Scores!$F$2:$F$910, 0))</f>
        <v>45777</v>
      </c>
      <c r="L32"/>
      <c r="M32"/>
      <c r="N32"/>
      <c r="O32"/>
      <c r="P32"/>
    </row>
    <row r="33" spans="1:16">
      <c r="A33" s="1">
        <v>83</v>
      </c>
      <c r="B33" s="1" t="s">
        <v>4</v>
      </c>
      <c r="C33" s="1">
        <v>9</v>
      </c>
      <c r="D33" s="1">
        <v>9</v>
      </c>
      <c r="E33" s="1">
        <v>6</v>
      </c>
      <c r="F33" s="1">
        <f>SUMIF(Scores!$F$2:$F$910, 'Next Gen'!$A33, INDEX(Scores!$I$2:$Q$910, 0, MATCH($B33, Scores!$I$1:$Q$1, 0)))</f>
        <v>12</v>
      </c>
      <c r="G33" s="1" t="str">
        <f>INDEX(Scores!$B$2:$B$910, MATCH('Next Gen'!$A33, Scores!$F$2:$F$910, 0))</f>
        <v>mid</v>
      </c>
      <c r="H33" s="1" t="str">
        <f>INDEX(Scores!$D$2:$D$910, MATCH('Next Gen'!$A33, Scores!$F$2:$F$910, 0))</f>
        <v>Original</v>
      </c>
      <c r="I33" s="4">
        <f>INDEX(Scores!$E$2:$E$910, MATCH('Next Gen'!$A33, Scores!$F$2:$F$910, 0))</f>
        <v>45777</v>
      </c>
      <c r="L33"/>
      <c r="M33"/>
      <c r="N33"/>
      <c r="O33"/>
      <c r="P33"/>
    </row>
    <row r="34" spans="1:16">
      <c r="A34" s="1">
        <v>83</v>
      </c>
      <c r="B34" s="1" t="s">
        <v>5</v>
      </c>
      <c r="C34" s="1">
        <v>9</v>
      </c>
      <c r="D34" s="1">
        <v>5</v>
      </c>
      <c r="E34" s="1">
        <v>3</v>
      </c>
      <c r="F34" s="1">
        <f>SUMIF(Scores!$F$2:$F$910, 'Next Gen'!$A34, INDEX(Scores!$I$2:$Q$910, 0, MATCH($B34, Scores!$I$1:$Q$1, 0)))</f>
        <v>5</v>
      </c>
      <c r="G34" s="1" t="str">
        <f>INDEX(Scores!$B$2:$B$910, MATCH('Next Gen'!$A34, Scores!$F$2:$F$910, 0))</f>
        <v>mid</v>
      </c>
      <c r="H34" s="1" t="str">
        <f>INDEX(Scores!$D$2:$D$910, MATCH('Next Gen'!$A34, Scores!$F$2:$F$910, 0))</f>
        <v>Original</v>
      </c>
      <c r="I34" s="4">
        <f>INDEX(Scores!$E$2:$E$910, MATCH('Next Gen'!$A34, Scores!$F$2:$F$910, 0))</f>
        <v>45777</v>
      </c>
      <c r="L34"/>
      <c r="M34"/>
      <c r="N34"/>
      <c r="O34"/>
      <c r="P34"/>
    </row>
    <row r="35" spans="1:16">
      <c r="A35" s="1">
        <v>84</v>
      </c>
      <c r="B35" s="1" t="s">
        <v>4</v>
      </c>
      <c r="C35" s="1">
        <v>9</v>
      </c>
      <c r="D35" s="1">
        <v>9</v>
      </c>
      <c r="E35" s="1">
        <v>5</v>
      </c>
      <c r="F35" s="1">
        <f>SUMIF(Scores!$F$2:$F$910, 'Next Gen'!$A35, INDEX(Scores!$I$2:$Q$910, 0, MATCH($B35, Scores!$I$1:$Q$1, 0)))</f>
        <v>10</v>
      </c>
      <c r="G35" s="1" t="str">
        <f>INDEX(Scores!$B$2:$B$910, MATCH('Next Gen'!$A35, Scores!$F$2:$F$910, 0))</f>
        <v>mid</v>
      </c>
      <c r="H35" s="1" t="str">
        <f>INDEX(Scores!$D$2:$D$910, MATCH('Next Gen'!$A35, Scores!$F$2:$F$910, 0))</f>
        <v>Original</v>
      </c>
      <c r="I35" s="4">
        <f>INDEX(Scores!$E$2:$E$910, MATCH('Next Gen'!$A35, Scores!$F$2:$F$910, 0))</f>
        <v>45778</v>
      </c>
      <c r="L35"/>
      <c r="M35"/>
      <c r="N35"/>
      <c r="O35"/>
      <c r="P35"/>
    </row>
    <row r="36" spans="1:16">
      <c r="A36" s="1">
        <v>84</v>
      </c>
      <c r="B36" s="1" t="s">
        <v>5</v>
      </c>
      <c r="C36" s="1">
        <v>9</v>
      </c>
      <c r="D36" s="1">
        <v>4</v>
      </c>
      <c r="E36" s="1">
        <v>3</v>
      </c>
      <c r="F36" s="1">
        <f>SUMIF(Scores!$F$2:$F$910, 'Next Gen'!$A36, INDEX(Scores!$I$2:$Q$910, 0, MATCH($B36, Scores!$I$1:$Q$1, 0)))</f>
        <v>5</v>
      </c>
      <c r="G36" s="1" t="str">
        <f>INDEX(Scores!$B$2:$B$910, MATCH('Next Gen'!$A36, Scores!$F$2:$F$910, 0))</f>
        <v>mid</v>
      </c>
      <c r="H36" s="1" t="str">
        <f>INDEX(Scores!$D$2:$D$910, MATCH('Next Gen'!$A36, Scores!$F$2:$F$910, 0))</f>
        <v>Original</v>
      </c>
      <c r="I36" s="4">
        <f>INDEX(Scores!$E$2:$E$910, MATCH('Next Gen'!$A36, Scores!$F$2:$F$910, 0))</f>
        <v>45778</v>
      </c>
      <c r="L36"/>
      <c r="M36"/>
      <c r="N36"/>
      <c r="O36"/>
      <c r="P36"/>
    </row>
    <row r="37" spans="1:16">
      <c r="A37" s="1">
        <v>85</v>
      </c>
      <c r="B37" s="1" t="s">
        <v>4</v>
      </c>
      <c r="C37" s="1">
        <v>12</v>
      </c>
      <c r="D37" s="1">
        <v>10</v>
      </c>
      <c r="E37" s="1">
        <v>6</v>
      </c>
      <c r="F37" s="1">
        <f>SUMIF(Scores!$F$2:$F$910, 'Next Gen'!$A37, INDEX(Scores!$I$2:$Q$910, 0, MATCH($B37, Scores!$I$1:$Q$1, 0)))</f>
        <v>10</v>
      </c>
      <c r="G37" s="1" t="str">
        <f>INDEX(Scores!$B$2:$B$910, MATCH('Next Gen'!$A37, Scores!$F$2:$F$910, 0))</f>
        <v>high</v>
      </c>
      <c r="H37" s="1" t="str">
        <f>INDEX(Scores!$D$2:$D$910, MATCH('Next Gen'!$A37, Scores!$F$2:$F$910, 0))</f>
        <v>Original</v>
      </c>
      <c r="I37" s="4">
        <f>INDEX(Scores!$E$2:$E$910, MATCH('Next Gen'!$A37, Scores!$F$2:$F$910, 0))</f>
        <v>45778</v>
      </c>
      <c r="L37"/>
      <c r="M37"/>
      <c r="N37"/>
      <c r="O37"/>
      <c r="P37"/>
    </row>
    <row r="38" spans="1:16">
      <c r="A38" s="1">
        <v>85</v>
      </c>
      <c r="B38" s="1" t="s">
        <v>5</v>
      </c>
      <c r="C38" s="1">
        <v>12</v>
      </c>
      <c r="D38" s="1">
        <v>9</v>
      </c>
      <c r="E38" s="1">
        <v>3</v>
      </c>
      <c r="F38" s="1">
        <f>SUMIF(Scores!$F$2:$F$910, 'Next Gen'!$A38, INDEX(Scores!$I$2:$Q$910, 0, MATCH($B38, Scores!$I$1:$Q$1, 0)))</f>
        <v>6</v>
      </c>
      <c r="G38" s="1" t="str">
        <f>INDEX(Scores!$B$2:$B$910, MATCH('Next Gen'!$A38, Scores!$F$2:$F$910, 0))</f>
        <v>high</v>
      </c>
      <c r="H38" s="1" t="str">
        <f>INDEX(Scores!$D$2:$D$910, MATCH('Next Gen'!$A38, Scores!$F$2:$F$910, 0))</f>
        <v>Original</v>
      </c>
      <c r="I38" s="4">
        <f>INDEX(Scores!$E$2:$E$910, MATCH('Next Gen'!$A38, Scores!$F$2:$F$910, 0))</f>
        <v>45778</v>
      </c>
      <c r="L38"/>
      <c r="M38"/>
      <c r="N38"/>
      <c r="O38"/>
      <c r="P38"/>
    </row>
    <row r="39" spans="1:16">
      <c r="A39" s="1">
        <v>86</v>
      </c>
      <c r="B39" s="1" t="s">
        <v>4</v>
      </c>
      <c r="C39" s="1">
        <v>9</v>
      </c>
      <c r="D39" s="1">
        <v>6</v>
      </c>
      <c r="E39" s="1">
        <v>4</v>
      </c>
      <c r="F39" s="1">
        <f>SUMIF(Scores!$F$2:$F$910, 'Next Gen'!$A39, INDEX(Scores!$I$2:$Q$910, 0, MATCH($B39, Scores!$I$1:$Q$1, 0)))</f>
        <v>8</v>
      </c>
      <c r="G39" s="1" t="str">
        <f>INDEX(Scores!$B$2:$B$910, MATCH('Next Gen'!$A39, Scores!$F$2:$F$910, 0))</f>
        <v>low</v>
      </c>
      <c r="H39" s="1" t="str">
        <f>INDEX(Scores!$D$2:$D$910, MATCH('Next Gen'!$A39, Scores!$F$2:$F$910, 0))</f>
        <v>Original</v>
      </c>
      <c r="I39" s="4">
        <f>INDEX(Scores!$E$2:$E$910, MATCH('Next Gen'!$A39, Scores!$F$2:$F$910, 0))</f>
        <v>45778</v>
      </c>
      <c r="L39"/>
      <c r="M39"/>
      <c r="N39"/>
      <c r="O39"/>
      <c r="P39"/>
    </row>
    <row r="40" spans="1:16">
      <c r="A40" s="1">
        <v>86</v>
      </c>
      <c r="B40" s="1" t="s">
        <v>5</v>
      </c>
      <c r="C40" s="1">
        <v>9</v>
      </c>
      <c r="D40" s="1">
        <v>5</v>
      </c>
      <c r="E40" s="1">
        <v>2</v>
      </c>
      <c r="F40" s="1">
        <f>SUMIF(Scores!$F$2:$F$910, 'Next Gen'!$A40, INDEX(Scores!$I$2:$Q$910, 0, MATCH($B40, Scores!$I$1:$Q$1, 0)))</f>
        <v>4</v>
      </c>
      <c r="G40" s="1" t="str">
        <f>INDEX(Scores!$B$2:$B$910, MATCH('Next Gen'!$A40, Scores!$F$2:$F$910, 0))</f>
        <v>low</v>
      </c>
      <c r="H40" s="1" t="str">
        <f>INDEX(Scores!$D$2:$D$910, MATCH('Next Gen'!$A40, Scores!$F$2:$F$910, 0))</f>
        <v>Original</v>
      </c>
      <c r="I40" s="4">
        <f>INDEX(Scores!$E$2:$E$910, MATCH('Next Gen'!$A40, Scores!$F$2:$F$910, 0))</f>
        <v>45778</v>
      </c>
      <c r="L40"/>
      <c r="M40"/>
      <c r="N40"/>
      <c r="O40"/>
      <c r="P40"/>
    </row>
    <row r="41" spans="1:16">
      <c r="A41" s="1">
        <v>87</v>
      </c>
      <c r="B41" s="1" t="s">
        <v>4</v>
      </c>
      <c r="C41" s="1">
        <v>9</v>
      </c>
      <c r="D41" s="1">
        <v>7</v>
      </c>
      <c r="E41" s="1">
        <v>2</v>
      </c>
      <c r="F41" s="1">
        <f>SUMIF(Scores!$F$2:$F$910, 'Next Gen'!$A41, INDEX(Scores!$I$2:$Q$910, 0, MATCH($B41, Scores!$I$1:$Q$1, 0)))</f>
        <v>4</v>
      </c>
      <c r="G41" s="1" t="str">
        <f>INDEX(Scores!$B$2:$B$910, MATCH('Next Gen'!$A41, Scores!$F$2:$F$910, 0))</f>
        <v>low</v>
      </c>
      <c r="H41" s="1" t="str">
        <f>INDEX(Scores!$D$2:$D$910, MATCH('Next Gen'!$A41, Scores!$F$2:$F$910, 0))</f>
        <v>Original</v>
      </c>
      <c r="I41" s="4">
        <f>INDEX(Scores!$E$2:$E$910, MATCH('Next Gen'!$A41, Scores!$F$2:$F$910, 0))</f>
        <v>45778</v>
      </c>
      <c r="L41"/>
      <c r="M41"/>
      <c r="N41"/>
      <c r="O41"/>
      <c r="P41"/>
    </row>
    <row r="42" spans="1:16">
      <c r="A42" s="1">
        <v>87</v>
      </c>
      <c r="B42" s="1" t="s">
        <v>5</v>
      </c>
      <c r="C42" s="1">
        <v>9</v>
      </c>
      <c r="D42" s="1">
        <v>6</v>
      </c>
      <c r="E42" s="1">
        <v>1</v>
      </c>
      <c r="F42" s="1">
        <f>SUMIF(Scores!$F$2:$F$910, 'Next Gen'!$A42, INDEX(Scores!$I$2:$Q$910, 0, MATCH($B42, Scores!$I$1:$Q$1, 0)))</f>
        <v>3</v>
      </c>
      <c r="G42" s="1" t="str">
        <f>INDEX(Scores!$B$2:$B$910, MATCH('Next Gen'!$A42, Scores!$F$2:$F$910, 0))</f>
        <v>low</v>
      </c>
      <c r="H42" s="1" t="str">
        <f>INDEX(Scores!$D$2:$D$910, MATCH('Next Gen'!$A42, Scores!$F$2:$F$910, 0))</f>
        <v>Original</v>
      </c>
      <c r="I42" s="4">
        <f>INDEX(Scores!$E$2:$E$910, MATCH('Next Gen'!$A42, Scores!$F$2:$F$910, 0))</f>
        <v>45778</v>
      </c>
      <c r="L42"/>
      <c r="M42"/>
      <c r="N42"/>
      <c r="O42"/>
      <c r="P42"/>
    </row>
    <row r="43" spans="1:16">
      <c r="A43" s="1">
        <v>88</v>
      </c>
      <c r="B43" s="1" t="s">
        <v>5</v>
      </c>
      <c r="C43" s="1">
        <v>9</v>
      </c>
      <c r="D43" s="1">
        <v>7</v>
      </c>
      <c r="E43" s="1">
        <v>5</v>
      </c>
      <c r="F43" s="1">
        <f>SUMIF(Scores!$F$2:$F$910, 'Next Gen'!$A43, INDEX(Scores!$I$2:$Q$910, 0, MATCH($B43, Scores!$I$1:$Q$1, 0)))</f>
        <v>8</v>
      </c>
      <c r="G43" s="1" t="str">
        <f>INDEX(Scores!$B$2:$B$910, MATCH('Next Gen'!$A44, Scores!$F$2:$F$910, 0))</f>
        <v>mid</v>
      </c>
      <c r="H43" s="1" t="str">
        <f>INDEX(Scores!$D$2:$D$910, MATCH('Next Gen'!$A43, Scores!$F$2:$F$910, 0))</f>
        <v>Original</v>
      </c>
      <c r="I43" s="4">
        <f>INDEX(Scores!$E$2:$E$910, MATCH('Next Gen'!$A44, Scores!$F$2:$F$910, 0))</f>
        <v>45779</v>
      </c>
      <c r="L43"/>
      <c r="M43"/>
      <c r="N43"/>
      <c r="O43"/>
      <c r="P43"/>
    </row>
    <row r="44" spans="1:16">
      <c r="A44" s="1">
        <v>88</v>
      </c>
      <c r="B44" s="1" t="s">
        <v>4</v>
      </c>
      <c r="C44" s="1">
        <v>9</v>
      </c>
      <c r="D44" s="1">
        <v>9</v>
      </c>
      <c r="E44" s="1">
        <v>5</v>
      </c>
      <c r="F44" s="1">
        <f>SUMIF(Scores!$F$2:$F$910, 'Next Gen'!$A44, INDEX(Scores!$I$2:$Q$910, 0, MATCH($B44, Scores!$I$1:$Q$1, 0)))</f>
        <v>9</v>
      </c>
      <c r="G44" s="1" t="str">
        <f>INDEX(Scores!$B$2:$B$910, MATCH('Next Gen'!$A43, Scores!$F$2:$F$910, 0))</f>
        <v>mid</v>
      </c>
      <c r="H44" s="1" t="str">
        <f>INDEX(Scores!$D$2:$D$910, MATCH('Next Gen'!$A44, Scores!$F$2:$F$910, 0))</f>
        <v>Original</v>
      </c>
      <c r="I44" s="4">
        <f>INDEX(Scores!$E$2:$E$910, MATCH('Next Gen'!$A43, Scores!$F$2:$F$910, 0))</f>
        <v>45779</v>
      </c>
      <c r="L44"/>
      <c r="M44"/>
      <c r="N44"/>
      <c r="O44"/>
      <c r="P44"/>
    </row>
    <row r="45" spans="1:16">
      <c r="A45" s="1">
        <v>89</v>
      </c>
      <c r="B45" s="1" t="s">
        <v>5</v>
      </c>
      <c r="C45" s="1">
        <v>9</v>
      </c>
      <c r="D45" s="1">
        <v>6</v>
      </c>
      <c r="E45" s="1">
        <v>3</v>
      </c>
      <c r="F45" s="1">
        <f>SUMIF(Scores!$F$2:$F$910, 'Next Gen'!$A45, INDEX(Scores!$I$2:$Q$910, 0, MATCH($B45, Scores!$I$1:$Q$1, 0)))</f>
        <v>4</v>
      </c>
      <c r="G45" s="1" t="str">
        <f>INDEX(Scores!$B$2:$B$910, MATCH('Next Gen'!$A46, Scores!$F$2:$F$910, 0))</f>
        <v>high</v>
      </c>
      <c r="H45" s="1" t="str">
        <f>INDEX(Scores!$D$2:$D$910, MATCH('Next Gen'!$A45, Scores!$F$2:$F$910, 0))</f>
        <v>Original</v>
      </c>
      <c r="I45" s="4">
        <f>INDEX(Scores!$E$2:$E$910, MATCH('Next Gen'!$A46, Scores!$F$2:$F$910, 0))</f>
        <v>45779</v>
      </c>
      <c r="L45"/>
      <c r="M45"/>
      <c r="N45"/>
      <c r="O45"/>
      <c r="P45"/>
    </row>
    <row r="46" spans="1:16">
      <c r="A46" s="1">
        <v>89</v>
      </c>
      <c r="B46" s="1" t="s">
        <v>23</v>
      </c>
      <c r="C46" s="1">
        <v>9</v>
      </c>
      <c r="D46" s="1">
        <v>2</v>
      </c>
      <c r="E46" s="1">
        <v>2</v>
      </c>
      <c r="F46" s="1">
        <f>SUMIF(Scores!$F$2:$F$910, 'Next Gen'!$A46, INDEX(Scores!$I$2:$Q$910, 0, MATCH($B46, Scores!$I$1:$Q$1, 0)))</f>
        <v>2</v>
      </c>
      <c r="G46" s="1" t="str">
        <f>INDEX(Scores!$B$2:$B$910, MATCH('Next Gen'!$A47, Scores!$F$2:$F$910, 0))</f>
        <v>high</v>
      </c>
      <c r="H46" s="1" t="str">
        <f>INDEX(Scores!$D$2:$D$910, MATCH('Next Gen'!$A46, Scores!$F$2:$F$910, 0))</f>
        <v>Original</v>
      </c>
      <c r="I46" s="4">
        <f>INDEX(Scores!$E$2:$E$910, MATCH('Next Gen'!$A47, Scores!$F$2:$F$910, 0))</f>
        <v>45779</v>
      </c>
      <c r="L46"/>
      <c r="M46"/>
      <c r="N46"/>
      <c r="O46"/>
      <c r="P46"/>
    </row>
    <row r="47" spans="1:16">
      <c r="A47" s="1">
        <v>89</v>
      </c>
      <c r="B47" s="1" t="s">
        <v>4</v>
      </c>
      <c r="C47" s="1">
        <v>9</v>
      </c>
      <c r="D47" s="1">
        <v>8</v>
      </c>
      <c r="E47" s="1">
        <v>2</v>
      </c>
      <c r="F47" s="1">
        <f>SUMIF(Scores!$F$2:$F$910, 'Next Gen'!$A47, INDEX(Scores!$I$2:$Q$910, 0, MATCH($B47, Scores!$I$1:$Q$1, 0)))</f>
        <v>2</v>
      </c>
      <c r="G47" s="1" t="str">
        <f>INDEX(Scores!$B$2:$B$910, MATCH('Next Gen'!$A45, Scores!$F$2:$F$910, 0))</f>
        <v>high</v>
      </c>
      <c r="H47" s="1" t="str">
        <f>INDEX(Scores!$D$2:$D$910, MATCH('Next Gen'!$A47, Scores!$F$2:$F$910, 0))</f>
        <v>Original</v>
      </c>
      <c r="I47" s="4">
        <f>INDEX(Scores!$E$2:$E$910, MATCH('Next Gen'!$A45, Scores!$F$2:$F$910, 0))</f>
        <v>45779</v>
      </c>
      <c r="L47"/>
      <c r="M47"/>
      <c r="N47"/>
      <c r="O47"/>
      <c r="P47"/>
    </row>
    <row r="48" spans="1:16">
      <c r="A48" s="1">
        <v>90</v>
      </c>
      <c r="B48" s="1" t="s">
        <v>4</v>
      </c>
      <c r="C48" s="1">
        <v>9</v>
      </c>
      <c r="D48" s="1">
        <v>7</v>
      </c>
      <c r="E48" s="1">
        <v>2</v>
      </c>
      <c r="F48" s="1">
        <f>SUMIF(Scores!$F$2:$F$910, 'Next Gen'!$A48, INDEX(Scores!$I$2:$Q$910, 0, MATCH($B48, Scores!$I$1:$Q$1, 0)))</f>
        <v>2</v>
      </c>
      <c r="G48" s="1" t="str">
        <f>INDEX(Scores!$B$2:$B$910, MATCH('Next Gen'!$A48, Scores!$F$2:$F$910, 0))</f>
        <v>mid</v>
      </c>
      <c r="H48" s="1" t="str">
        <f>INDEX(Scores!$D$2:$D$910, MATCH('Next Gen'!$A48, Scores!$F$2:$F$910, 0))</f>
        <v>Original</v>
      </c>
      <c r="I48" s="4">
        <f>INDEX(Scores!$E$2:$E$910, MATCH('Next Gen'!$A48, Scores!$F$2:$F$910, 0))</f>
        <v>45782</v>
      </c>
      <c r="L48"/>
      <c r="M48"/>
      <c r="N48"/>
      <c r="O48"/>
      <c r="P48"/>
    </row>
    <row r="49" spans="1:16">
      <c r="A49" s="1">
        <v>90</v>
      </c>
      <c r="B49" s="1" t="s">
        <v>5</v>
      </c>
      <c r="C49" s="1">
        <v>9</v>
      </c>
      <c r="D49" s="1">
        <v>3</v>
      </c>
      <c r="E49" s="1">
        <v>1</v>
      </c>
      <c r="F49" s="1">
        <f>SUMIF(Scores!$F$2:$F$910, 'Next Gen'!$A49, INDEX(Scores!$I$2:$Q$910, 0, MATCH($B49, Scores!$I$1:$Q$1, 0)))</f>
        <v>1</v>
      </c>
      <c r="G49" s="1" t="str">
        <f>INDEX(Scores!$B$2:$B$910, MATCH('Next Gen'!$A49, Scores!$F$2:$F$910, 0))</f>
        <v>mid</v>
      </c>
      <c r="H49" s="1" t="str">
        <f>INDEX(Scores!$D$2:$D$910, MATCH('Next Gen'!$A49, Scores!$F$2:$F$910, 0))</f>
        <v>Original</v>
      </c>
      <c r="I49" s="4">
        <f>INDEX(Scores!$E$2:$E$910, MATCH('Next Gen'!$A49, Scores!$F$2:$F$910, 0))</f>
        <v>45782</v>
      </c>
      <c r="L49"/>
      <c r="M49"/>
      <c r="N49"/>
      <c r="O49"/>
      <c r="P49"/>
    </row>
    <row r="50" spans="1:16">
      <c r="A50" s="1">
        <v>91</v>
      </c>
      <c r="B50" s="1" t="s">
        <v>5</v>
      </c>
      <c r="C50" s="1">
        <v>9</v>
      </c>
      <c r="D50" s="1">
        <v>6</v>
      </c>
      <c r="E50" s="1">
        <v>6</v>
      </c>
      <c r="F50" s="1">
        <f>SUMIF(Scores!$F$2:$F$910, 'Next Gen'!$A50, INDEX(Scores!$I$2:$Q$910, 0, MATCH($B50, Scores!$I$1:$Q$1, 0)))</f>
        <v>11</v>
      </c>
      <c r="G50" s="1" t="str">
        <f>INDEX(Scores!$B$2:$B$910, MATCH('Next Gen'!$A51, Scores!$F$2:$F$910, 0))</f>
        <v>mid</v>
      </c>
      <c r="H50" s="1" t="str">
        <f>INDEX(Scores!$D$2:$D$910, MATCH('Next Gen'!$A50, Scores!$F$2:$F$910, 0))</f>
        <v>Original</v>
      </c>
      <c r="I50" s="4">
        <f>INDEX(Scores!$E$2:$E$910, MATCH('Next Gen'!$A51, Scores!$F$2:$F$910, 0))</f>
        <v>45782</v>
      </c>
      <c r="L50"/>
      <c r="M50"/>
      <c r="N50"/>
      <c r="O50"/>
      <c r="P50"/>
    </row>
    <row r="51" spans="1:16">
      <c r="A51" s="1">
        <v>91</v>
      </c>
      <c r="B51" s="1" t="s">
        <v>4</v>
      </c>
      <c r="C51" s="1">
        <v>9</v>
      </c>
      <c r="D51" s="1">
        <v>6</v>
      </c>
      <c r="E51" s="1">
        <v>3</v>
      </c>
      <c r="F51" s="1">
        <f>SUMIF(Scores!$F$2:$F$910, 'Next Gen'!$A51, INDEX(Scores!$I$2:$Q$910, 0, MATCH($B51, Scores!$I$1:$Q$1, 0)))</f>
        <v>7</v>
      </c>
      <c r="G51" s="1" t="str">
        <f>INDEX(Scores!$B$2:$B$910, MATCH('Next Gen'!$A50, Scores!$F$2:$F$910, 0))</f>
        <v>mid</v>
      </c>
      <c r="H51" s="1" t="str">
        <f>INDEX(Scores!$D$2:$D$910, MATCH('Next Gen'!$A51, Scores!$F$2:$F$910, 0))</f>
        <v>Original</v>
      </c>
      <c r="I51" s="4">
        <f>INDEX(Scores!$E$2:$E$910, MATCH('Next Gen'!$A50, Scores!$F$2:$F$910, 0))</f>
        <v>45782</v>
      </c>
      <c r="L51"/>
      <c r="M51"/>
      <c r="N51"/>
      <c r="O51"/>
      <c r="P51"/>
    </row>
    <row r="52" spans="1:16">
      <c r="A52" s="1">
        <v>92</v>
      </c>
      <c r="B52" s="1" t="s">
        <v>4</v>
      </c>
      <c r="C52" s="1">
        <v>9</v>
      </c>
      <c r="D52" s="1">
        <v>7</v>
      </c>
      <c r="E52" s="1">
        <v>4</v>
      </c>
      <c r="F52" s="1">
        <f>SUMIF(Scores!$F$2:$F$910, 'Next Gen'!$A52, INDEX(Scores!$I$2:$Q$910, 0, MATCH($B52, Scores!$I$1:$Q$1, 0)))</f>
        <v>7</v>
      </c>
      <c r="G52" s="1" t="str">
        <f>INDEX(Scores!$B$2:$B$910, MATCH('Next Gen'!$A52, Scores!$F$2:$F$910, 0))</f>
        <v>mid</v>
      </c>
      <c r="H52" s="1" t="str">
        <f>INDEX(Scores!$D$2:$D$910, MATCH('Next Gen'!$A52, Scores!$F$2:$F$910, 0))</f>
        <v>Original</v>
      </c>
      <c r="I52" s="4">
        <f>INDEX(Scores!$E$2:$E$910, MATCH('Next Gen'!$A52, Scores!$F$2:$F$910, 0))</f>
        <v>45783</v>
      </c>
      <c r="L52"/>
      <c r="M52"/>
      <c r="N52"/>
      <c r="O52"/>
      <c r="P52"/>
    </row>
    <row r="53" spans="1:16">
      <c r="A53" s="1">
        <v>92</v>
      </c>
      <c r="B53" s="1" t="s">
        <v>5</v>
      </c>
      <c r="C53" s="1">
        <v>9</v>
      </c>
      <c r="D53" s="1">
        <v>3</v>
      </c>
      <c r="E53" s="1">
        <v>1</v>
      </c>
      <c r="F53" s="1">
        <f>SUMIF(Scores!$F$2:$F$910, 'Next Gen'!$A53, INDEX(Scores!$I$2:$Q$910, 0, MATCH($B53, Scores!$I$1:$Q$1, 0)))</f>
        <v>3</v>
      </c>
      <c r="G53" s="1" t="str">
        <f>INDEX(Scores!$B$2:$B$910, MATCH('Next Gen'!$A53, Scores!$F$2:$F$910, 0))</f>
        <v>mid</v>
      </c>
      <c r="H53" s="1" t="str">
        <f>INDEX(Scores!$D$2:$D$910, MATCH('Next Gen'!$A53, Scores!$F$2:$F$910, 0))</f>
        <v>Original</v>
      </c>
      <c r="I53" s="4">
        <f>INDEX(Scores!$E$2:$E$910, MATCH('Next Gen'!$A53, Scores!$F$2:$F$910, 0))</f>
        <v>45783</v>
      </c>
      <c r="L53"/>
      <c r="M53"/>
      <c r="N53"/>
      <c r="O53"/>
      <c r="P53"/>
    </row>
    <row r="54" spans="1:16">
      <c r="A54" s="1">
        <v>93</v>
      </c>
      <c r="B54" s="1" t="s">
        <v>4</v>
      </c>
      <c r="C54" s="1">
        <v>9</v>
      </c>
      <c r="D54" s="1">
        <v>8</v>
      </c>
      <c r="E54" s="1">
        <v>7</v>
      </c>
      <c r="F54" s="1">
        <f>SUMIF(Scores!$F$2:$F$910, 'Next Gen'!$A54, INDEX(Scores!$I$2:$Q$910, 0, MATCH($B54, Scores!$I$1:$Q$1, 0)))</f>
        <v>14</v>
      </c>
      <c r="G54" s="1" t="str">
        <f>INDEX(Scores!$B$2:$B$910, MATCH('Next Gen'!$A54, Scores!$F$2:$F$910, 0))</f>
        <v>mid</v>
      </c>
      <c r="H54" s="1" t="str">
        <f>INDEX(Scores!$D$2:$D$910, MATCH('Next Gen'!$A54, Scores!$F$2:$F$910, 0))</f>
        <v>Original</v>
      </c>
      <c r="I54" s="4">
        <f>INDEX(Scores!$E$2:$E$910, MATCH('Next Gen'!$A54, Scores!$F$2:$F$910, 0))</f>
        <v>45784</v>
      </c>
      <c r="L54"/>
      <c r="M54"/>
      <c r="N54"/>
      <c r="O54"/>
      <c r="P54"/>
    </row>
    <row r="55" spans="1:16">
      <c r="A55" s="1">
        <v>93</v>
      </c>
      <c r="B55" s="1" t="s">
        <v>5</v>
      </c>
      <c r="C55" s="1">
        <v>9</v>
      </c>
      <c r="D55" s="1">
        <v>2</v>
      </c>
      <c r="E55" s="1">
        <v>1</v>
      </c>
      <c r="F55" s="1">
        <f>SUMIF(Scores!$F$2:$F$910, 'Next Gen'!$A55, INDEX(Scores!$I$2:$Q$910, 0, MATCH($B55, Scores!$I$1:$Q$1, 0)))</f>
        <v>1</v>
      </c>
      <c r="G55" s="1" t="str">
        <f>INDEX(Scores!$B$2:$B$910, MATCH('Next Gen'!$A55, Scores!$F$2:$F$910, 0))</f>
        <v>mid</v>
      </c>
      <c r="H55" s="1" t="str">
        <f>INDEX(Scores!$D$2:$D$910, MATCH('Next Gen'!$A55, Scores!$F$2:$F$910, 0))</f>
        <v>Original</v>
      </c>
      <c r="I55" s="4">
        <f>INDEX(Scores!$E$2:$E$910, MATCH('Next Gen'!$A55, Scores!$F$2:$F$910, 0))</f>
        <v>45784</v>
      </c>
      <c r="L55"/>
      <c r="M55"/>
      <c r="N55"/>
      <c r="O55"/>
      <c r="P55"/>
    </row>
    <row r="56" spans="1:16">
      <c r="A56" s="1">
        <v>94</v>
      </c>
      <c r="B56" s="1" t="s">
        <v>5</v>
      </c>
      <c r="C56" s="1">
        <v>9</v>
      </c>
      <c r="D56" s="1">
        <v>6</v>
      </c>
      <c r="E56" s="1">
        <v>5</v>
      </c>
      <c r="F56" s="1">
        <f>SUMIF(Scores!$F$2:$F$910, 'Next Gen'!$A56, INDEX(Scores!$I$2:$Q$910, 0, MATCH($B56, Scores!$I$1:$Q$1, 0)))</f>
        <v>8</v>
      </c>
      <c r="G56" s="1" t="str">
        <f>INDEX(Scores!$B$2:$B$910, MATCH('Next Gen'!$A57, Scores!$F$2:$F$910, 0))</f>
        <v>high</v>
      </c>
      <c r="H56" s="1" t="str">
        <f>INDEX(Scores!$D$2:$D$910, MATCH('Next Gen'!$A56, Scores!$F$2:$F$910, 0))</f>
        <v>Original</v>
      </c>
      <c r="I56" s="4">
        <f>INDEX(Scores!$E$2:$E$910, MATCH('Next Gen'!$A57, Scores!$F$2:$F$910, 0))</f>
        <v>45784</v>
      </c>
      <c r="L56"/>
      <c r="M56"/>
      <c r="N56"/>
      <c r="O56"/>
      <c r="P56"/>
    </row>
    <row r="57" spans="1:16">
      <c r="A57" s="1">
        <v>94</v>
      </c>
      <c r="B57" s="1" t="s">
        <v>4</v>
      </c>
      <c r="C57" s="1">
        <v>9</v>
      </c>
      <c r="D57" s="1">
        <v>8</v>
      </c>
      <c r="E57" s="1">
        <v>4</v>
      </c>
      <c r="F57" s="1">
        <f>SUMIF(Scores!$F$2:$F$910, 'Next Gen'!$A57, INDEX(Scores!$I$2:$Q$910, 0, MATCH($B57, Scores!$I$1:$Q$1, 0)))</f>
        <v>7</v>
      </c>
      <c r="G57" s="1" t="str">
        <f>INDEX(Scores!$B$2:$B$910, MATCH('Next Gen'!$A56, Scores!$F$2:$F$910, 0))</f>
        <v>high</v>
      </c>
      <c r="H57" s="1" t="str">
        <f>INDEX(Scores!$D$2:$D$910, MATCH('Next Gen'!$A57, Scores!$F$2:$F$910, 0))</f>
        <v>Original</v>
      </c>
      <c r="I57" s="4">
        <f>INDEX(Scores!$E$2:$E$910, MATCH('Next Gen'!$A56, Scores!$F$2:$F$910, 0))</f>
        <v>45784</v>
      </c>
      <c r="L57"/>
      <c r="M57"/>
      <c r="N57"/>
      <c r="O57"/>
      <c r="P57"/>
    </row>
    <row r="58" spans="1:16">
      <c r="A58" s="1">
        <v>95</v>
      </c>
      <c r="B58" s="1" t="s">
        <v>5</v>
      </c>
      <c r="C58" s="1">
        <v>9</v>
      </c>
      <c r="D58" s="1">
        <v>7</v>
      </c>
      <c r="E58" s="1">
        <v>1</v>
      </c>
      <c r="F58" s="1">
        <f>SUMIF(Scores!$F$2:$F$910, 'Next Gen'!$A58, INDEX(Scores!$I$2:$Q$910, 0, MATCH($B58, Scores!$I$1:$Q$1, 0)))</f>
        <v>1</v>
      </c>
      <c r="G58" s="1" t="str">
        <f>INDEX(Scores!$B$2:$B$910, MATCH('Next Gen'!$A59, Scores!$F$2:$F$910, 0))</f>
        <v>low</v>
      </c>
      <c r="H58" s="1" t="str">
        <f>INDEX(Scores!$D$2:$D$910, MATCH('Next Gen'!$A58, Scores!$F$2:$F$910, 0))</f>
        <v>Original</v>
      </c>
      <c r="I58" s="4">
        <f>INDEX(Scores!$E$2:$E$910, MATCH('Next Gen'!$A59, Scores!$F$2:$F$910, 0))</f>
        <v>45784</v>
      </c>
      <c r="L58"/>
      <c r="M58"/>
      <c r="N58"/>
      <c r="O58"/>
      <c r="P58"/>
    </row>
    <row r="59" spans="1:16">
      <c r="A59" s="1">
        <v>95</v>
      </c>
      <c r="B59" s="1" t="s">
        <v>4</v>
      </c>
      <c r="C59" s="1">
        <v>9</v>
      </c>
      <c r="D59" s="1">
        <v>8</v>
      </c>
      <c r="E59" s="1">
        <v>1</v>
      </c>
      <c r="F59" s="1">
        <f>SUMIF(Scores!$F$2:$F$910, 'Next Gen'!$A59, INDEX(Scores!$I$2:$Q$910, 0, MATCH($B59, Scores!$I$1:$Q$1, 0)))</f>
        <v>2</v>
      </c>
      <c r="G59" s="1" t="str">
        <f>INDEX(Scores!$B$2:$B$910, MATCH('Next Gen'!$A58, Scores!$F$2:$F$910, 0))</f>
        <v>low</v>
      </c>
      <c r="H59" s="1" t="str">
        <f>INDEX(Scores!$D$2:$D$910, MATCH('Next Gen'!$A59, Scores!$F$2:$F$910, 0))</f>
        <v>Original</v>
      </c>
      <c r="I59" s="4">
        <f>INDEX(Scores!$E$2:$E$910, MATCH('Next Gen'!$A58, Scores!$F$2:$F$910, 0))</f>
        <v>45784</v>
      </c>
      <c r="L59"/>
      <c r="M59"/>
      <c r="N59"/>
      <c r="O59"/>
      <c r="P59"/>
    </row>
    <row r="60" spans="1:16">
      <c r="A60" s="1">
        <v>96</v>
      </c>
      <c r="B60" s="1" t="s">
        <v>4</v>
      </c>
      <c r="C60" s="1">
        <v>9</v>
      </c>
      <c r="D60" s="1">
        <v>9</v>
      </c>
      <c r="E60" s="1">
        <v>3</v>
      </c>
      <c r="F60" s="1">
        <f>SUMIF(Scores!$F$2:$F$910, 'Next Gen'!$A60, INDEX(Scores!$I$2:$Q$910, 0, MATCH($B60, Scores!$I$1:$Q$1, 0)))</f>
        <v>5</v>
      </c>
      <c r="G60" s="1" t="str">
        <f>INDEX(Scores!$B$2:$B$910, MATCH('Next Gen'!$A60, Scores!$F$2:$F$910, 0))</f>
        <v>mid</v>
      </c>
      <c r="H60" s="1" t="str">
        <f>INDEX(Scores!$D$2:$D$910, MATCH('Next Gen'!$A60, Scores!$F$2:$F$910, 0))</f>
        <v>Original</v>
      </c>
      <c r="I60" s="4">
        <f>INDEX(Scores!$E$2:$E$910, MATCH('Next Gen'!$A60, Scores!$F$2:$F$910, 0))</f>
        <v>45790</v>
      </c>
      <c r="L60"/>
      <c r="M60"/>
      <c r="N60"/>
      <c r="O60"/>
      <c r="P60"/>
    </row>
    <row r="61" spans="1:16">
      <c r="A61" s="1">
        <v>96</v>
      </c>
      <c r="B61" s="1" t="s">
        <v>5</v>
      </c>
      <c r="C61" s="1">
        <v>9</v>
      </c>
      <c r="D61" s="1">
        <v>6</v>
      </c>
      <c r="E61" s="1">
        <v>2</v>
      </c>
      <c r="F61" s="1">
        <f>SUMIF(Scores!$F$2:$F$910, 'Next Gen'!$A61, INDEX(Scores!$I$2:$Q$910, 0, MATCH($B61, Scores!$I$1:$Q$1, 0)))</f>
        <v>3</v>
      </c>
      <c r="G61" s="1" t="str">
        <f>INDEX(Scores!$B$2:$B$910, MATCH('Next Gen'!$A61, Scores!$F$2:$F$910, 0))</f>
        <v>mid</v>
      </c>
      <c r="H61" s="1" t="str">
        <f>INDEX(Scores!$D$2:$D$910, MATCH('Next Gen'!$A61, Scores!$F$2:$F$910, 0))</f>
        <v>Original</v>
      </c>
      <c r="I61" s="4">
        <f>INDEX(Scores!$E$2:$E$910, MATCH('Next Gen'!$A61, Scores!$F$2:$F$910, 0))</f>
        <v>45790</v>
      </c>
      <c r="L61"/>
      <c r="M61"/>
      <c r="N61"/>
      <c r="O61"/>
      <c r="P61"/>
    </row>
    <row r="62" spans="1:16">
      <c r="A62" s="1">
        <v>98</v>
      </c>
      <c r="B62" s="1" t="s">
        <v>4</v>
      </c>
      <c r="C62" s="1">
        <v>9</v>
      </c>
      <c r="D62" s="1">
        <v>9</v>
      </c>
      <c r="E62" s="1">
        <v>4</v>
      </c>
      <c r="F62" s="1">
        <f>SUMIF(Scores!$F$2:$F$910, 'Next Gen'!$A62, INDEX(Scores!$I$2:$Q$910, 0, MATCH($B62, Scores!$I$1:$Q$1, 0)))</f>
        <v>11</v>
      </c>
      <c r="G62" s="1" t="str">
        <f>INDEX(Scores!$B$2:$B$910, MATCH('Next Gen'!$A62, Scores!$F$2:$F$910, 0))</f>
        <v>mid</v>
      </c>
      <c r="H62" s="1" t="str">
        <f>INDEX(Scores!$D$2:$D$910, MATCH('Next Gen'!$A62, Scores!$F$2:$F$910, 0))</f>
        <v>Original</v>
      </c>
      <c r="I62" s="4">
        <f>INDEX(Scores!$E$2:$E$910, MATCH('Next Gen'!$A62, Scores!$F$2:$F$910, 0))</f>
        <v>45791</v>
      </c>
      <c r="L62"/>
      <c r="M62"/>
      <c r="N62"/>
      <c r="O62"/>
      <c r="P62"/>
    </row>
    <row r="63" spans="1:16">
      <c r="A63" s="1">
        <v>98</v>
      </c>
      <c r="B63" s="1" t="s">
        <v>5</v>
      </c>
      <c r="C63" s="1">
        <v>9</v>
      </c>
      <c r="D63" s="1">
        <v>9</v>
      </c>
      <c r="E63" s="1">
        <v>2</v>
      </c>
      <c r="F63" s="1">
        <f>SUMIF(Scores!$F$2:$F$910, 'Next Gen'!$A63, INDEX(Scores!$I$2:$Q$910, 0, MATCH($B63, Scores!$I$1:$Q$1, 0)))</f>
        <v>2</v>
      </c>
      <c r="G63" s="1" t="str">
        <f>INDEX(Scores!$B$2:$B$910, MATCH('Next Gen'!$A63, Scores!$F$2:$F$910, 0))</f>
        <v>mid</v>
      </c>
      <c r="H63" s="1" t="str">
        <f>INDEX(Scores!$D$2:$D$910, MATCH('Next Gen'!$A63, Scores!$F$2:$F$910, 0))</f>
        <v>Original</v>
      </c>
      <c r="I63" s="4">
        <f>INDEX(Scores!$E$2:$E$910, MATCH('Next Gen'!$A63, Scores!$F$2:$F$910, 0))</f>
        <v>45791</v>
      </c>
      <c r="L63"/>
      <c r="M63"/>
      <c r="N63"/>
      <c r="O63"/>
      <c r="P63"/>
    </row>
    <row r="64" spans="1:16">
      <c r="A64" s="1">
        <v>98</v>
      </c>
      <c r="B64" s="1" t="s">
        <v>6</v>
      </c>
      <c r="C64" s="1">
        <v>9</v>
      </c>
      <c r="D64" s="1">
        <v>4</v>
      </c>
      <c r="E64" s="1">
        <v>1</v>
      </c>
      <c r="F64" s="1">
        <f>SUMIF(Scores!$F$2:$F$910, 'Next Gen'!$A64, INDEX(Scores!$I$2:$Q$910, 0, MATCH($B64, Scores!$I$1:$Q$1, 0)))</f>
        <v>3</v>
      </c>
      <c r="G64" s="1" t="str">
        <f>INDEX(Scores!$B$2:$B$910, MATCH('Next Gen'!$A64, Scores!$F$2:$F$910, 0))</f>
        <v>mid</v>
      </c>
      <c r="H64" s="1" t="str">
        <f>INDEX(Scores!$D$2:$D$910, MATCH('Next Gen'!$A64, Scores!$F$2:$F$910, 0))</f>
        <v>Original</v>
      </c>
      <c r="I64" s="4">
        <f>INDEX(Scores!$E$2:$E$910, MATCH('Next Gen'!$A64, Scores!$F$2:$F$910, 0))</f>
        <v>45791</v>
      </c>
      <c r="L64"/>
      <c r="M64"/>
      <c r="N64"/>
      <c r="O64"/>
      <c r="P64"/>
    </row>
    <row r="65" spans="1:16">
      <c r="A65" s="1">
        <v>99</v>
      </c>
      <c r="B65" s="1" t="s">
        <v>5</v>
      </c>
      <c r="C65" s="1">
        <v>9</v>
      </c>
      <c r="D65" s="1">
        <v>9</v>
      </c>
      <c r="E65" s="1">
        <v>4</v>
      </c>
      <c r="F65" s="1">
        <f>SUMIF(Scores!$F$2:$F$910, 'Next Gen'!$A65, INDEX(Scores!$I$2:$Q$910, 0, MATCH($B65, Scores!$I$1:$Q$1, 0)))</f>
        <v>7</v>
      </c>
      <c r="G65" s="1" t="str">
        <f>INDEX(Scores!$B$2:$B$910, MATCH('Next Gen'!$A66, Scores!$F$2:$F$910, 0))</f>
        <v>mid</v>
      </c>
      <c r="H65" s="1" t="str">
        <f>INDEX(Scores!$D$2:$D$910, MATCH('Next Gen'!$A65, Scores!$F$2:$F$910, 0))</f>
        <v>Original</v>
      </c>
      <c r="I65" s="4">
        <f>INDEX(Scores!$E$2:$E$910, MATCH('Next Gen'!$A66, Scores!$F$2:$F$910, 0))</f>
        <v>45791</v>
      </c>
      <c r="L65"/>
      <c r="M65"/>
      <c r="N65"/>
      <c r="O65"/>
      <c r="P65"/>
    </row>
    <row r="66" spans="1:16">
      <c r="A66" s="1">
        <v>99</v>
      </c>
      <c r="B66" s="1" t="s">
        <v>6</v>
      </c>
      <c r="C66" s="1">
        <v>9</v>
      </c>
      <c r="D66" s="1">
        <v>4</v>
      </c>
      <c r="E66" s="1">
        <v>4</v>
      </c>
      <c r="F66" s="1">
        <f>SUMIF(Scores!$F$2:$F$910, 'Next Gen'!$A66, INDEX(Scores!$I$2:$Q$910, 0, MATCH($B66, Scores!$I$1:$Q$1, 0)))</f>
        <v>9</v>
      </c>
      <c r="G66" s="1" t="str">
        <f>INDEX(Scores!$B$2:$B$910, MATCH('Next Gen'!$A67, Scores!$F$2:$F$910, 0))</f>
        <v>mid</v>
      </c>
      <c r="H66" s="1" t="str">
        <f>INDEX(Scores!$D$2:$D$910, MATCH('Next Gen'!$A66, Scores!$F$2:$F$910, 0))</f>
        <v>Original</v>
      </c>
      <c r="I66" s="4">
        <f>INDEX(Scores!$E$2:$E$910, MATCH('Next Gen'!$A67, Scores!$F$2:$F$910, 0))</f>
        <v>45791</v>
      </c>
      <c r="L66"/>
      <c r="M66"/>
      <c r="N66"/>
      <c r="O66"/>
      <c r="P66"/>
    </row>
    <row r="67" spans="1:16">
      <c r="A67" s="1">
        <v>99</v>
      </c>
      <c r="B67" s="1" t="s">
        <v>7</v>
      </c>
      <c r="C67" s="1">
        <v>9</v>
      </c>
      <c r="D67" s="1">
        <v>2</v>
      </c>
      <c r="E67" s="1">
        <v>2</v>
      </c>
      <c r="F67" s="1">
        <f>SUMIF(Scores!$F$2:$F$910, 'Next Gen'!$A67, INDEX(Scores!$I$2:$Q$910, 0, MATCH($B67, Scores!$I$1:$Q$1, 0)))</f>
        <v>5</v>
      </c>
      <c r="G67" s="1" t="str">
        <f>INDEX(Scores!$B$2:$B$910, MATCH('Next Gen'!$A68, Scores!$F$2:$F$910, 0))</f>
        <v>mid</v>
      </c>
      <c r="H67" s="1" t="str">
        <f>INDEX(Scores!$D$2:$D$910, MATCH('Next Gen'!$A67, Scores!$F$2:$F$910, 0))</f>
        <v>Original</v>
      </c>
      <c r="I67" s="4">
        <f>INDEX(Scores!$E$2:$E$910, MATCH('Next Gen'!$A68, Scores!$F$2:$F$910, 0))</f>
        <v>45791</v>
      </c>
      <c r="L67"/>
      <c r="M67"/>
      <c r="N67"/>
      <c r="O67"/>
      <c r="P67"/>
    </row>
    <row r="68" spans="1:16">
      <c r="A68" s="1">
        <v>99</v>
      </c>
      <c r="B68" s="1" t="s">
        <v>4</v>
      </c>
      <c r="C68" s="1">
        <v>9</v>
      </c>
      <c r="D68" s="1">
        <v>9</v>
      </c>
      <c r="E68" s="1">
        <v>1</v>
      </c>
      <c r="F68" s="1">
        <f>SUMIF(Scores!$F$2:$F$910, 'Next Gen'!$A68, INDEX(Scores!$I$2:$Q$910, 0, MATCH($B68, Scores!$I$1:$Q$1, 0)))</f>
        <v>3</v>
      </c>
      <c r="G68" s="1" t="str">
        <f>INDEX(Scores!$B$2:$B$910, MATCH('Next Gen'!$A65, Scores!$F$2:$F$910, 0))</f>
        <v>mid</v>
      </c>
      <c r="H68" s="1" t="str">
        <f>INDEX(Scores!$D$2:$D$910, MATCH('Next Gen'!$A68, Scores!$F$2:$F$910, 0))</f>
        <v>Original</v>
      </c>
      <c r="I68" s="4">
        <f>INDEX(Scores!$E$2:$E$910, MATCH('Next Gen'!$A65, Scores!$F$2:$F$910, 0))</f>
        <v>45791</v>
      </c>
      <c r="L68"/>
      <c r="M68"/>
      <c r="N68"/>
      <c r="O68"/>
      <c r="P68"/>
    </row>
    <row r="69" spans="1:16">
      <c r="A69" s="1">
        <v>100</v>
      </c>
      <c r="B69" s="1" t="s">
        <v>5</v>
      </c>
      <c r="C69" s="1">
        <v>9</v>
      </c>
      <c r="D69" s="1">
        <v>8</v>
      </c>
      <c r="E69" s="1">
        <v>4</v>
      </c>
      <c r="F69" s="1">
        <f>SUMIF(Scores!$F$2:$F$910, 'Next Gen'!$A69, INDEX(Scores!$I$2:$Q$910, 0, MATCH($B69, Scores!$I$1:$Q$1, 0)))</f>
        <v>7</v>
      </c>
      <c r="G69" s="1" t="str">
        <f>INDEX(Scores!$B$2:$B$910, MATCH('Next Gen'!$A70, Scores!$F$2:$F$910, 0))</f>
        <v>high</v>
      </c>
      <c r="H69" s="1" t="str">
        <f>INDEX(Scores!$D$2:$D$910, MATCH('Next Gen'!$A69, Scores!$F$2:$F$910, 0))</f>
        <v>Original</v>
      </c>
      <c r="I69" s="4">
        <f>INDEX(Scores!$E$2:$E$910, MATCH('Next Gen'!$A70, Scores!$F$2:$F$910, 0))</f>
        <v>45791</v>
      </c>
      <c r="L69"/>
      <c r="M69"/>
      <c r="N69"/>
      <c r="O69"/>
      <c r="P69"/>
    </row>
    <row r="70" spans="1:16">
      <c r="A70" s="1">
        <v>100</v>
      </c>
      <c r="B70" s="1" t="s">
        <v>4</v>
      </c>
      <c r="C70" s="1">
        <v>9</v>
      </c>
      <c r="D70" s="1">
        <v>9</v>
      </c>
      <c r="E70" s="1">
        <v>4</v>
      </c>
      <c r="F70" s="1">
        <f>SUMIF(Scores!$F$2:$F$910, 'Next Gen'!$A70, INDEX(Scores!$I$2:$Q$910, 0, MATCH($B70, Scores!$I$1:$Q$1, 0)))</f>
        <v>9</v>
      </c>
      <c r="G70" s="1" t="str">
        <f>INDEX(Scores!$B$2:$B$910, MATCH('Next Gen'!$A69, Scores!$F$2:$F$910, 0))</f>
        <v>high</v>
      </c>
      <c r="H70" s="1" t="str">
        <f>INDEX(Scores!$D$2:$D$910, MATCH('Next Gen'!$A70, Scores!$F$2:$F$910, 0))</f>
        <v>Original</v>
      </c>
      <c r="I70" s="4">
        <f>INDEX(Scores!$E$2:$E$910, MATCH('Next Gen'!$A69, Scores!$F$2:$F$910, 0))</f>
        <v>45791</v>
      </c>
      <c r="L70"/>
      <c r="M70"/>
      <c r="N70"/>
      <c r="O70"/>
      <c r="P70"/>
    </row>
    <row r="71" spans="1:16">
      <c r="A71" s="1">
        <v>101</v>
      </c>
      <c r="B71" s="1" t="s">
        <v>5</v>
      </c>
      <c r="C71" s="1">
        <v>9</v>
      </c>
      <c r="D71" s="1">
        <v>7</v>
      </c>
      <c r="E71" s="1">
        <v>5</v>
      </c>
      <c r="F71" s="1">
        <f>SUMIF(Scores!$F$2:$F$910, 'Next Gen'!$A71, INDEX(Scores!$I$2:$Q$910, 0, MATCH($B71, Scores!$I$1:$Q$1, 0)))</f>
        <v>9</v>
      </c>
      <c r="G71" s="1" t="str">
        <f>INDEX(Scores!$B$2:$B$910, MATCH('Next Gen'!$A71, Scores!$F$2:$F$910, 0))</f>
        <v>mid</v>
      </c>
      <c r="H71" s="1" t="str">
        <f>INDEX(Scores!$D$2:$D$910, MATCH('Next Gen'!$A71, Scores!$F$2:$F$910, 0))</f>
        <v>Original</v>
      </c>
      <c r="I71" s="4">
        <f>INDEX(Scores!$E$2:$E$910, MATCH('Next Gen'!$A71, Scores!$F$2:$F$910, 0))</f>
        <v>45797</v>
      </c>
      <c r="L71"/>
      <c r="M71"/>
      <c r="N71"/>
      <c r="O71"/>
      <c r="P71"/>
    </row>
    <row r="72" spans="1:16">
      <c r="A72" s="1">
        <v>101</v>
      </c>
      <c r="B72" s="1" t="s">
        <v>6</v>
      </c>
      <c r="C72" s="1">
        <v>9</v>
      </c>
      <c r="D72" s="1">
        <v>7</v>
      </c>
      <c r="E72" s="1">
        <v>2</v>
      </c>
      <c r="F72" s="1">
        <f>SUMIF(Scores!$F$2:$F$910, 'Next Gen'!$A72, INDEX(Scores!$I$2:$Q$910, 0, MATCH($B72, Scores!$I$1:$Q$1, 0)))</f>
        <v>6</v>
      </c>
      <c r="G72" s="1" t="str">
        <f>INDEX(Scores!$B$2:$B$910, MATCH('Next Gen'!$A72, Scores!$F$2:$F$910, 0))</f>
        <v>mid</v>
      </c>
      <c r="H72" s="1" t="str">
        <f>INDEX(Scores!$D$2:$D$910, MATCH('Next Gen'!$A72, Scores!$F$2:$F$910, 0))</f>
        <v>Original</v>
      </c>
      <c r="I72" s="4">
        <f>INDEX(Scores!$E$2:$E$910, MATCH('Next Gen'!$A72, Scores!$F$2:$F$910, 0))</f>
        <v>45797</v>
      </c>
      <c r="L72"/>
      <c r="M72"/>
      <c r="N72"/>
      <c r="O72"/>
      <c r="P72"/>
    </row>
    <row r="73" spans="1:16">
      <c r="A73" s="1">
        <v>102</v>
      </c>
      <c r="B73" s="1" t="s">
        <v>5</v>
      </c>
      <c r="C73" s="1">
        <v>9</v>
      </c>
      <c r="D73" s="1">
        <v>8</v>
      </c>
      <c r="E73" s="1">
        <v>5</v>
      </c>
      <c r="F73" s="1">
        <f>SUMIF(Scores!$F$2:$F$910, 'Next Gen'!$A73, INDEX(Scores!$I$2:$Q$910, 0, MATCH($B73, Scores!$I$1:$Q$1, 0)))</f>
        <v>8</v>
      </c>
      <c r="G73" s="1" t="str">
        <f>INDEX(Scores!$B$2:$B$910, MATCH('Next Gen'!$A73, Scores!$F$2:$F$910, 0))</f>
        <v>mid</v>
      </c>
      <c r="H73" s="1" t="str">
        <f>INDEX(Scores!$D$2:$D$910, MATCH('Next Gen'!$A73, Scores!$F$2:$F$910, 0))</f>
        <v>Original</v>
      </c>
      <c r="I73" s="4">
        <f>INDEX(Scores!$E$2:$E$910, MATCH('Next Gen'!$A73, Scores!$F$2:$F$910, 0))</f>
        <v>45797</v>
      </c>
      <c r="L73"/>
      <c r="M73"/>
      <c r="N73"/>
      <c r="O73"/>
      <c r="P73"/>
    </row>
    <row r="74" spans="1:16">
      <c r="A74" s="1">
        <v>102</v>
      </c>
      <c r="B74" s="1" t="s">
        <v>7</v>
      </c>
      <c r="C74" s="1">
        <v>9</v>
      </c>
      <c r="D74" s="1">
        <v>2</v>
      </c>
      <c r="E74" s="1">
        <v>1</v>
      </c>
      <c r="F74" s="1">
        <f>SUMIF(Scores!$F$2:$F$910, 'Next Gen'!$A74, INDEX(Scores!$I$2:$Q$910, 0, MATCH($B74, Scores!$I$1:$Q$1, 0)))</f>
        <v>1</v>
      </c>
      <c r="G74" s="1" t="str">
        <f>INDEX(Scores!$B$2:$B$910, MATCH('Next Gen'!$A74, Scores!$F$2:$F$910, 0))</f>
        <v>mid</v>
      </c>
      <c r="H74" s="1" t="str">
        <f>INDEX(Scores!$D$2:$D$910, MATCH('Next Gen'!$A74, Scores!$F$2:$F$910, 0))</f>
        <v>Original</v>
      </c>
      <c r="I74" s="4">
        <f>INDEX(Scores!$E$2:$E$910, MATCH('Next Gen'!$A74, Scores!$F$2:$F$910, 0))</f>
        <v>45797</v>
      </c>
      <c r="L74"/>
      <c r="M74"/>
      <c r="N74"/>
      <c r="O74"/>
      <c r="P74"/>
    </row>
    <row r="75" spans="1:16">
      <c r="A75" s="1">
        <v>103</v>
      </c>
      <c r="B75" s="1" t="s">
        <v>5</v>
      </c>
      <c r="C75" s="1">
        <v>9</v>
      </c>
      <c r="D75" s="1">
        <v>9</v>
      </c>
      <c r="E75" s="1">
        <v>7</v>
      </c>
      <c r="F75" s="1">
        <f>SUMIF(Scores!$F$2:$F$910, 'Next Gen'!$A75, INDEX(Scores!$I$2:$Q$910, 0, MATCH($B75, Scores!$I$1:$Q$1, 0)))</f>
        <v>12</v>
      </c>
      <c r="G75" s="1" t="str">
        <f>INDEX(Scores!$B$2:$B$910, MATCH('Next Gen'!$A75, Scores!$F$2:$F$910, 0))</f>
        <v>mid</v>
      </c>
      <c r="H75" s="1" t="str">
        <f>INDEX(Scores!$D$2:$D$910, MATCH('Next Gen'!$A75, Scores!$F$2:$F$910, 0))</f>
        <v>Original</v>
      </c>
      <c r="I75" s="4">
        <f>INDEX(Scores!$E$2:$E$910, MATCH('Next Gen'!$A75, Scores!$F$2:$F$910, 0))</f>
        <v>45798</v>
      </c>
      <c r="L75"/>
      <c r="M75"/>
      <c r="N75"/>
      <c r="O75"/>
      <c r="P75"/>
    </row>
    <row r="76" spans="1:16">
      <c r="A76" s="1">
        <v>103</v>
      </c>
      <c r="B76" s="1" t="s">
        <v>6</v>
      </c>
      <c r="C76" s="1">
        <v>9</v>
      </c>
      <c r="D76" s="1">
        <v>3</v>
      </c>
      <c r="E76" s="1">
        <v>3</v>
      </c>
      <c r="F76" s="1">
        <f>SUMIF(Scores!$F$2:$F$910, 'Next Gen'!$A76, INDEX(Scores!$I$2:$Q$910, 0, MATCH($B76, Scores!$I$1:$Q$1, 0)))</f>
        <v>5</v>
      </c>
      <c r="G76" s="1" t="str">
        <f>INDEX(Scores!$B$2:$B$910, MATCH('Next Gen'!$A76, Scores!$F$2:$F$910, 0))</f>
        <v>mid</v>
      </c>
      <c r="H76" s="1" t="str">
        <f>INDEX(Scores!$D$2:$D$910, MATCH('Next Gen'!$A76, Scores!$F$2:$F$910, 0))</f>
        <v>Original</v>
      </c>
      <c r="I76" s="4">
        <f>INDEX(Scores!$E$2:$E$910, MATCH('Next Gen'!$A76, Scores!$F$2:$F$910, 0))</f>
        <v>45798</v>
      </c>
      <c r="L76"/>
      <c r="M76"/>
      <c r="N76"/>
      <c r="O76"/>
      <c r="P76"/>
    </row>
    <row r="77" spans="1:16">
      <c r="A77" s="1">
        <v>104</v>
      </c>
      <c r="B77" s="1" t="s">
        <v>5</v>
      </c>
      <c r="C77" s="1">
        <v>9</v>
      </c>
      <c r="D77" s="1">
        <v>6</v>
      </c>
      <c r="E77" s="1">
        <v>2</v>
      </c>
      <c r="F77" s="1">
        <f>SUMIF(Scores!$F$2:$F$910, 'Next Gen'!$A77, INDEX(Scores!$I$2:$Q$910, 0, MATCH($B77, Scores!$I$1:$Q$1, 0)))</f>
        <v>4</v>
      </c>
      <c r="G77" s="1" t="str">
        <f>INDEX(Scores!$B$2:$B$910, MATCH('Next Gen'!$A77, Scores!$F$2:$F$910, 0))</f>
        <v>mid</v>
      </c>
      <c r="H77" s="1" t="str">
        <f>INDEX(Scores!$D$2:$D$910, MATCH('Next Gen'!$A77, Scores!$F$2:$F$910, 0))</f>
        <v>Original</v>
      </c>
      <c r="I77" s="4">
        <f>INDEX(Scores!$E$2:$E$910, MATCH('Next Gen'!$A77, Scores!$F$2:$F$910, 0))</f>
        <v>45799</v>
      </c>
      <c r="L77"/>
      <c r="M77"/>
      <c r="N77"/>
      <c r="O77"/>
      <c r="P77"/>
    </row>
    <row r="78" spans="1:16">
      <c r="A78" s="1">
        <v>104</v>
      </c>
      <c r="B78" s="1" t="s">
        <v>6</v>
      </c>
      <c r="C78" s="1">
        <v>9</v>
      </c>
      <c r="D78" s="1">
        <v>7</v>
      </c>
      <c r="E78" s="1">
        <v>1</v>
      </c>
      <c r="F78" s="1">
        <f>SUMIF(Scores!$F$2:$F$910, 'Next Gen'!$A78, INDEX(Scores!$I$2:$Q$910, 0, MATCH($B78, Scores!$I$1:$Q$1, 0)))</f>
        <v>1</v>
      </c>
      <c r="G78" s="1" t="str">
        <f>INDEX(Scores!$B$2:$B$910, MATCH('Next Gen'!$A78, Scores!$F$2:$F$910, 0))</f>
        <v>mid</v>
      </c>
      <c r="H78" s="1" t="str">
        <f>INDEX(Scores!$D$2:$D$910, MATCH('Next Gen'!$A78, Scores!$F$2:$F$910, 0))</f>
        <v>Original</v>
      </c>
      <c r="I78" s="4">
        <f>INDEX(Scores!$E$2:$E$910, MATCH('Next Gen'!$A78, Scores!$F$2:$F$910, 0))</f>
        <v>45799</v>
      </c>
      <c r="L78"/>
    </row>
    <row r="79" spans="1:16">
      <c r="A79" s="1">
        <v>105</v>
      </c>
      <c r="B79" s="1" t="s">
        <v>5</v>
      </c>
      <c r="C79" s="1">
        <v>9</v>
      </c>
      <c r="D79" s="1">
        <v>8</v>
      </c>
      <c r="E79" s="1">
        <v>3</v>
      </c>
      <c r="F79" s="1">
        <f>SUMIF(Scores!$F$2:$F$910, 'Next Gen'!$A79, INDEX(Scores!$I$2:$Q$910, 0, MATCH($B79, Scores!$I$1:$Q$1, 0)))</f>
        <v>3</v>
      </c>
      <c r="G79" s="1" t="str">
        <f>INDEX(Scores!$B$2:$B$910, MATCH('Next Gen'!$A79, Scores!$F$2:$F$910, 0))</f>
        <v>mid</v>
      </c>
      <c r="H79" s="1" t="str">
        <f>INDEX(Scores!$D$2:$D$910, MATCH('Next Gen'!$A79, Scores!$F$2:$F$910, 0))</f>
        <v>Original</v>
      </c>
      <c r="I79" s="4">
        <f>INDEX(Scores!$E$2:$E$910, MATCH('Next Gen'!$A79, Scores!$F$2:$F$910, 0))</f>
        <v>45811</v>
      </c>
      <c r="L79"/>
    </row>
    <row r="80" spans="1:16">
      <c r="A80" s="1">
        <v>105</v>
      </c>
      <c r="B80" s="1" t="s">
        <v>6</v>
      </c>
      <c r="C80" s="1">
        <v>9</v>
      </c>
      <c r="D80" s="1">
        <v>3</v>
      </c>
      <c r="E80" s="1">
        <v>1</v>
      </c>
      <c r="F80" s="1">
        <f>SUMIF(Scores!$F$2:$F$910, 'Next Gen'!$A80, INDEX(Scores!$I$2:$Q$910, 0, MATCH($B80, Scores!$I$1:$Q$1, 0)))</f>
        <v>1</v>
      </c>
      <c r="G80" s="1" t="str">
        <f>INDEX(Scores!$B$2:$B$910, MATCH('Next Gen'!$A80, Scores!$F$2:$F$910, 0))</f>
        <v>mid</v>
      </c>
      <c r="H80" s="1" t="str">
        <f>INDEX(Scores!$D$2:$D$910, MATCH('Next Gen'!$A80, Scores!$F$2:$F$910, 0))</f>
        <v>Original</v>
      </c>
      <c r="I80" s="4">
        <f>INDEX(Scores!$E$2:$E$910, MATCH('Next Gen'!$A80, Scores!$F$2:$F$910, 0))</f>
        <v>45811</v>
      </c>
      <c r="L80"/>
    </row>
    <row r="81" spans="1:12">
      <c r="A81" s="1">
        <v>106</v>
      </c>
      <c r="B81" s="1" t="s">
        <v>5</v>
      </c>
      <c r="C81" s="1">
        <v>9</v>
      </c>
      <c r="D81" s="1">
        <v>7</v>
      </c>
      <c r="E81" s="1">
        <v>2</v>
      </c>
      <c r="F81" s="1">
        <f>SUMIF(Scores!$F$2:$F$910, 'Next Gen'!$A81, INDEX(Scores!$I$2:$Q$910, 0, MATCH($B81, Scores!$I$1:$Q$1, 0)))</f>
        <v>3</v>
      </c>
      <c r="G81" s="1" t="str">
        <f>INDEX(Scores!$B$2:$B$910, MATCH('Next Gen'!$A81, Scores!$F$2:$F$910, 0))</f>
        <v>mid</v>
      </c>
      <c r="H81" s="1" t="str">
        <f>INDEX(Scores!$D$2:$D$910, MATCH('Next Gen'!$A81, Scores!$F$2:$F$910, 0))</f>
        <v>Original</v>
      </c>
      <c r="I81" s="4">
        <f>INDEX(Scores!$E$2:$E$910, MATCH('Next Gen'!$A81, Scores!$F$2:$F$910, 0))</f>
        <v>45811</v>
      </c>
      <c r="L81"/>
    </row>
    <row r="82" spans="1:12">
      <c r="A82" s="1">
        <v>106</v>
      </c>
      <c r="B82" s="1" t="s">
        <v>6</v>
      </c>
      <c r="C82" s="1">
        <v>9</v>
      </c>
      <c r="D82" s="1">
        <v>5</v>
      </c>
      <c r="E82" s="1">
        <v>2</v>
      </c>
      <c r="F82" s="1">
        <f>SUMIF(Scores!$F$2:$F$910, 'Next Gen'!$A82, INDEX(Scores!$I$2:$Q$910, 0, MATCH($B82, Scores!$I$1:$Q$1, 0)))</f>
        <v>2</v>
      </c>
      <c r="G82" s="1" t="str">
        <f>INDEX(Scores!$B$2:$B$910, MATCH('Next Gen'!$A82, Scores!$F$2:$F$910, 0))</f>
        <v>mid</v>
      </c>
      <c r="H82" s="1" t="str">
        <f>INDEX(Scores!$D$2:$D$910, MATCH('Next Gen'!$A82, Scores!$F$2:$F$910, 0))</f>
        <v>Original</v>
      </c>
      <c r="I82" s="4">
        <f>INDEX(Scores!$E$2:$E$910, MATCH('Next Gen'!$A82, Scores!$F$2:$F$910, 0))</f>
        <v>45811</v>
      </c>
      <c r="L82"/>
    </row>
    <row r="83" spans="1:12">
      <c r="A83" s="1">
        <v>107</v>
      </c>
      <c r="B83" s="1" t="s">
        <v>5</v>
      </c>
      <c r="C83" s="1">
        <v>9</v>
      </c>
      <c r="D83" s="1">
        <v>7</v>
      </c>
      <c r="E83" s="1">
        <v>4</v>
      </c>
      <c r="F83" s="1">
        <f>SUMIF(Scores!$F$2:$F$910, 'Next Gen'!$A83, INDEX(Scores!$I$2:$Q$910, 0, MATCH($B83, Scores!$I$1:$Q$1, 0)))</f>
        <v>5</v>
      </c>
      <c r="G83" s="1" t="str">
        <f>INDEX(Scores!$B$2:$B$910, MATCH('Next Gen'!$A83, Scores!$F$2:$F$910, 0))</f>
        <v>mid</v>
      </c>
      <c r="H83" s="1" t="str">
        <f>INDEX(Scores!$D$2:$D$910, MATCH('Next Gen'!$A83, Scores!$F$2:$F$910, 0))</f>
        <v>Original</v>
      </c>
      <c r="I83" s="4">
        <f>INDEX(Scores!$E$2:$E$910, MATCH('Next Gen'!$A83, Scores!$F$2:$F$910, 0))</f>
        <v>45818</v>
      </c>
      <c r="L83"/>
    </row>
    <row r="84" spans="1:12">
      <c r="A84" s="1">
        <v>107</v>
      </c>
      <c r="B84" s="1" t="s">
        <v>4</v>
      </c>
      <c r="C84" s="1">
        <v>9</v>
      </c>
      <c r="D84" s="1">
        <v>8</v>
      </c>
      <c r="E84" s="1">
        <v>3</v>
      </c>
      <c r="F84" s="1">
        <f>SUMIF(Scores!$F$2:$F$910, 'Next Gen'!$A84, INDEX(Scores!$I$2:$Q$910, 0, MATCH($B84, Scores!$I$1:$Q$1, 0)))</f>
        <v>6</v>
      </c>
      <c r="G84" s="1" t="str">
        <f>INDEX(Scores!$B$2:$B$910, MATCH('Next Gen'!$A84, Scores!$F$2:$F$910, 0))</f>
        <v>mid</v>
      </c>
      <c r="H84" s="1" t="str">
        <f>INDEX(Scores!$D$2:$D$910, MATCH('Next Gen'!$A84, Scores!$F$2:$F$910, 0))</f>
        <v>Original</v>
      </c>
      <c r="I84" s="4">
        <f>INDEX(Scores!$E$2:$E$910, MATCH('Next Gen'!$A84, Scores!$F$2:$F$910, 0))</f>
        <v>45818</v>
      </c>
      <c r="L84"/>
    </row>
    <row r="85" spans="1:12">
      <c r="A85" s="1">
        <v>108</v>
      </c>
      <c r="B85" s="1" t="s">
        <v>5</v>
      </c>
      <c r="C85" s="1">
        <v>9</v>
      </c>
      <c r="D85" s="1">
        <v>7</v>
      </c>
      <c r="E85" s="1">
        <v>4</v>
      </c>
      <c r="F85" s="1">
        <f>SUMIF(Scores!$F$2:$F$910, 'Next Gen'!$A85, INDEX(Scores!$I$2:$Q$910, 0, MATCH($B85, Scores!$I$1:$Q$1, 0)))</f>
        <v>6</v>
      </c>
      <c r="G85" s="1" t="str">
        <f>INDEX(Scores!$B$2:$B$910, MATCH('Next Gen'!$A85, Scores!$F$2:$F$910, 0))</f>
        <v>mid</v>
      </c>
      <c r="H85" s="1" t="str">
        <f>INDEX(Scores!$D$2:$D$910, MATCH('Next Gen'!$A85, Scores!$F$2:$F$910, 0))</f>
        <v>Original</v>
      </c>
      <c r="I85" s="4">
        <f>INDEX(Scores!$E$2:$E$910, MATCH('Next Gen'!$A85, Scores!$F$2:$F$910, 0))</f>
        <v>45819</v>
      </c>
      <c r="L85"/>
    </row>
    <row r="86" spans="1:12">
      <c r="A86" s="1">
        <v>108</v>
      </c>
      <c r="B86" s="1" t="s">
        <v>4</v>
      </c>
      <c r="C86" s="1">
        <v>9</v>
      </c>
      <c r="D86" s="1">
        <v>9</v>
      </c>
      <c r="E86" s="1">
        <v>4</v>
      </c>
      <c r="F86" s="1">
        <f>SUMIF(Scores!$F$2:$F$910, 'Next Gen'!$A86, INDEX(Scores!$I$2:$Q$910, 0, MATCH($B86, Scores!$I$1:$Q$1, 0)))</f>
        <v>8</v>
      </c>
      <c r="G86" s="1" t="str">
        <f>INDEX(Scores!$B$2:$B$910, MATCH('Next Gen'!$A86, Scores!$F$2:$F$910, 0))</f>
        <v>mid</v>
      </c>
      <c r="H86" s="1" t="str">
        <f>INDEX(Scores!$D$2:$D$910, MATCH('Next Gen'!$A86, Scores!$F$2:$F$910, 0))</f>
        <v>Original</v>
      </c>
      <c r="I86" s="4">
        <f>INDEX(Scores!$E$2:$E$910, MATCH('Next Gen'!$A86, Scores!$F$2:$F$910, 0))</f>
        <v>45819</v>
      </c>
      <c r="L86"/>
    </row>
    <row r="87" spans="1:12">
      <c r="A87" s="1">
        <v>109</v>
      </c>
      <c r="B87" s="1" t="s">
        <v>4</v>
      </c>
      <c r="C87" s="1">
        <v>9</v>
      </c>
      <c r="D87" s="1">
        <v>9</v>
      </c>
      <c r="E87" s="1">
        <v>4</v>
      </c>
      <c r="F87" s="1">
        <f>SUMIF(Scores!$F$2:$F$910, 'Next Gen'!$A87, INDEX(Scores!$I$2:$Q$910, 0, MATCH($B87, Scores!$I$1:$Q$1, 0)))</f>
        <v>5</v>
      </c>
      <c r="G87" s="1" t="str">
        <f>INDEX(Scores!$B$2:$B$910, MATCH('Next Gen'!$A88, Scores!$F$2:$F$910, 0))</f>
        <v>mid</v>
      </c>
      <c r="H87" s="1" t="str">
        <f>INDEX(Scores!$D$2:$D$910, MATCH('Next Gen'!$A87, Scores!$F$2:$F$910, 0))</f>
        <v>Original</v>
      </c>
      <c r="I87" s="4">
        <f>INDEX(Scores!$E$2:$E$910, MATCH('Next Gen'!$A88, Scores!$F$2:$F$910, 0))</f>
        <v>45820</v>
      </c>
      <c r="L87"/>
    </row>
    <row r="88" spans="1:12">
      <c r="A88" s="1">
        <v>109</v>
      </c>
      <c r="B88" s="1" t="s">
        <v>5</v>
      </c>
      <c r="C88" s="1">
        <v>9</v>
      </c>
      <c r="D88" s="1">
        <v>7</v>
      </c>
      <c r="E88" s="1">
        <v>3</v>
      </c>
      <c r="F88" s="1">
        <f>SUMIF(Scores!$F$2:$F$910, 'Next Gen'!$A88, INDEX(Scores!$I$2:$Q$910, 0, MATCH($B88, Scores!$I$1:$Q$1, 0)))</f>
        <v>8</v>
      </c>
      <c r="G88" s="1" t="str">
        <f>INDEX(Scores!$B$2:$B$910, MATCH('Next Gen'!$A87, Scores!$F$2:$F$910, 0))</f>
        <v>mid</v>
      </c>
      <c r="H88" s="1" t="str">
        <f>INDEX(Scores!$D$2:$D$910, MATCH('Next Gen'!$A88, Scores!$F$2:$F$910, 0))</f>
        <v>Original</v>
      </c>
      <c r="I88" s="4">
        <f>INDEX(Scores!$E$2:$E$910, MATCH('Next Gen'!$A87, Scores!$F$2:$F$910, 0))</f>
        <v>45820</v>
      </c>
      <c r="L88"/>
    </row>
    <row r="89" spans="1:12">
      <c r="A89" s="1">
        <v>110</v>
      </c>
      <c r="B89" s="1" t="s">
        <v>4</v>
      </c>
      <c r="C89" s="1">
        <v>9</v>
      </c>
      <c r="D89" s="1">
        <v>7</v>
      </c>
      <c r="E89" s="1">
        <v>3</v>
      </c>
      <c r="F89" s="1">
        <f>SUMIF(Scores!$F$2:$F$910, 'Next Gen'!$A89, INDEX(Scores!$I$2:$Q$910, 0, MATCH($B89, Scores!$I$1:$Q$1, 0)))</f>
        <v>5</v>
      </c>
      <c r="G89" s="1" t="str">
        <f>INDEX(Scores!$B$2:$B$910, MATCH('Next Gen'!$A90, Scores!$F$2:$F$910, 0))</f>
        <v>mid</v>
      </c>
      <c r="H89" s="1" t="str">
        <f>INDEX(Scores!$D$2:$D$910, MATCH('Next Gen'!$A89, Scores!$F$2:$F$910, 0))</f>
        <v>Original</v>
      </c>
      <c r="I89" s="4">
        <f>INDEX(Scores!$E$2:$E$910, MATCH('Next Gen'!$A90, Scores!$F$2:$F$910, 0))</f>
        <v>45821</v>
      </c>
      <c r="L89"/>
    </row>
    <row r="90" spans="1:12">
      <c r="A90" s="1">
        <v>110</v>
      </c>
      <c r="B90" s="1" t="s">
        <v>5</v>
      </c>
      <c r="C90" s="1">
        <v>9</v>
      </c>
      <c r="D90" s="1">
        <v>8</v>
      </c>
      <c r="E90" s="1">
        <v>1</v>
      </c>
      <c r="F90" s="1">
        <f>SUMIF(Scores!$F$2:$F$910, 'Next Gen'!$A90, INDEX(Scores!$I$2:$Q$910, 0, MATCH($B90, Scores!$I$1:$Q$1, 0)))</f>
        <v>3</v>
      </c>
      <c r="G90" s="1" t="str">
        <f>INDEX(Scores!$B$2:$B$910, MATCH('Next Gen'!$A89, Scores!$F$2:$F$910, 0))</f>
        <v>mid</v>
      </c>
      <c r="H90" s="1" t="str">
        <f>INDEX(Scores!$D$2:$D$910, MATCH('Next Gen'!$A90, Scores!$F$2:$F$910, 0))</f>
        <v>Original</v>
      </c>
      <c r="I90" s="4">
        <f>INDEX(Scores!$E$2:$E$910, MATCH('Next Gen'!$A89, Scores!$F$2:$F$910, 0))</f>
        <v>45821</v>
      </c>
      <c r="L90"/>
    </row>
    <row r="91" spans="1:12">
      <c r="A91" s="1">
        <v>111</v>
      </c>
      <c r="B91" s="1" t="s">
        <v>4</v>
      </c>
      <c r="C91" s="1">
        <v>9</v>
      </c>
      <c r="D91" s="1">
        <v>8</v>
      </c>
      <c r="E91" s="1">
        <v>4</v>
      </c>
      <c r="F91" s="1">
        <f>SUMIF(Scores!$F$2:$F$910, 'Next Gen'!$A91, INDEX(Scores!$I$2:$Q$910, 0, MATCH($B91, Scores!$I$1:$Q$1, 0)))</f>
        <v>7</v>
      </c>
      <c r="G91" s="1" t="str">
        <f>INDEX(Scores!$B$2:$B$910, MATCH('Next Gen'!$A92, Scores!$F$2:$F$910, 0))</f>
        <v>mid</v>
      </c>
      <c r="H91" s="1" t="str">
        <f>INDEX(Scores!$D$2:$D$910, MATCH('Next Gen'!$A91, Scores!$F$2:$F$910, 0))</f>
        <v>Original</v>
      </c>
      <c r="I91" s="4">
        <f>INDEX(Scores!$E$2:$E$910, MATCH('Next Gen'!$A92, Scores!$F$2:$F$910, 0))</f>
        <v>45824</v>
      </c>
      <c r="L91"/>
    </row>
    <row r="92" spans="1:12">
      <c r="A92" s="1">
        <v>111</v>
      </c>
      <c r="B92" s="1" t="s">
        <v>5</v>
      </c>
      <c r="C92" s="1">
        <v>9</v>
      </c>
      <c r="D92" s="1">
        <v>8</v>
      </c>
      <c r="E92" s="1">
        <v>2</v>
      </c>
      <c r="F92" s="1">
        <f>SUMIF(Scores!$F$2:$F$910, 'Next Gen'!$A92, INDEX(Scores!$I$2:$Q$910, 0, MATCH($B92, Scores!$I$1:$Q$1, 0)))</f>
        <v>4</v>
      </c>
      <c r="G92" s="1" t="str">
        <f>INDEX(Scores!$B$2:$B$910, MATCH('Next Gen'!$A91, Scores!$F$2:$F$910, 0))</f>
        <v>mid</v>
      </c>
      <c r="H92" s="1" t="str">
        <f>INDEX(Scores!$D$2:$D$910, MATCH('Next Gen'!$A92, Scores!$F$2:$F$910, 0))</f>
        <v>Original</v>
      </c>
      <c r="I92" s="4">
        <f>INDEX(Scores!$E$2:$E$910, MATCH('Next Gen'!$A91, Scores!$F$2:$F$910, 0))</f>
        <v>45824</v>
      </c>
      <c r="L92"/>
    </row>
    <row r="93" spans="1:12">
      <c r="A93" s="1">
        <v>112</v>
      </c>
      <c r="B93" s="1" t="s">
        <v>6</v>
      </c>
      <c r="C93" s="1">
        <v>9</v>
      </c>
      <c r="D93" s="1">
        <v>6</v>
      </c>
      <c r="E93" s="1">
        <v>3</v>
      </c>
      <c r="F93" s="1">
        <f>SUMIF(Scores!$F$2:$F$910, 'Next Gen'!$A93, INDEX(Scores!$I$2:$Q$910, 0, MATCH($B93, Scores!$I$1:$Q$1, 0)))</f>
        <v>4</v>
      </c>
      <c r="G93" s="1" t="str">
        <f>INDEX(Scores!$B$2:$B$910, MATCH('Next Gen'!$A95, Scores!$F$2:$F$910, 0))</f>
        <v>mid</v>
      </c>
      <c r="H93" s="1" t="str">
        <f>INDEX(Scores!$D$2:$D$910, MATCH('Next Gen'!$A93, Scores!$F$2:$F$910, 0))</f>
        <v>Original</v>
      </c>
      <c r="I93" s="4">
        <f>INDEX(Scores!$E$2:$E$910, MATCH('Next Gen'!$A95, Scores!$F$2:$F$910, 0))</f>
        <v>45824</v>
      </c>
      <c r="L93"/>
    </row>
    <row r="94" spans="1:12">
      <c r="A94" s="1">
        <v>112</v>
      </c>
      <c r="B94" s="1" t="s">
        <v>7</v>
      </c>
      <c r="C94" s="1">
        <v>9</v>
      </c>
      <c r="D94" s="1">
        <v>3</v>
      </c>
      <c r="E94" s="1">
        <v>2</v>
      </c>
      <c r="F94" s="1">
        <f>SUMIF(Scores!$F$2:$F$910, 'Next Gen'!$A94, INDEX(Scores!$I$2:$Q$910, 0, MATCH($B94, Scores!$I$1:$Q$1, 0)))</f>
        <v>6</v>
      </c>
      <c r="G94" s="1" t="str">
        <f>INDEX(Scores!$B$2:$B$910, MATCH('Next Gen'!$A96, Scores!$F$2:$F$910, 0))</f>
        <v>mid</v>
      </c>
      <c r="H94" s="1" t="str">
        <f>INDEX(Scores!$D$2:$D$910, MATCH('Next Gen'!$A94, Scores!$F$2:$F$910, 0))</f>
        <v>Original</v>
      </c>
      <c r="I94" s="4">
        <f>INDEX(Scores!$E$2:$E$910, MATCH('Next Gen'!$A96, Scores!$F$2:$F$910, 0))</f>
        <v>45824</v>
      </c>
      <c r="L94"/>
    </row>
    <row r="95" spans="1:12">
      <c r="A95" s="1">
        <v>112</v>
      </c>
      <c r="B95" s="1" t="s">
        <v>4</v>
      </c>
      <c r="C95" s="1">
        <v>9</v>
      </c>
      <c r="D95" s="1">
        <v>9</v>
      </c>
      <c r="E95" s="1">
        <v>2</v>
      </c>
      <c r="F95" s="1">
        <f>SUMIF(Scores!$F$2:$F$910, 'Next Gen'!$A95, INDEX(Scores!$I$2:$Q$910, 0, MATCH($B95, Scores!$I$1:$Q$1, 0)))</f>
        <v>3</v>
      </c>
      <c r="G95" s="1" t="str">
        <f>INDEX(Scores!$B$2:$B$910, MATCH('Next Gen'!$A94, Scores!$F$2:$F$910, 0))</f>
        <v>mid</v>
      </c>
      <c r="H95" s="1" t="str">
        <f>INDEX(Scores!$D$2:$D$910, MATCH('Next Gen'!$A95, Scores!$F$2:$F$910, 0))</f>
        <v>Original</v>
      </c>
      <c r="I95" s="4">
        <f>INDEX(Scores!$E$2:$E$910, MATCH('Next Gen'!$A94, Scores!$F$2:$F$910, 0))</f>
        <v>45824</v>
      </c>
      <c r="L95"/>
    </row>
    <row r="96" spans="1:12">
      <c r="A96" s="1">
        <v>112</v>
      </c>
      <c r="B96" s="1" t="s">
        <v>5</v>
      </c>
      <c r="C96" s="1">
        <v>9</v>
      </c>
      <c r="D96" s="1">
        <v>8</v>
      </c>
      <c r="E96" s="1">
        <v>1</v>
      </c>
      <c r="F96" s="1">
        <f>SUMIF(Scores!$F$2:$F$910, 'Next Gen'!$A96, INDEX(Scores!$I$2:$Q$910, 0, MATCH($B96, Scores!$I$1:$Q$1, 0)))</f>
        <v>1</v>
      </c>
      <c r="G96" s="1" t="str">
        <f>INDEX(Scores!$B$2:$B$910, MATCH('Next Gen'!$A93, Scores!$F$2:$F$910, 0))</f>
        <v>mid</v>
      </c>
      <c r="H96" s="1" t="str">
        <f>INDEX(Scores!$D$2:$D$910, MATCH('Next Gen'!$A96, Scores!$F$2:$F$910, 0))</f>
        <v>Original</v>
      </c>
      <c r="I96" s="4">
        <f>INDEX(Scores!$E$2:$E$910, MATCH('Next Gen'!$A93, Scores!$F$2:$F$910, 0))</f>
        <v>45824</v>
      </c>
      <c r="L96"/>
    </row>
    <row r="97" spans="1:12">
      <c r="A97" s="1">
        <v>113</v>
      </c>
      <c r="B97" s="1" t="s">
        <v>4</v>
      </c>
      <c r="C97" s="1">
        <v>9</v>
      </c>
      <c r="D97" s="1">
        <v>9</v>
      </c>
      <c r="E97" s="1">
        <v>7</v>
      </c>
      <c r="F97" s="1">
        <f>SUMIF(Scores!$F$2:$F$910, 'Next Gen'!$A97, INDEX(Scores!$I$2:$Q$910, 0, MATCH($B97, Scores!$I$1:$Q$1, 0)))</f>
        <v>12</v>
      </c>
      <c r="G97" s="1" t="str">
        <f>INDEX(Scores!$B$2:$B$910, MATCH('Next Gen'!$A98, Scores!$F$2:$F$910, 0))</f>
        <v>mid</v>
      </c>
      <c r="H97" s="1" t="str">
        <f>INDEX(Scores!$D$2:$D$910, MATCH('Next Gen'!$A97, Scores!$F$2:$F$910, 0))</f>
        <v>Original</v>
      </c>
      <c r="I97" s="4">
        <f>INDEX(Scores!$E$2:$E$910, MATCH('Next Gen'!$A98, Scores!$F$2:$F$910, 0))</f>
        <v>45825</v>
      </c>
      <c r="L97"/>
    </row>
    <row r="98" spans="1:12">
      <c r="A98" s="1">
        <v>113</v>
      </c>
      <c r="B98" s="1" t="s">
        <v>5</v>
      </c>
      <c r="C98" s="1">
        <v>9</v>
      </c>
      <c r="D98" s="1">
        <v>9</v>
      </c>
      <c r="E98" s="1">
        <v>3</v>
      </c>
      <c r="F98" s="1">
        <f>SUMIF(Scores!$F$2:$F$910, 'Next Gen'!$A98, INDEX(Scores!$I$2:$Q$910, 0, MATCH($B98, Scores!$I$1:$Q$1, 0)))</f>
        <v>7</v>
      </c>
      <c r="G98" s="1" t="str">
        <f>INDEX(Scores!$B$2:$B$910, MATCH('Next Gen'!$A97, Scores!$F$2:$F$910, 0))</f>
        <v>mid</v>
      </c>
      <c r="H98" s="1" t="str">
        <f>INDEX(Scores!$D$2:$D$910, MATCH('Next Gen'!$A98, Scores!$F$2:$F$910, 0))</f>
        <v>Original</v>
      </c>
      <c r="I98" s="4">
        <f>INDEX(Scores!$E$2:$E$910, MATCH('Next Gen'!$A97, Scores!$F$2:$F$910, 0))</f>
        <v>45825</v>
      </c>
      <c r="L98"/>
    </row>
    <row r="99" spans="1:12">
      <c r="A99" s="1">
        <v>114</v>
      </c>
      <c r="B99" s="1" t="s">
        <v>5</v>
      </c>
      <c r="C99" s="1">
        <v>9</v>
      </c>
      <c r="D99" s="1">
        <v>7</v>
      </c>
      <c r="E99" s="1">
        <v>4</v>
      </c>
      <c r="F99" s="1">
        <f>SUMIF(Scores!$F$2:$F$910, 'Next Gen'!$A99, INDEX(Scores!$I$2:$Q$910, 0, MATCH($B99, Scores!$I$1:$Q$1, 0)))</f>
        <v>11</v>
      </c>
      <c r="G99" s="1" t="str">
        <f>INDEX(Scores!$B$2:$B$910, MATCH('Next Gen'!$A99, Scores!$F$2:$F$910, 0))</f>
        <v>mid</v>
      </c>
      <c r="H99" s="1" t="str">
        <f>INDEX(Scores!$D$2:$D$910, MATCH('Next Gen'!$A99, Scores!$F$2:$F$910, 0))</f>
        <v>Original</v>
      </c>
      <c r="I99" s="4">
        <f>INDEX(Scores!$E$2:$E$910, MATCH('Next Gen'!$A99, Scores!$F$2:$F$910, 0))</f>
        <v>45825</v>
      </c>
      <c r="L99"/>
    </row>
    <row r="100" spans="1:12">
      <c r="A100" s="1">
        <v>114</v>
      </c>
      <c r="B100" s="1" t="s">
        <v>6</v>
      </c>
      <c r="C100" s="1">
        <v>9</v>
      </c>
      <c r="D100" s="1">
        <v>4</v>
      </c>
      <c r="E100" s="1">
        <v>1</v>
      </c>
      <c r="F100" s="1">
        <f>SUMIF(Scores!$F$2:$F$910, 'Next Gen'!$A100, INDEX(Scores!$I$2:$Q$910, 0, MATCH($B100, Scores!$I$1:$Q$1, 0)))</f>
        <v>1</v>
      </c>
      <c r="G100" s="1" t="str">
        <f>INDEX(Scores!$B$2:$B$910, MATCH('Next Gen'!$A101, Scores!$F$2:$F$910, 0))</f>
        <v>mid</v>
      </c>
      <c r="H100" s="1" t="str">
        <f>INDEX(Scores!$D$2:$D$910, MATCH('Next Gen'!$A100, Scores!$F$2:$F$910, 0))</f>
        <v>Original</v>
      </c>
      <c r="I100" s="4">
        <f>INDEX(Scores!$E$2:$E$910, MATCH('Next Gen'!$A101, Scores!$F$2:$F$910, 0))</f>
        <v>45825</v>
      </c>
      <c r="L100"/>
    </row>
    <row r="101" spans="1:12">
      <c r="A101" s="1">
        <v>114</v>
      </c>
      <c r="B101" s="1" t="s">
        <v>4</v>
      </c>
      <c r="C101" s="1">
        <v>9</v>
      </c>
      <c r="D101" s="1">
        <v>8</v>
      </c>
      <c r="E101" s="1">
        <v>0</v>
      </c>
      <c r="F101" s="1">
        <f>SUMIF(Scores!$F$2:$F$910, 'Next Gen'!$A101, INDEX(Scores!$I$2:$Q$910, 0, MATCH($B101, Scores!$I$1:$Q$1, 0)))</f>
        <v>0</v>
      </c>
      <c r="G101" s="1" t="str">
        <f>INDEX(Scores!$B$2:$B$910, MATCH('Next Gen'!$A100, Scores!$F$2:$F$910, 0))</f>
        <v>mid</v>
      </c>
      <c r="H101" s="1" t="str">
        <f>INDEX(Scores!$D$2:$D$910, MATCH('Next Gen'!$A101, Scores!$F$2:$F$910, 0))</f>
        <v>Original</v>
      </c>
      <c r="I101" s="4">
        <f>INDEX(Scores!$E$2:$E$910, MATCH('Next Gen'!$A100, Scores!$F$2:$F$910, 0))</f>
        <v>45825</v>
      </c>
      <c r="L101"/>
    </row>
    <row r="102" spans="1:12">
      <c r="A102" s="1">
        <v>115</v>
      </c>
      <c r="B102" s="1" t="s">
        <v>4</v>
      </c>
      <c r="C102" s="1">
        <v>9</v>
      </c>
      <c r="D102" s="1">
        <v>8</v>
      </c>
      <c r="E102" s="1">
        <v>5</v>
      </c>
      <c r="F102" s="1">
        <f>SUMIF(Scores!$F$2:$F$910, 'Next Gen'!$A102, INDEX(Scores!$I$2:$Q$910, 0, MATCH($B102, Scores!$I$1:$Q$1, 0)))</f>
        <v>14</v>
      </c>
      <c r="G102" s="1" t="str">
        <f>INDEX(Scores!$B$2:$B$910, MATCH('Next Gen'!$A103, Scores!$F$2:$F$910, 0))</f>
        <v>high</v>
      </c>
      <c r="H102" s="1" t="str">
        <f>INDEX(Scores!$D$2:$D$910, MATCH('Next Gen'!$A102, Scores!$F$2:$F$910, 0))</f>
        <v>Original</v>
      </c>
      <c r="I102" s="4">
        <f>INDEX(Scores!$E$2:$E$910, MATCH('Next Gen'!$A103, Scores!$F$2:$F$910, 0))</f>
        <v>45825</v>
      </c>
      <c r="L102"/>
    </row>
    <row r="103" spans="1:12">
      <c r="A103" s="1">
        <v>115</v>
      </c>
      <c r="B103" s="1" t="s">
        <v>5</v>
      </c>
      <c r="C103" s="1">
        <v>9</v>
      </c>
      <c r="D103" s="1">
        <v>8</v>
      </c>
      <c r="E103" s="1">
        <v>5</v>
      </c>
      <c r="F103" s="1">
        <f>SUMIF(Scores!$F$2:$F$910, 'Next Gen'!$A103, INDEX(Scores!$I$2:$Q$910, 0, MATCH($B103, Scores!$I$1:$Q$1, 0)))</f>
        <v>10</v>
      </c>
      <c r="G103" s="1" t="str">
        <f>INDEX(Scores!$B$2:$B$910, MATCH('Next Gen'!$A102, Scores!$F$2:$F$910, 0))</f>
        <v>high</v>
      </c>
      <c r="H103" s="1" t="str">
        <f>INDEX(Scores!$D$2:$D$910, MATCH('Next Gen'!$A103, Scores!$F$2:$F$910, 0))</f>
        <v>Original</v>
      </c>
      <c r="I103" s="4">
        <f>INDEX(Scores!$E$2:$E$910, MATCH('Next Gen'!$A102, Scores!$F$2:$F$910, 0))</f>
        <v>45825</v>
      </c>
      <c r="L103"/>
    </row>
    <row r="104" spans="1:12">
      <c r="A104" s="1">
        <v>115</v>
      </c>
      <c r="B104" s="1" t="s">
        <v>6</v>
      </c>
      <c r="C104" s="1">
        <v>9</v>
      </c>
      <c r="D104" s="1">
        <v>6</v>
      </c>
      <c r="E104" s="1">
        <v>2</v>
      </c>
      <c r="F104" s="1">
        <f>SUMIF(Scores!$F$2:$F$910, 'Next Gen'!$A104, INDEX(Scores!$I$2:$Q$910, 0, MATCH($B104, Scores!$I$1:$Q$1, 0)))</f>
        <v>2</v>
      </c>
      <c r="G104" s="1" t="str">
        <f>INDEX(Scores!$B$2:$B$910, MATCH('Next Gen'!$A104, Scores!$F$2:$F$910, 0))</f>
        <v>high</v>
      </c>
      <c r="H104" s="1" t="str">
        <f>INDEX(Scores!$D$2:$D$910, MATCH('Next Gen'!$A104, Scores!$F$2:$F$910, 0))</f>
        <v>Original</v>
      </c>
      <c r="I104" s="4">
        <f>INDEX(Scores!$E$2:$E$910, MATCH('Next Gen'!$A104, Scores!$F$2:$F$910, 0))</f>
        <v>45825</v>
      </c>
      <c r="L104"/>
    </row>
    <row r="105" spans="1:12">
      <c r="A105" s="1">
        <v>116</v>
      </c>
      <c r="B105" s="1" t="s">
        <v>5</v>
      </c>
      <c r="C105" s="1">
        <v>12</v>
      </c>
      <c r="D105" s="1">
        <v>10</v>
      </c>
      <c r="E105" s="1">
        <v>4</v>
      </c>
      <c r="F105" s="1">
        <f>SUMIF(Scores!$F$2:$F$910, 'Next Gen'!$A105, INDEX(Scores!$I$2:$Q$910, 0, MATCH($B105, Scores!$I$1:$Q$1, 0)))</f>
        <v>10</v>
      </c>
      <c r="G105" s="1" t="str">
        <f>INDEX(Scores!$B$2:$B$910, MATCH('Next Gen'!$A105, Scores!$F$2:$F$910, 0))</f>
        <v>mid</v>
      </c>
      <c r="H105" s="1" t="str">
        <f>INDEX(Scores!$D$2:$D$910, MATCH('Next Gen'!$A105, Scores!$F$2:$F$910, 0))</f>
        <v>Original</v>
      </c>
      <c r="I105" s="4">
        <f>INDEX(Scores!$E$2:$E$910, MATCH('Next Gen'!$A105, Scores!$F$2:$F$910, 0))</f>
        <v>45826</v>
      </c>
      <c r="L105"/>
    </row>
    <row r="106" spans="1:12">
      <c r="A106" s="1">
        <v>116</v>
      </c>
      <c r="B106" s="1" t="s">
        <v>4</v>
      </c>
      <c r="C106" s="1">
        <v>12</v>
      </c>
      <c r="D106" s="1">
        <v>10</v>
      </c>
      <c r="E106" s="1">
        <v>4</v>
      </c>
      <c r="F106" s="1">
        <f>SUMIF(Scores!$F$2:$F$910, 'Next Gen'!$A106, INDEX(Scores!$I$2:$Q$910, 0, MATCH($B106, Scores!$I$1:$Q$1, 0)))</f>
        <v>7</v>
      </c>
      <c r="G106" s="1" t="str">
        <f>INDEX(Scores!$B$2:$B$910, MATCH('Next Gen'!$A106, Scores!$F$2:$F$910, 0))</f>
        <v>mid</v>
      </c>
      <c r="H106" s="1" t="str">
        <f>INDEX(Scores!$D$2:$D$910, MATCH('Next Gen'!$A106, Scores!$F$2:$F$910, 0))</f>
        <v>Original</v>
      </c>
      <c r="I106" s="4">
        <f>INDEX(Scores!$E$2:$E$910, MATCH('Next Gen'!$A106, Scores!$F$2:$F$910, 0))</f>
        <v>45826</v>
      </c>
      <c r="L106"/>
    </row>
    <row r="107" spans="1:12">
      <c r="A107" s="1">
        <v>117</v>
      </c>
      <c r="B107" s="1" t="s">
        <v>4</v>
      </c>
      <c r="C107" s="1">
        <v>9</v>
      </c>
      <c r="D107" s="1">
        <v>9</v>
      </c>
      <c r="E107" s="1">
        <v>5</v>
      </c>
      <c r="F107" s="1">
        <f>SUMIF(Scores!$F$2:$F$910, 'Next Gen'!$A107, INDEX(Scores!$I$2:$Q$910, 0, MATCH($B107, Scores!$I$1:$Q$1, 0)))</f>
        <v>14</v>
      </c>
      <c r="G107" s="1" t="str">
        <f>INDEX(Scores!$B$2:$B$910, MATCH('Next Gen'!$A108, Scores!$F$2:$F$910, 0))</f>
        <v>low</v>
      </c>
      <c r="H107" s="1" t="str">
        <f>INDEX(Scores!$D$2:$D$910, MATCH('Next Gen'!$A107, Scores!$F$2:$F$910, 0))</f>
        <v>Original</v>
      </c>
      <c r="I107" s="4">
        <f>INDEX(Scores!$E$2:$E$910, MATCH('Next Gen'!$A108, Scores!$F$2:$F$910, 0))</f>
        <v>45826</v>
      </c>
      <c r="L107"/>
    </row>
    <row r="108" spans="1:12">
      <c r="A108" s="1">
        <v>117</v>
      </c>
      <c r="B108" s="1" t="s">
        <v>5</v>
      </c>
      <c r="C108" s="1">
        <v>9</v>
      </c>
      <c r="D108" s="1">
        <v>7</v>
      </c>
      <c r="E108" s="1">
        <v>2</v>
      </c>
      <c r="F108" s="1">
        <f>SUMIF(Scores!$F$2:$F$910, 'Next Gen'!$A108, INDEX(Scores!$I$2:$Q$910, 0, MATCH($B108, Scores!$I$1:$Q$1, 0)))</f>
        <v>2</v>
      </c>
      <c r="G108" s="1" t="str">
        <f>INDEX(Scores!$B$2:$B$910, MATCH('Next Gen'!$A107, Scores!$F$2:$F$910, 0))</f>
        <v>low</v>
      </c>
      <c r="H108" s="1" t="str">
        <f>INDEX(Scores!$D$2:$D$910, MATCH('Next Gen'!$A108, Scores!$F$2:$F$910, 0))</f>
        <v>Original</v>
      </c>
      <c r="I108" s="4">
        <f>INDEX(Scores!$E$2:$E$910, MATCH('Next Gen'!$A107, Scores!$F$2:$F$910, 0))</f>
        <v>45826</v>
      </c>
      <c r="L108"/>
    </row>
    <row r="109" spans="1:12">
      <c r="A109" s="1">
        <v>118</v>
      </c>
      <c r="B109" s="1" t="s">
        <v>4</v>
      </c>
      <c r="C109" s="1">
        <v>9</v>
      </c>
      <c r="D109" s="1">
        <v>7</v>
      </c>
      <c r="E109" s="1">
        <v>4</v>
      </c>
      <c r="F109" s="1">
        <f>SUMIF(Scores!$F$2:$F$910, 'Next Gen'!$A109, INDEX(Scores!$I$2:$Q$910, 0, MATCH($B109, Scores!$I$1:$Q$1, 0)))</f>
        <v>9</v>
      </c>
      <c r="G109" s="1" t="str">
        <f>INDEX(Scores!$B$2:$B$910, MATCH('Next Gen'!$A110, Scores!$F$2:$F$910, 0))</f>
        <v>high</v>
      </c>
      <c r="H109" s="1" t="str">
        <f>INDEX(Scores!$D$2:$D$910, MATCH('Next Gen'!$A109, Scores!$F$2:$F$910, 0))</f>
        <v>Original</v>
      </c>
      <c r="I109" s="4">
        <f>INDEX(Scores!$E$2:$E$910, MATCH('Next Gen'!$A110, Scores!$F$2:$F$910, 0))</f>
        <v>45826</v>
      </c>
      <c r="L109"/>
    </row>
    <row r="110" spans="1:12">
      <c r="A110" s="1">
        <v>118</v>
      </c>
      <c r="B110" s="1" t="s">
        <v>5</v>
      </c>
      <c r="C110" s="1">
        <v>9</v>
      </c>
      <c r="D110" s="1">
        <v>8</v>
      </c>
      <c r="E110" s="1">
        <v>2</v>
      </c>
      <c r="F110" s="1">
        <f>SUMIF(Scores!$F$2:$F$910, 'Next Gen'!$A110, INDEX(Scores!$I$2:$Q$910, 0, MATCH($B110, Scores!$I$1:$Q$1, 0)))</f>
        <v>5</v>
      </c>
      <c r="G110" s="1" t="str">
        <f>INDEX(Scores!$B$2:$B$910, MATCH('Next Gen'!$A109, Scores!$F$2:$F$910, 0))</f>
        <v>high</v>
      </c>
      <c r="H110" s="1" t="str">
        <f>INDEX(Scores!$D$2:$D$910, MATCH('Next Gen'!$A110, Scores!$F$2:$F$910, 0))</f>
        <v>Original</v>
      </c>
      <c r="I110" s="4">
        <f>INDEX(Scores!$E$2:$E$910, MATCH('Next Gen'!$A109, Scores!$F$2:$F$910, 0))</f>
        <v>45826</v>
      </c>
      <c r="L110"/>
    </row>
    <row r="111" spans="1:12">
      <c r="A111" s="1">
        <v>119</v>
      </c>
      <c r="B111" s="1" t="s">
        <v>5</v>
      </c>
      <c r="C111" s="1">
        <v>9</v>
      </c>
      <c r="D111" s="1">
        <v>9</v>
      </c>
      <c r="E111" s="1">
        <v>6</v>
      </c>
      <c r="F111" s="1">
        <f>SUMIF(Scores!$F$2:$F$910, 'Next Gen'!$A111, INDEX(Scores!$I$2:$Q$910, 0, MATCH($B111, Scores!$I$1:$Q$1, 0)))</f>
        <v>13</v>
      </c>
      <c r="G111" s="1" t="str">
        <f>INDEX(Scores!$B$2:$B$910, MATCH('Next Gen'!$A111, Scores!$F$2:$F$910, 0))</f>
        <v>mid</v>
      </c>
      <c r="H111" s="1" t="str">
        <f>INDEX(Scores!$D$2:$D$910, MATCH('Next Gen'!$A111, Scores!$F$2:$F$910, 0))</f>
        <v>Original</v>
      </c>
      <c r="I111" s="4">
        <f>INDEX(Scores!$E$2:$E$910, MATCH('Next Gen'!$A111, Scores!$F$2:$F$910, 0))</f>
        <v>45827</v>
      </c>
      <c r="L111"/>
    </row>
    <row r="112" spans="1:12">
      <c r="A112" s="1">
        <v>119</v>
      </c>
      <c r="B112" s="1" t="s">
        <v>4</v>
      </c>
      <c r="C112" s="1">
        <v>9</v>
      </c>
      <c r="D112" s="1">
        <v>9</v>
      </c>
      <c r="E112" s="1">
        <v>4</v>
      </c>
      <c r="F112" s="1">
        <f>SUMIF(Scores!$F$2:$F$910, 'Next Gen'!$A112, INDEX(Scores!$I$2:$Q$910, 0, MATCH($B112, Scores!$I$1:$Q$1, 0)))</f>
        <v>8</v>
      </c>
      <c r="G112" s="1" t="str">
        <f>INDEX(Scores!$B$2:$B$910, MATCH('Next Gen'!$A112, Scores!$F$2:$F$910, 0))</f>
        <v>mid</v>
      </c>
      <c r="H112" s="1" t="str">
        <f>INDEX(Scores!$D$2:$D$910, MATCH('Next Gen'!$A112, Scores!$F$2:$F$910, 0))</f>
        <v>Original</v>
      </c>
      <c r="I112" s="4">
        <f>INDEX(Scores!$E$2:$E$910, MATCH('Next Gen'!$A112, Scores!$F$2:$F$910, 0))</f>
        <v>45827</v>
      </c>
      <c r="L112"/>
    </row>
    <row r="113" spans="1:12" ht="17" customHeight="1">
      <c r="A113" s="1">
        <v>120</v>
      </c>
      <c r="B113" s="1" t="s">
        <v>4</v>
      </c>
      <c r="C113" s="1">
        <v>12</v>
      </c>
      <c r="D113" s="1">
        <v>12</v>
      </c>
      <c r="E113" s="1">
        <v>6</v>
      </c>
      <c r="F113" s="1">
        <f>SUMIF(Scores!$F$2:$F$910, 'Next Gen'!$A113, INDEX(Scores!$I$2:$Q$910, 0, MATCH($B113, Scores!$I$1:$Q$1, 0)))</f>
        <v>12</v>
      </c>
      <c r="G113" s="1" t="str">
        <f>INDEX(Scores!$B$2:$B$910, MATCH('Next Gen'!$A114, Scores!$F$2:$F$910, 0))</f>
        <v>mid</v>
      </c>
      <c r="H113" s="1" t="str">
        <f>INDEX(Scores!$D$2:$D$910, MATCH('Next Gen'!$A113, Scores!$F$2:$F$910, 0))</f>
        <v>Original</v>
      </c>
      <c r="I113" s="4">
        <f>INDEX(Scores!$E$2:$E$910, MATCH('Next Gen'!$A114, Scores!$F$2:$F$910, 0))</f>
        <v>45827</v>
      </c>
      <c r="L113"/>
    </row>
    <row r="114" spans="1:12">
      <c r="A114" s="1">
        <v>120</v>
      </c>
      <c r="B114" s="1" t="s">
        <v>5</v>
      </c>
      <c r="C114" s="1">
        <v>12</v>
      </c>
      <c r="D114" s="1">
        <v>12</v>
      </c>
      <c r="E114" s="1">
        <v>5</v>
      </c>
      <c r="F114" s="1">
        <f>SUMIF(Scores!$F$2:$F$910, 'Next Gen'!$A114, INDEX(Scores!$I$2:$Q$910, 0, MATCH($B114, Scores!$I$1:$Q$1, 0)))</f>
        <v>8</v>
      </c>
      <c r="G114" s="1" t="str">
        <f>INDEX(Scores!$B$2:$B$910, MATCH('Next Gen'!$A113, Scores!$F$2:$F$910, 0))</f>
        <v>mid</v>
      </c>
      <c r="H114" s="1" t="str">
        <f>INDEX(Scores!$D$2:$D$910, MATCH('Next Gen'!$A114, Scores!$F$2:$F$910, 0))</f>
        <v>Original</v>
      </c>
      <c r="I114" s="4">
        <f>INDEX(Scores!$E$2:$E$910, MATCH('Next Gen'!$A113, Scores!$F$2:$F$910, 0))</f>
        <v>45827</v>
      </c>
      <c r="L114"/>
    </row>
    <row r="115" spans="1:12" ht="17" customHeight="1">
      <c r="A115" s="1">
        <v>121</v>
      </c>
      <c r="B115" s="1" t="s">
        <v>4</v>
      </c>
      <c r="C115" s="1">
        <v>9</v>
      </c>
      <c r="D115" s="1">
        <v>7</v>
      </c>
      <c r="E115" s="1">
        <v>5</v>
      </c>
      <c r="F115" s="1">
        <f>SUMIF(Scores!$F$2:$F$910, 'Next Gen'!$A115, INDEX(Scores!$I$2:$Q$910, 0, MATCH($B115, Scores!$I$1:$Q$1, 0)))</f>
        <v>10</v>
      </c>
      <c r="G115" s="1" t="str">
        <f>INDEX(Scores!$B$2:$B$910, MATCH('Next Gen'!$A116, Scores!$F$2:$F$910, 0))</f>
        <v>mid</v>
      </c>
      <c r="H115" s="1" t="str">
        <f>INDEX(Scores!$D$2:$D$910, MATCH('Next Gen'!$A115, Scores!$F$2:$F$910, 0))</f>
        <v>Original</v>
      </c>
      <c r="I115" s="4">
        <f>INDEX(Scores!$E$2:$E$910, MATCH('Next Gen'!$A116, Scores!$F$2:$F$910, 0))</f>
        <v>45828</v>
      </c>
      <c r="L115"/>
    </row>
    <row r="116" spans="1:12">
      <c r="A116" s="1">
        <v>121</v>
      </c>
      <c r="B116" s="1" t="s">
        <v>5</v>
      </c>
      <c r="C116" s="1">
        <v>9</v>
      </c>
      <c r="D116" s="1">
        <v>7</v>
      </c>
      <c r="E116" s="1">
        <v>4</v>
      </c>
      <c r="F116" s="1">
        <f>SUMIF(Scores!$F$2:$F$910, 'Next Gen'!$A116, INDEX(Scores!$I$2:$Q$910, 0, MATCH($B116, Scores!$I$1:$Q$1, 0)))</f>
        <v>6</v>
      </c>
      <c r="G116" s="1" t="str">
        <f>INDEX(Scores!$B$2:$B$910, MATCH('Next Gen'!$A115, Scores!$F$2:$F$910, 0))</f>
        <v>mid</v>
      </c>
      <c r="H116" s="1" t="str">
        <f>INDEX(Scores!$D$2:$D$910, MATCH('Next Gen'!$A116, Scores!$F$2:$F$910, 0))</f>
        <v>Original</v>
      </c>
      <c r="I116" s="4">
        <f>INDEX(Scores!$E$2:$E$910, MATCH('Next Gen'!$A115, Scores!$F$2:$F$910, 0))</f>
        <v>45828</v>
      </c>
      <c r="L116"/>
    </row>
    <row r="117" spans="1:12" ht="17" customHeight="1">
      <c r="A117" s="1">
        <v>122</v>
      </c>
      <c r="B117" s="1" t="s">
        <v>5</v>
      </c>
      <c r="C117" s="1">
        <v>9</v>
      </c>
      <c r="D117" s="1">
        <v>7</v>
      </c>
      <c r="E117" s="1">
        <v>6</v>
      </c>
      <c r="F117" s="1">
        <f>SUMIF(Scores!$F$2:$F$910, 'Next Gen'!$A117, INDEX(Scores!$I$2:$Q$910, 0, MATCH($B117, Scores!$I$1:$Q$1, 0)))</f>
        <v>11</v>
      </c>
      <c r="G117" s="1" t="str">
        <f>INDEX(Scores!$B$2:$B$910, MATCH('Next Gen'!$A117, Scores!$F$2:$F$910, 0))</f>
        <v>high</v>
      </c>
      <c r="H117" s="1" t="str">
        <f>INDEX(Scores!$D$2:$D$910, MATCH('Next Gen'!$A117, Scores!$F$2:$F$910, 0))</f>
        <v>Original</v>
      </c>
      <c r="I117" s="4">
        <f>INDEX(Scores!$E$2:$E$910, MATCH('Next Gen'!$A117, Scores!$F$2:$F$910, 0))</f>
        <v>45828</v>
      </c>
      <c r="L117"/>
    </row>
    <row r="118" spans="1:12">
      <c r="A118" s="1">
        <v>122</v>
      </c>
      <c r="B118" s="1" t="s">
        <v>4</v>
      </c>
      <c r="C118" s="1">
        <v>9</v>
      </c>
      <c r="D118" s="1">
        <v>7</v>
      </c>
      <c r="E118" s="1">
        <v>3</v>
      </c>
      <c r="F118" s="1">
        <f>SUMIF(Scores!$F$2:$F$910, 'Next Gen'!$A118, INDEX(Scores!$I$2:$Q$910, 0, MATCH($B118, Scores!$I$1:$Q$1, 0)))</f>
        <v>7</v>
      </c>
      <c r="G118" s="1" t="str">
        <f>INDEX(Scores!$B$2:$B$910, MATCH('Next Gen'!$A118, Scores!$F$2:$F$910, 0))</f>
        <v>high</v>
      </c>
      <c r="H118" s="1" t="str">
        <f>INDEX(Scores!$D$2:$D$910, MATCH('Next Gen'!$A118, Scores!$F$2:$F$910, 0))</f>
        <v>Original</v>
      </c>
      <c r="I118" s="4">
        <f>INDEX(Scores!$E$2:$E$910, MATCH('Next Gen'!$A118, Scores!$F$2:$F$910, 0))</f>
        <v>45828</v>
      </c>
      <c r="L118"/>
    </row>
    <row r="119" spans="1:12" ht="17" customHeight="1">
      <c r="A119" s="1">
        <v>123</v>
      </c>
      <c r="B119" s="1" t="s">
        <v>4</v>
      </c>
      <c r="C119" s="1">
        <v>9</v>
      </c>
      <c r="D119" s="1">
        <v>8</v>
      </c>
      <c r="E119" s="1">
        <v>4</v>
      </c>
      <c r="F119" s="1">
        <f>SUMIF(Scores!$F$2:$F$910, 'Next Gen'!$A119, INDEX(Scores!$I$2:$Q$910, 0, MATCH($B119, Scores!$I$1:$Q$1, 0)))</f>
        <v>11</v>
      </c>
      <c r="G119" s="1" t="str">
        <f>INDEX(Scores!$B$2:$B$910, MATCH('Next Gen'!$A120, Scores!$F$2:$F$910, 0))</f>
        <v>low</v>
      </c>
      <c r="H119" s="1" t="str">
        <f>INDEX(Scores!$D$2:$D$910, MATCH('Next Gen'!$A119, Scores!$F$2:$F$910, 0))</f>
        <v>Original</v>
      </c>
      <c r="I119" s="4">
        <f>INDEX(Scores!$E$2:$E$910, MATCH('Next Gen'!$A120, Scores!$F$2:$F$910, 0))</f>
        <v>45828</v>
      </c>
      <c r="L119"/>
    </row>
    <row r="120" spans="1:12">
      <c r="A120" s="1">
        <v>123</v>
      </c>
      <c r="B120" s="1" t="s">
        <v>5</v>
      </c>
      <c r="C120" s="1">
        <v>9</v>
      </c>
      <c r="D120" s="1">
        <v>8</v>
      </c>
      <c r="E120" s="1">
        <v>2</v>
      </c>
      <c r="F120" s="1">
        <f>SUMIF(Scores!$F$2:$F$910, 'Next Gen'!$A120, INDEX(Scores!$I$2:$Q$910, 0, MATCH($B120, Scores!$I$1:$Q$1, 0)))</f>
        <v>3</v>
      </c>
      <c r="G120" s="1" t="str">
        <f>INDEX(Scores!$B$2:$B$910, MATCH('Next Gen'!$A119, Scores!$F$2:$F$910, 0))</f>
        <v>low</v>
      </c>
      <c r="H120" s="1" t="str">
        <f>INDEX(Scores!$D$2:$D$910, MATCH('Next Gen'!$A120, Scores!$F$2:$F$910, 0))</f>
        <v>Original</v>
      </c>
      <c r="I120" s="4">
        <f>INDEX(Scores!$E$2:$E$910, MATCH('Next Gen'!$A119, Scores!$F$2:$F$910, 0))</f>
        <v>45828</v>
      </c>
      <c r="L120"/>
    </row>
    <row r="121" spans="1:12" ht="17" customHeight="1">
      <c r="A121" s="1">
        <v>124</v>
      </c>
      <c r="B121" s="1" t="s">
        <v>5</v>
      </c>
      <c r="C121" s="1">
        <v>9</v>
      </c>
      <c r="D121" s="1">
        <v>7</v>
      </c>
      <c r="E121" s="1">
        <v>4</v>
      </c>
      <c r="F121" s="1">
        <f>SUMIF(Scores!$F$2:$F$910, 'Next Gen'!$A121, INDEX(Scores!$I$2:$Q$910, 0, MATCH($B121, Scores!$I$1:$Q$1, 0)))</f>
        <v>12</v>
      </c>
      <c r="G121" s="1" t="str">
        <f>INDEX(Scores!$B$2:$B$910, MATCH('Next Gen'!$A121, Scores!$F$2:$F$910, 0))</f>
        <v>mid</v>
      </c>
      <c r="H121" s="1" t="str">
        <f>INDEX(Scores!$D$2:$D$910, MATCH('Next Gen'!$A121, Scores!$F$2:$F$910, 0))</f>
        <v>Original</v>
      </c>
      <c r="I121" s="4">
        <f>INDEX(Scores!$E$2:$E$910, MATCH('Next Gen'!$A121, Scores!$F$2:$F$910, 0))</f>
        <v>45831</v>
      </c>
      <c r="L121"/>
    </row>
    <row r="122" spans="1:12">
      <c r="A122" s="1">
        <v>124</v>
      </c>
      <c r="B122" s="1" t="s">
        <v>78</v>
      </c>
      <c r="C122" s="1">
        <v>9</v>
      </c>
      <c r="D122" s="1">
        <v>2</v>
      </c>
      <c r="E122" s="1">
        <v>1</v>
      </c>
      <c r="F122" s="1">
        <f>SUMIF(Scores!$F$2:$F$910, 'Next Gen'!$A122, INDEX(Scores!$I$2:$Q$910, 0, MATCH($B122, Scores!$I$1:$Q$1, 0)))</f>
        <v>2</v>
      </c>
      <c r="G122" s="1" t="str">
        <f>INDEX(Scores!$B$2:$B$910, MATCH('Next Gen'!$A122, Scores!$F$2:$F$910, 0))</f>
        <v>mid</v>
      </c>
      <c r="H122" s="1" t="str">
        <f>INDEX(Scores!$D$2:$D$910, MATCH('Next Gen'!$A122, Scores!$F$2:$F$910, 0))</f>
        <v>Original</v>
      </c>
      <c r="I122" s="4">
        <f>INDEX(Scores!$E$2:$E$910, MATCH('Next Gen'!$A122, Scores!$F$2:$F$910, 0))</f>
        <v>45831</v>
      </c>
      <c r="L122"/>
    </row>
    <row r="123" spans="1:12" ht="17" customHeight="1">
      <c r="A123" s="1">
        <v>125</v>
      </c>
      <c r="B123" s="1" t="s">
        <v>5</v>
      </c>
      <c r="C123" s="1">
        <v>9</v>
      </c>
      <c r="D123" s="1">
        <v>8</v>
      </c>
      <c r="E123" s="1">
        <v>6</v>
      </c>
      <c r="F123" s="1">
        <f>SUMIF(Scores!$F$2:$F$910, 'Next Gen'!$A123, INDEX(Scores!$I$2:$Q$910, 0, MATCH($B123, Scores!$I$1:$Q$1, 0)))</f>
        <v>10</v>
      </c>
      <c r="G123" s="1" t="str">
        <f>INDEX(Scores!$B$2:$B$910, MATCH('Next Gen'!$A123, Scores!$F$2:$F$910, 0))</f>
        <v>mid</v>
      </c>
      <c r="H123" s="1" t="str">
        <f>INDEX(Scores!$D$2:$D$910, MATCH('Next Gen'!$A123, Scores!$F$2:$F$910, 0))</f>
        <v>Original</v>
      </c>
      <c r="I123" s="4">
        <f>INDEX(Scores!$E$2:$E$910, MATCH('Next Gen'!$A123, Scores!$F$2:$F$910, 0))</f>
        <v>45831</v>
      </c>
      <c r="L123"/>
    </row>
    <row r="124" spans="1:12">
      <c r="A124" s="1">
        <v>125</v>
      </c>
      <c r="B124" s="1" t="s">
        <v>4</v>
      </c>
      <c r="C124" s="1">
        <v>9</v>
      </c>
      <c r="D124" s="1">
        <v>9</v>
      </c>
      <c r="E124" s="1">
        <v>3</v>
      </c>
      <c r="F124" s="1">
        <f>SUMIF(Scores!$F$2:$F$910, 'Next Gen'!$A124, INDEX(Scores!$I$2:$Q$910, 0, MATCH($B124, Scores!$I$1:$Q$1, 0)))</f>
        <v>9</v>
      </c>
      <c r="G124" s="1" t="str">
        <f>INDEX(Scores!$B$2:$B$910, MATCH('Next Gen'!$A124, Scores!$F$2:$F$910, 0))</f>
        <v>mid</v>
      </c>
      <c r="H124" s="1" t="str">
        <f>INDEX(Scores!$D$2:$D$910, MATCH('Next Gen'!$A124, Scores!$F$2:$F$910, 0))</f>
        <v>Original</v>
      </c>
      <c r="I124" s="4">
        <f>INDEX(Scores!$E$2:$E$910, MATCH('Next Gen'!$A124, Scores!$F$2:$F$910, 0))</f>
        <v>45831</v>
      </c>
      <c r="L124"/>
    </row>
    <row r="125" spans="1:12" ht="17" customHeight="1">
      <c r="A125" s="1">
        <v>126</v>
      </c>
      <c r="B125" s="1" t="s">
        <v>4</v>
      </c>
      <c r="C125" s="1">
        <v>15</v>
      </c>
      <c r="D125" s="1">
        <v>13</v>
      </c>
      <c r="E125" s="1">
        <v>4</v>
      </c>
      <c r="F125" s="1">
        <f>SUMIF(Scores!$F$2:$F$910, 'Next Gen'!$A125, INDEX(Scores!$I$2:$Q$910, 0, MATCH($B125, Scores!$I$1:$Q$1, 0)))</f>
        <v>9</v>
      </c>
      <c r="G125" s="1" t="str">
        <f>INDEX(Scores!$B$2:$B$910, MATCH('Next Gen'!$A126, Scores!$F$2:$F$910, 0))</f>
        <v>mid</v>
      </c>
      <c r="H125" s="1" t="str">
        <f>INDEX(Scores!$D$2:$D$910, MATCH('Next Gen'!$A125, Scores!$F$2:$F$910, 0))</f>
        <v>Original</v>
      </c>
      <c r="I125" s="4">
        <f>INDEX(Scores!$E$2:$E$910, MATCH('Next Gen'!$A126, Scores!$F$2:$F$910, 0))</f>
        <v>45832</v>
      </c>
      <c r="L125"/>
    </row>
    <row r="126" spans="1:12">
      <c r="A126" s="1">
        <v>126</v>
      </c>
      <c r="B126" s="1" t="s">
        <v>5</v>
      </c>
      <c r="C126" s="1">
        <v>15</v>
      </c>
      <c r="D126" s="1">
        <v>13</v>
      </c>
      <c r="E126" s="1">
        <v>3</v>
      </c>
      <c r="F126" s="1">
        <f>SUMIF(Scores!$F$2:$F$910, 'Next Gen'!$A126, INDEX(Scores!$I$2:$Q$910, 0, MATCH($B126, Scores!$I$1:$Q$1, 0)))</f>
        <v>5</v>
      </c>
      <c r="G126" s="1" t="str">
        <f>INDEX(Scores!$B$2:$B$910, MATCH('Next Gen'!$A125, Scores!$F$2:$F$910, 0))</f>
        <v>mid</v>
      </c>
      <c r="H126" s="1" t="str">
        <f>INDEX(Scores!$D$2:$D$910, MATCH('Next Gen'!$A126, Scores!$F$2:$F$910, 0))</f>
        <v>Original</v>
      </c>
      <c r="I126" s="4">
        <f>INDEX(Scores!$E$2:$E$910, MATCH('Next Gen'!$A125, Scores!$F$2:$F$910, 0))</f>
        <v>45832</v>
      </c>
      <c r="L126"/>
    </row>
    <row r="127" spans="1:12" ht="17" customHeight="1">
      <c r="A127" s="1">
        <v>127</v>
      </c>
      <c r="B127" s="1" t="s">
        <v>5</v>
      </c>
      <c r="C127" s="1">
        <v>9</v>
      </c>
      <c r="D127" s="1">
        <v>9</v>
      </c>
      <c r="E127" s="1">
        <v>5</v>
      </c>
      <c r="F127" s="1">
        <f>SUMIF(Scores!$F$2:$F$910, 'Next Gen'!$A127, INDEX(Scores!$I$2:$Q$910, 0, MATCH($B127, Scores!$I$1:$Q$1, 0)))</f>
        <v>11</v>
      </c>
      <c r="G127" s="1" t="str">
        <f>INDEX(Scores!$B$2:$B$910, MATCH('Next Gen'!$A127, Scores!$F$2:$F$910, 0))</f>
        <v>mid</v>
      </c>
      <c r="H127" s="1" t="str">
        <f>INDEX(Scores!$D$2:$D$910, MATCH('Next Gen'!$A127, Scores!$F$2:$F$910, 0))</f>
        <v>Original</v>
      </c>
      <c r="I127" s="4">
        <f>INDEX(Scores!$E$2:$E$910, MATCH('Next Gen'!$A127, Scores!$F$2:$F$910, 0))</f>
        <v>45832</v>
      </c>
      <c r="L127"/>
    </row>
    <row r="128" spans="1:12">
      <c r="A128" s="1">
        <v>127</v>
      </c>
      <c r="B128" s="1" t="s">
        <v>6</v>
      </c>
      <c r="C128" s="1">
        <v>9</v>
      </c>
      <c r="D128" s="1">
        <v>4</v>
      </c>
      <c r="E128" s="1">
        <v>2</v>
      </c>
      <c r="F128" s="1">
        <f>SUMIF(Scores!$F$2:$F$910, 'Next Gen'!$A128, INDEX(Scores!$I$2:$Q$910, 0, MATCH($B128, Scores!$I$1:$Q$1, 0)))</f>
        <v>4</v>
      </c>
      <c r="G128" s="1" t="str">
        <f>INDEX(Scores!$B$2:$B$910, MATCH('Next Gen'!$A129, Scores!$F$2:$F$910, 0))</f>
        <v>mid</v>
      </c>
      <c r="H128" s="1" t="str">
        <f>INDEX(Scores!$D$2:$D$910, MATCH('Next Gen'!$A128, Scores!$F$2:$F$910, 0))</f>
        <v>Original</v>
      </c>
      <c r="I128" s="4">
        <f>INDEX(Scores!$E$2:$E$910, MATCH('Next Gen'!$A129, Scores!$F$2:$F$910, 0))</f>
        <v>45832</v>
      </c>
      <c r="L128"/>
    </row>
    <row r="129" spans="1:12">
      <c r="A129" s="1">
        <v>127</v>
      </c>
      <c r="B129" s="1" t="s">
        <v>4</v>
      </c>
      <c r="C129" s="1">
        <v>9</v>
      </c>
      <c r="D129" s="1">
        <v>9</v>
      </c>
      <c r="E129" s="1">
        <v>2</v>
      </c>
      <c r="F129" s="1">
        <f>SUMIF(Scores!$F$2:$F$910, 'Next Gen'!$A129, INDEX(Scores!$I$2:$Q$910, 0, MATCH($B129, Scores!$I$1:$Q$1, 0)))</f>
        <v>2</v>
      </c>
      <c r="G129" s="1" t="str">
        <f>INDEX(Scores!$B$2:$B$910, MATCH('Next Gen'!$A128, Scores!$F$2:$F$910, 0))</f>
        <v>mid</v>
      </c>
      <c r="H129" s="1" t="str">
        <f>INDEX(Scores!$D$2:$D$910, MATCH('Next Gen'!$A129, Scores!$F$2:$F$910, 0))</f>
        <v>Original</v>
      </c>
      <c r="I129" s="4">
        <f>INDEX(Scores!$E$2:$E$910, MATCH('Next Gen'!$A128, Scores!$F$2:$F$910, 0))</f>
        <v>45832</v>
      </c>
      <c r="L129"/>
    </row>
    <row r="130" spans="1:12">
      <c r="A130" s="1">
        <v>128</v>
      </c>
      <c r="B130" s="1" t="s">
        <v>4</v>
      </c>
      <c r="C130" s="1">
        <v>9</v>
      </c>
      <c r="D130" s="1">
        <v>8</v>
      </c>
      <c r="E130" s="1">
        <v>5</v>
      </c>
      <c r="F130" s="1">
        <f>SUMIF(Scores!$F$2:$F$910, 'Next Gen'!$A130, INDEX(Scores!$I$2:$Q$910, 0, MATCH($B130, Scores!$I$1:$Q$1, 0)))</f>
        <v>7</v>
      </c>
      <c r="G130" s="1" t="str">
        <f>INDEX(Scores!$B$2:$B$910, MATCH('Next Gen'!$A130, Scores!$F$2:$F$910, 0))</f>
        <v>mid</v>
      </c>
      <c r="H130" s="1" t="str">
        <f>INDEX(Scores!$D$2:$D$910, MATCH('Next Gen'!$A130, Scores!$F$2:$F$910, 0))</f>
        <v>Original</v>
      </c>
      <c r="I130" s="4">
        <f>INDEX(Scores!$E$2:$E$910, MATCH('Next Gen'!$A130, Scores!$F$2:$F$910, 0))</f>
        <v>45832</v>
      </c>
      <c r="L130"/>
    </row>
    <row r="131" spans="1:12">
      <c r="A131" s="1">
        <v>128</v>
      </c>
      <c r="B131" s="1" t="s">
        <v>5</v>
      </c>
      <c r="C131" s="1">
        <v>9</v>
      </c>
      <c r="D131" s="1">
        <v>8</v>
      </c>
      <c r="E131" s="1">
        <v>2</v>
      </c>
      <c r="F131" s="1">
        <f>SUMIF(Scores!$F$2:$F$910, 'Next Gen'!$A131, INDEX(Scores!$I$2:$Q$910, 0, MATCH($B131, Scores!$I$1:$Q$1, 0)))</f>
        <v>2</v>
      </c>
      <c r="G131" s="1" t="str">
        <f>INDEX(Scores!$B$2:$B$910, MATCH('Next Gen'!$A131, Scores!$F$2:$F$910, 0))</f>
        <v>mid</v>
      </c>
      <c r="H131" s="1" t="str">
        <f>INDEX(Scores!$D$2:$D$910, MATCH('Next Gen'!$A131, Scores!$F$2:$F$910, 0))</f>
        <v>Original</v>
      </c>
      <c r="I131" s="4">
        <f>INDEX(Scores!$E$2:$E$910, MATCH('Next Gen'!$A131, Scores!$F$2:$F$910, 0))</f>
        <v>45832</v>
      </c>
      <c r="L131"/>
    </row>
    <row r="132" spans="1:12">
      <c r="A132" s="1">
        <v>129</v>
      </c>
      <c r="B132" s="1" t="s">
        <v>5</v>
      </c>
      <c r="C132" s="1">
        <v>9</v>
      </c>
      <c r="D132" s="1">
        <v>8</v>
      </c>
      <c r="E132" s="1">
        <v>4</v>
      </c>
      <c r="F132" s="1">
        <f>SUMIF(Scores!$F$2:$F$910, 'Next Gen'!$A132, INDEX(Scores!$I$2:$Q$910, 0, MATCH($B132, Scores!$I$1:$Q$1, 0)))</f>
        <v>7</v>
      </c>
      <c r="G132" s="1" t="str">
        <f>INDEX(Scores!$B$2:$B$910, MATCH('Next Gen'!$A133, Scores!$F$2:$F$910, 0))</f>
        <v>mid</v>
      </c>
      <c r="H132" s="1" t="str">
        <f>INDEX(Scores!$D$2:$D$910, MATCH('Next Gen'!$A132, Scores!$F$2:$F$910, 0))</f>
        <v>Original</v>
      </c>
      <c r="I132" s="4">
        <f>INDEX(Scores!$E$2:$E$910, MATCH('Next Gen'!$A133, Scores!$F$2:$F$910, 0))</f>
        <v>45833</v>
      </c>
      <c r="L132"/>
    </row>
    <row r="133" spans="1:12">
      <c r="A133" s="1">
        <v>129</v>
      </c>
      <c r="B133" s="1" t="s">
        <v>4</v>
      </c>
      <c r="C133" s="1">
        <v>9</v>
      </c>
      <c r="D133" s="1">
        <v>9</v>
      </c>
      <c r="E133" s="1">
        <v>0</v>
      </c>
      <c r="F133" s="1">
        <f>SUMIF(Scores!$F$2:$F$910, 'Next Gen'!$A133, INDEX(Scores!$I$2:$Q$910, 0, MATCH($B133, Scores!$I$1:$Q$1, 0)))</f>
        <v>0</v>
      </c>
      <c r="G133" s="1" t="str">
        <f>INDEX(Scores!$B$2:$B$910, MATCH('Next Gen'!$A132, Scores!$F$2:$F$910, 0))</f>
        <v>mid</v>
      </c>
      <c r="H133" s="1" t="str">
        <f>INDEX(Scores!$D$2:$D$910, MATCH('Next Gen'!$A133, Scores!$F$2:$F$910, 0))</f>
        <v>Original</v>
      </c>
      <c r="I133" s="4">
        <f>INDEX(Scores!$E$2:$E$910, MATCH('Next Gen'!$A132, Scores!$F$2:$F$910, 0))</f>
        <v>45833</v>
      </c>
      <c r="L133"/>
    </row>
    <row r="134" spans="1:12">
      <c r="A134" s="1">
        <v>130</v>
      </c>
      <c r="B134" s="1" t="s">
        <v>4</v>
      </c>
      <c r="C134" s="1">
        <v>9</v>
      </c>
      <c r="D134" s="1">
        <v>9</v>
      </c>
      <c r="E134" s="1">
        <v>6</v>
      </c>
      <c r="F134" s="1">
        <f>SUMIF(Scores!$F$2:$F$910, 'Next Gen'!$A134, INDEX(Scores!$I$2:$Q$910, 0, MATCH($B134, Scores!$I$1:$Q$1, 0)))</f>
        <v>14</v>
      </c>
      <c r="G134" s="1" t="str">
        <f>INDEX(Scores!$B$2:$B$910, MATCH('Next Gen'!$A135, Scores!$F$2:$F$910, 0))</f>
        <v>mid</v>
      </c>
      <c r="H134" s="1" t="str">
        <f>INDEX(Scores!$D$2:$D$910, MATCH('Next Gen'!$A134, Scores!$F$2:$F$910, 0))</f>
        <v>Original</v>
      </c>
      <c r="I134" s="4">
        <f>INDEX(Scores!$E$2:$E$910, MATCH('Next Gen'!$A135, Scores!$F$2:$F$910, 0))</f>
        <v>45833</v>
      </c>
      <c r="L134"/>
    </row>
    <row r="135" spans="1:12">
      <c r="A135" s="1">
        <v>130</v>
      </c>
      <c r="B135" s="1" t="s">
        <v>78</v>
      </c>
      <c r="C135" s="1">
        <v>9</v>
      </c>
      <c r="D135" s="1">
        <v>4</v>
      </c>
      <c r="E135" s="1">
        <v>1</v>
      </c>
      <c r="F135" s="1">
        <f>SUMIF(Scores!$F$2:$F$910, 'Next Gen'!$A135, INDEX(Scores!$I$2:$Q$910, 0, MATCH($B135, Scores!$I$1:$Q$1, 0)))</f>
        <v>1</v>
      </c>
      <c r="G135" s="1" t="str">
        <f>INDEX(Scores!$B$2:$B$910, MATCH('Next Gen'!$A136, Scores!$F$2:$F$910, 0))</f>
        <v>mid</v>
      </c>
      <c r="H135" s="1" t="str">
        <f>INDEX(Scores!$D$2:$D$910, MATCH('Next Gen'!$A135, Scores!$F$2:$F$910, 0))</f>
        <v>Original</v>
      </c>
      <c r="I135" s="4">
        <f>INDEX(Scores!$E$2:$E$910, MATCH('Next Gen'!$A136, Scores!$F$2:$F$910, 0))</f>
        <v>45833</v>
      </c>
      <c r="L135"/>
    </row>
    <row r="136" spans="1:12">
      <c r="A136" s="1">
        <v>130</v>
      </c>
      <c r="B136" s="1" t="s">
        <v>5</v>
      </c>
      <c r="C136" s="1">
        <v>9</v>
      </c>
      <c r="D136" s="1">
        <v>7</v>
      </c>
      <c r="E136" s="1">
        <v>0</v>
      </c>
      <c r="F136" s="1">
        <f>SUMIF(Scores!$F$2:$F$910, 'Next Gen'!$A136, INDEX(Scores!$I$2:$Q$910, 0, MATCH($B136, Scores!$I$1:$Q$1, 0)))</f>
        <v>0</v>
      </c>
      <c r="G136" s="1" t="str">
        <f>INDEX(Scores!$B$2:$B$910, MATCH('Next Gen'!$A134, Scores!$F$2:$F$910, 0))</f>
        <v>mid</v>
      </c>
      <c r="H136" s="1" t="str">
        <f>INDEX(Scores!$D$2:$D$910, MATCH('Next Gen'!$A136, Scores!$F$2:$F$910, 0))</f>
        <v>Original</v>
      </c>
      <c r="I136" s="4">
        <f>INDEX(Scores!$E$2:$E$910, MATCH('Next Gen'!$A134, Scores!$F$2:$F$910, 0))</f>
        <v>45833</v>
      </c>
      <c r="L136"/>
    </row>
    <row r="137" spans="1:12">
      <c r="A137" s="1">
        <v>131</v>
      </c>
      <c r="B137" s="1" t="s">
        <v>4</v>
      </c>
      <c r="C137" s="1">
        <v>12</v>
      </c>
      <c r="D137" s="1">
        <v>12</v>
      </c>
      <c r="E137" s="1">
        <v>5</v>
      </c>
      <c r="F137" s="1">
        <f>SUMIF(Scores!$F$2:$F$910, 'Next Gen'!$A137, INDEX(Scores!$I$2:$Q$910, 0, MATCH($B137, Scores!$I$1:$Q$1, 0)))</f>
        <v>9</v>
      </c>
      <c r="G137" s="1" t="str">
        <f>INDEX(Scores!$B$2:$B$910, MATCH('Next Gen'!$A137, Scores!$F$2:$F$910, 0))</f>
        <v>mid</v>
      </c>
      <c r="H137" s="1" t="str">
        <f>INDEX(Scores!$D$2:$D$910, MATCH('Next Gen'!$A137, Scores!$F$2:$F$910, 0))</f>
        <v>Original</v>
      </c>
      <c r="I137" s="4">
        <f>INDEX(Scores!$E$2:$E$910, MATCH('Next Gen'!$A137, Scores!$F$2:$F$910, 0))</f>
        <v>45833</v>
      </c>
      <c r="L137"/>
    </row>
    <row r="138" spans="1:12">
      <c r="A138" s="1">
        <v>131</v>
      </c>
      <c r="B138" s="1" t="s">
        <v>5</v>
      </c>
      <c r="C138" s="1">
        <v>12</v>
      </c>
      <c r="D138" s="1">
        <v>10</v>
      </c>
      <c r="E138" s="1">
        <v>5</v>
      </c>
      <c r="F138" s="1">
        <f>SUMIF(Scores!$F$2:$F$910, 'Next Gen'!$A138, INDEX(Scores!$I$2:$Q$910, 0, MATCH($B138, Scores!$I$1:$Q$1, 0)))</f>
        <v>7</v>
      </c>
      <c r="G138" s="1" t="str">
        <f>INDEX(Scores!$B$2:$B$910, MATCH('Next Gen'!$A138, Scores!$F$2:$F$910, 0))</f>
        <v>mid</v>
      </c>
      <c r="H138" s="1" t="str">
        <f>INDEX(Scores!$D$2:$D$910, MATCH('Next Gen'!$A138, Scores!$F$2:$F$910, 0))</f>
        <v>Original</v>
      </c>
      <c r="I138" s="4">
        <f>INDEX(Scores!$E$2:$E$910, MATCH('Next Gen'!$A138, Scores!$F$2:$F$910, 0))</f>
        <v>45833</v>
      </c>
      <c r="L138"/>
    </row>
    <row r="139" spans="1:12">
      <c r="A139" s="1">
        <v>132</v>
      </c>
      <c r="B139" s="1" t="s">
        <v>4</v>
      </c>
      <c r="C139" s="1">
        <v>9</v>
      </c>
      <c r="D139" s="1">
        <v>9</v>
      </c>
      <c r="E139" s="1">
        <v>4</v>
      </c>
      <c r="F139" s="1">
        <f>SUMIF(Scores!$F$2:$F$910, 'Next Gen'!$A139, INDEX(Scores!$I$2:$Q$910, 0, MATCH($B139, Scores!$I$1:$Q$1, 0)))</f>
        <v>10</v>
      </c>
      <c r="G139" s="1" t="str">
        <f>INDEX(Scores!$B$2:$B$910, MATCH('Next Gen'!$A139, Scores!$F$2:$F$910, 0))</f>
        <v>mid</v>
      </c>
      <c r="H139" s="1" t="str">
        <f>INDEX(Scores!$D$2:$D$910, MATCH('Next Gen'!$A139, Scores!$F$2:$F$910, 0))</f>
        <v>Original</v>
      </c>
      <c r="I139" s="4">
        <f>INDEX(Scores!$E$2:$E$910, MATCH('Next Gen'!$A139, Scores!$F$2:$F$910, 0))</f>
        <v>45834</v>
      </c>
      <c r="L139"/>
    </row>
    <row r="140" spans="1:12">
      <c r="A140" s="1">
        <v>132</v>
      </c>
      <c r="B140" s="1" t="s">
        <v>5</v>
      </c>
      <c r="C140" s="1">
        <v>9</v>
      </c>
      <c r="D140" s="1">
        <v>8</v>
      </c>
      <c r="E140" s="1">
        <v>2</v>
      </c>
      <c r="F140" s="1">
        <f>SUMIF(Scores!$F$2:$F$910, 'Next Gen'!$A140, INDEX(Scores!$I$2:$Q$910, 0, MATCH($B140, Scores!$I$1:$Q$1, 0)))</f>
        <v>4</v>
      </c>
      <c r="G140" s="1" t="str">
        <f>INDEX(Scores!$B$2:$B$910, MATCH('Next Gen'!$A140, Scores!$F$2:$F$910, 0))</f>
        <v>mid</v>
      </c>
      <c r="H140" s="1" t="str">
        <f>INDEX(Scores!$D$2:$D$910, MATCH('Next Gen'!$A140, Scores!$F$2:$F$910, 0))</f>
        <v>Original</v>
      </c>
      <c r="I140" s="4">
        <f>INDEX(Scores!$E$2:$E$910, MATCH('Next Gen'!$A140, Scores!$F$2:$F$910, 0))</f>
        <v>45834</v>
      </c>
      <c r="L140"/>
    </row>
    <row r="141" spans="1:12">
      <c r="A141" s="1">
        <v>132</v>
      </c>
      <c r="B141" s="1" t="s">
        <v>78</v>
      </c>
      <c r="C141" s="1">
        <v>9</v>
      </c>
      <c r="D141" s="1">
        <v>4</v>
      </c>
      <c r="E141" s="1">
        <v>2</v>
      </c>
      <c r="F141" s="1">
        <f>SUMIF(Scores!$F$2:$F$910, 'Next Gen'!$A141, INDEX(Scores!$I$2:$Q$910, 0, MATCH($B141, Scores!$I$1:$Q$1, 0)))</f>
        <v>4</v>
      </c>
      <c r="G141" s="1" t="str">
        <f>INDEX(Scores!$B$2:$B$910, MATCH('Next Gen'!$A141, Scores!$F$2:$F$910, 0))</f>
        <v>mid</v>
      </c>
      <c r="H141" s="1" t="str">
        <f>INDEX(Scores!$D$2:$D$910, MATCH('Next Gen'!$A141, Scores!$F$2:$F$910, 0))</f>
        <v>Original</v>
      </c>
      <c r="I141" s="4">
        <f>INDEX(Scores!$E$2:$E$910, MATCH('Next Gen'!$A141, Scores!$F$2:$F$910, 0))</f>
        <v>45834</v>
      </c>
      <c r="L141"/>
    </row>
    <row r="142" spans="1:12">
      <c r="A142" s="1">
        <v>133</v>
      </c>
      <c r="B142" s="1" t="s">
        <v>4</v>
      </c>
      <c r="C142" s="1">
        <v>9</v>
      </c>
      <c r="D142" s="1">
        <v>9</v>
      </c>
      <c r="E142" s="1">
        <v>5</v>
      </c>
      <c r="F142" s="1">
        <f>SUMIF(Scores!$F$2:$F$910, 'Next Gen'!$A142, INDEX(Scores!$I$2:$Q$910, 0, MATCH($B142, Scores!$I$1:$Q$1, 0)))</f>
        <v>10</v>
      </c>
      <c r="G142" s="1" t="str">
        <f>INDEX(Scores!$B$2:$B$910, MATCH('Next Gen'!$A142, Scores!$F$2:$F$910, 0))</f>
        <v>mid</v>
      </c>
      <c r="H142" s="1" t="str">
        <f>INDEX(Scores!$D$2:$D$910, MATCH('Next Gen'!$A142, Scores!$F$2:$F$910, 0))</f>
        <v>Original</v>
      </c>
      <c r="I142" s="4">
        <f>INDEX(Scores!$E$2:$E$910, MATCH('Next Gen'!$A142, Scores!$F$2:$F$910, 0))</f>
        <v>45834</v>
      </c>
      <c r="L142"/>
    </row>
    <row r="143" spans="1:12">
      <c r="A143" s="1">
        <v>133</v>
      </c>
      <c r="B143" s="1" t="s">
        <v>5</v>
      </c>
      <c r="C143" s="1">
        <v>9</v>
      </c>
      <c r="D143" s="1">
        <v>8</v>
      </c>
      <c r="E143" s="1">
        <v>3</v>
      </c>
      <c r="F143" s="1">
        <f>SUMIF(Scores!$F$2:$F$910, 'Next Gen'!$A143, INDEX(Scores!$I$2:$Q$910, 0, MATCH($B143, Scores!$I$1:$Q$1, 0)))</f>
        <v>4</v>
      </c>
      <c r="G143" s="1" t="str">
        <f>INDEX(Scores!$B$2:$B$910, MATCH('Next Gen'!$A143, Scores!$F$2:$F$910, 0))</f>
        <v>mid</v>
      </c>
      <c r="H143" s="1" t="str">
        <f>INDEX(Scores!$D$2:$D$910, MATCH('Next Gen'!$A143, Scores!$F$2:$F$910, 0))</f>
        <v>Original</v>
      </c>
      <c r="I143" s="4">
        <f>INDEX(Scores!$E$2:$E$910, MATCH('Next Gen'!$A143, Scores!$F$2:$F$910, 0))</f>
        <v>45834</v>
      </c>
      <c r="L143"/>
    </row>
    <row r="144" spans="1:12">
      <c r="A144" s="1">
        <v>134</v>
      </c>
      <c r="B144" s="1" t="s">
        <v>4</v>
      </c>
      <c r="C144" s="1">
        <v>9</v>
      </c>
      <c r="D144" s="1">
        <v>9</v>
      </c>
      <c r="E144" s="1">
        <v>3</v>
      </c>
      <c r="F144" s="1">
        <f>SUMIF(Scores!$F$2:$F$910, 'Next Gen'!$A144, INDEX(Scores!$I$2:$Q$910, 0, MATCH($B144, Scores!$I$1:$Q$1, 0)))</f>
        <v>6</v>
      </c>
      <c r="G144" s="1" t="str">
        <f>INDEX(Scores!$B$2:$B$910, MATCH('Next Gen'!$A144, Scores!$F$2:$F$910, 0))</f>
        <v>mid</v>
      </c>
      <c r="H144" s="1" t="str">
        <f>INDEX(Scores!$D$2:$D$910, MATCH('Next Gen'!$A144, Scores!$F$2:$F$910, 0))</f>
        <v>Original</v>
      </c>
      <c r="I144" s="4">
        <f>INDEX(Scores!$E$2:$E$910, MATCH('Next Gen'!$A144, Scores!$F$2:$F$910, 0))</f>
        <v>45835</v>
      </c>
      <c r="L144"/>
    </row>
    <row r="145" spans="1:12">
      <c r="A145" s="1">
        <v>134</v>
      </c>
      <c r="B145" s="1" t="s">
        <v>78</v>
      </c>
      <c r="C145" s="1">
        <v>9</v>
      </c>
      <c r="D145" s="1">
        <v>5</v>
      </c>
      <c r="E145" s="1">
        <v>1</v>
      </c>
      <c r="F145" s="1">
        <f>SUMIF(Scores!$F$2:$F$910, 'Next Gen'!$A145, INDEX(Scores!$I$2:$Q$910, 0, MATCH($B145, Scores!$I$1:$Q$1, 0)))</f>
        <v>3</v>
      </c>
      <c r="G145" s="1" t="str">
        <f>INDEX(Scores!$B$2:$B$910, MATCH('Next Gen'!$A145, Scores!$F$2:$F$910, 0))</f>
        <v>mid</v>
      </c>
      <c r="H145" s="1" t="str">
        <f>INDEX(Scores!$D$2:$D$910, MATCH('Next Gen'!$A145, Scores!$F$2:$F$910, 0))</f>
        <v>Original</v>
      </c>
      <c r="I145" s="4">
        <f>INDEX(Scores!$E$2:$E$910, MATCH('Next Gen'!$A145, Scores!$F$2:$F$910, 0))</f>
        <v>45835</v>
      </c>
      <c r="L145"/>
    </row>
    <row r="146" spans="1:12">
      <c r="A146" s="1">
        <v>135</v>
      </c>
      <c r="B146" s="1" t="s">
        <v>4</v>
      </c>
      <c r="C146" s="1">
        <v>9</v>
      </c>
      <c r="D146" s="1">
        <v>8</v>
      </c>
      <c r="E146" s="1">
        <v>6</v>
      </c>
      <c r="F146" s="1">
        <f>SUMIF(Scores!$F$2:$F$910, 'Next Gen'!$A146, INDEX(Scores!$I$2:$Q$910, 0, MATCH($B146, Scores!$I$1:$Q$1, 0)))</f>
        <v>16</v>
      </c>
      <c r="G146" s="1" t="str">
        <f>INDEX(Scores!$B$2:$B$910, MATCH('Next Gen'!$A146, Scores!$F$2:$F$910, 0))</f>
        <v>mid</v>
      </c>
      <c r="H146" s="1" t="str">
        <f>INDEX(Scores!$D$2:$D$910, MATCH('Next Gen'!$A146, Scores!$F$2:$F$910, 0))</f>
        <v>Original</v>
      </c>
      <c r="I146" s="4">
        <f>INDEX(Scores!$E$2:$E$910, MATCH('Next Gen'!$A146, Scores!$F$2:$F$910, 0))</f>
        <v>45835</v>
      </c>
      <c r="L146"/>
    </row>
    <row r="147" spans="1:12">
      <c r="A147" s="1">
        <v>135</v>
      </c>
      <c r="B147" s="1" t="s">
        <v>5</v>
      </c>
      <c r="C147" s="1">
        <v>9</v>
      </c>
      <c r="D147" s="1">
        <v>5</v>
      </c>
      <c r="E147" s="1">
        <v>0</v>
      </c>
      <c r="F147" s="1">
        <f>SUMIF(Scores!$F$2:$F$910, 'Next Gen'!$A147, INDEX(Scores!$I$2:$Q$910, 0, MATCH($B147, Scores!$I$1:$Q$1, 0)))</f>
        <v>0</v>
      </c>
      <c r="G147" s="1" t="str">
        <f>INDEX(Scores!$B$2:$B$910, MATCH('Next Gen'!$A147, Scores!$F$2:$F$910, 0))</f>
        <v>mid</v>
      </c>
      <c r="H147" s="1" t="str">
        <f>INDEX(Scores!$D$2:$D$910, MATCH('Next Gen'!$A147, Scores!$F$2:$F$910, 0))</f>
        <v>Original</v>
      </c>
      <c r="I147" s="4">
        <f>INDEX(Scores!$E$2:$E$910, MATCH('Next Gen'!$A147, Scores!$F$2:$F$910, 0))</f>
        <v>45835</v>
      </c>
      <c r="L147"/>
    </row>
    <row r="148" spans="1:12">
      <c r="A148" s="1">
        <v>136</v>
      </c>
      <c r="B148" s="1" t="s">
        <v>5</v>
      </c>
      <c r="C148" s="1">
        <v>9</v>
      </c>
      <c r="D148" s="1">
        <v>8</v>
      </c>
      <c r="E148" s="1">
        <v>4</v>
      </c>
      <c r="F148" s="1">
        <f>SUMIF(Scores!$F$2:$F$910, 'Next Gen'!$A148, INDEX(Scores!$I$2:$Q$910, 0, MATCH($B148, Scores!$I$1:$Q$1, 0)))</f>
        <v>9</v>
      </c>
      <c r="G148" s="1" t="str">
        <f>INDEX(Scores!$B$2:$B$910, MATCH('Next Gen'!$A149, Scores!$F$2:$F$910, 0))</f>
        <v>high</v>
      </c>
      <c r="H148" s="1" t="str">
        <f>INDEX(Scores!$D$2:$D$910, MATCH('Next Gen'!$A148, Scores!$F$2:$F$910, 0))</f>
        <v>Original</v>
      </c>
      <c r="I148" s="4">
        <f>INDEX(Scores!$E$2:$E$910, MATCH('Next Gen'!$A149, Scores!$F$2:$F$910, 0))</f>
        <v>45835</v>
      </c>
      <c r="L148"/>
    </row>
    <row r="149" spans="1:12">
      <c r="A149" s="1">
        <v>136</v>
      </c>
      <c r="B149" s="1" t="s">
        <v>4</v>
      </c>
      <c r="C149" s="1">
        <v>9</v>
      </c>
      <c r="D149" s="1">
        <v>7</v>
      </c>
      <c r="E149" s="1">
        <v>2</v>
      </c>
      <c r="F149" s="1">
        <f>SUMIF(Scores!$F$2:$F$910, 'Next Gen'!$A149, INDEX(Scores!$I$2:$Q$910, 0, MATCH($B149, Scores!$I$1:$Q$1, 0)))</f>
        <v>4</v>
      </c>
      <c r="G149" s="1" t="str">
        <f>INDEX(Scores!$B$2:$B$910, MATCH('Next Gen'!$A148, Scores!$F$2:$F$910, 0))</f>
        <v>high</v>
      </c>
      <c r="H149" s="1" t="str">
        <f>INDEX(Scores!$D$2:$D$910, MATCH('Next Gen'!$A149, Scores!$F$2:$F$910, 0))</f>
        <v>Original</v>
      </c>
      <c r="I149" s="4">
        <f>INDEX(Scores!$E$2:$E$910, MATCH('Next Gen'!$A148, Scores!$F$2:$F$910, 0))</f>
        <v>45835</v>
      </c>
      <c r="L149"/>
    </row>
    <row r="150" spans="1:12">
      <c r="A150" s="1">
        <v>137</v>
      </c>
      <c r="B150" s="1" t="s">
        <v>5</v>
      </c>
      <c r="C150" s="1">
        <v>9</v>
      </c>
      <c r="D150" s="1">
        <v>9</v>
      </c>
      <c r="E150" s="1">
        <v>4</v>
      </c>
      <c r="F150" s="1">
        <f>SUMIF(Scores!$F$2:$F$910, 'Next Gen'!$A150, INDEX(Scores!$I$2:$Q$910, 0, MATCH($B150, Scores!$I$1:$Q$1, 0)))</f>
        <v>9</v>
      </c>
      <c r="G150" s="1" t="str">
        <f>INDEX(Scores!$B$2:$B$910, MATCH('Next Gen'!$A151, Scores!$F$2:$F$910, 0))</f>
        <v>mid</v>
      </c>
      <c r="H150" s="1" t="str">
        <f>INDEX(Scores!$D$2:$D$910, MATCH('Next Gen'!$A150, Scores!$F$2:$F$910, 0))</f>
        <v>Original</v>
      </c>
      <c r="I150" s="4">
        <f>INDEX(Scores!$E$2:$E$910, MATCH('Next Gen'!$A151, Scores!$F$2:$F$910, 0))</f>
        <v>45838</v>
      </c>
      <c r="L150"/>
    </row>
    <row r="151" spans="1:12">
      <c r="A151" s="1">
        <v>137</v>
      </c>
      <c r="B151" s="1" t="s">
        <v>78</v>
      </c>
      <c r="C151" s="1">
        <v>9</v>
      </c>
      <c r="D151" s="1">
        <v>5</v>
      </c>
      <c r="E151" s="1">
        <v>1</v>
      </c>
      <c r="F151" s="1">
        <f>SUMIF(Scores!$F$2:$F$910, 'Next Gen'!$A151, INDEX(Scores!$I$2:$Q$910, 0, MATCH($B151, Scores!$I$1:$Q$1, 0)))</f>
        <v>1</v>
      </c>
      <c r="G151" s="1" t="str">
        <f>INDEX(Scores!$B$2:$B$910, MATCH('Next Gen'!$A152, Scores!$F$2:$F$910, 0))</f>
        <v>mid</v>
      </c>
      <c r="H151" s="1" t="str">
        <f>INDEX(Scores!$D$2:$D$910, MATCH('Next Gen'!$A151, Scores!$F$2:$F$910, 0))</f>
        <v>Original</v>
      </c>
      <c r="I151" s="4">
        <f>INDEX(Scores!$E$2:$E$910, MATCH('Next Gen'!$A152, Scores!$F$2:$F$910, 0))</f>
        <v>45838</v>
      </c>
      <c r="L151"/>
    </row>
    <row r="152" spans="1:12">
      <c r="A152" s="1">
        <v>137</v>
      </c>
      <c r="B152" s="1" t="s">
        <v>4</v>
      </c>
      <c r="C152" s="1">
        <v>9</v>
      </c>
      <c r="D152" s="1">
        <v>9</v>
      </c>
      <c r="E152" s="1">
        <v>1</v>
      </c>
      <c r="F152" s="1">
        <f>SUMIF(Scores!$F$2:$F$910, 'Next Gen'!$A152, INDEX(Scores!$I$2:$Q$910, 0, MATCH($B152, Scores!$I$1:$Q$1, 0)))</f>
        <v>5</v>
      </c>
      <c r="G152" s="1" t="str">
        <f>INDEX(Scores!$B$2:$B$910, MATCH('Next Gen'!$A150, Scores!$F$2:$F$910, 0))</f>
        <v>mid</v>
      </c>
      <c r="H152" s="1" t="str">
        <f>INDEX(Scores!$D$2:$D$910, MATCH('Next Gen'!$A152, Scores!$F$2:$F$910, 0))</f>
        <v>Original</v>
      </c>
      <c r="I152" s="4">
        <f>INDEX(Scores!$E$2:$E$910, MATCH('Next Gen'!$A150, Scores!$F$2:$F$910, 0))</f>
        <v>45838</v>
      </c>
    </row>
    <row r="153" spans="1:12">
      <c r="A153" s="1">
        <v>138</v>
      </c>
      <c r="B153" s="1" t="s">
        <v>4</v>
      </c>
      <c r="C153" s="1">
        <v>9</v>
      </c>
      <c r="D153" s="1">
        <v>8</v>
      </c>
      <c r="E153" s="1">
        <v>5</v>
      </c>
      <c r="F153" s="1">
        <f>SUMIF(Scores!$F$2:$F$910, 'Next Gen'!$A153, INDEX(Scores!$I$2:$Q$910, 0, MATCH($B153, Scores!$I$1:$Q$1, 0)))</f>
        <v>13</v>
      </c>
      <c r="G153" s="1" t="str">
        <f>INDEX(Scores!$B$2:$B$910, MATCH('Next Gen'!$A153, Scores!$F$2:$F$910, 0))</f>
        <v>high</v>
      </c>
      <c r="H153" s="1" t="str">
        <f>INDEX(Scores!$D$2:$D$910, MATCH('Next Gen'!$A153, Scores!$F$2:$F$910, 0))</f>
        <v>Original</v>
      </c>
      <c r="I153" s="4">
        <f>INDEX(Scores!$E$2:$E$910, MATCH('Next Gen'!$A153, Scores!$F$2:$F$910, 0))</f>
        <v>45838</v>
      </c>
    </row>
    <row r="154" spans="1:12">
      <c r="A154" s="1">
        <v>138</v>
      </c>
      <c r="B154" s="1" t="s">
        <v>78</v>
      </c>
      <c r="C154" s="1">
        <v>9</v>
      </c>
      <c r="D154" s="1">
        <v>5</v>
      </c>
      <c r="E154" s="1">
        <v>3</v>
      </c>
      <c r="F154" s="1">
        <f>SUMIF(Scores!$F$2:$F$910, 'Next Gen'!$A154, INDEX(Scores!$I$2:$Q$910, 0, MATCH($B154, Scores!$I$1:$Q$1, 0)))</f>
        <v>3</v>
      </c>
      <c r="G154" s="1" t="str">
        <f>INDEX(Scores!$B$2:$B$910, MATCH('Next Gen'!$A155, Scores!$F$2:$F$910, 0))</f>
        <v>high</v>
      </c>
      <c r="H154" s="1" t="str">
        <f>INDEX(Scores!$D$2:$D$910, MATCH('Next Gen'!$A154, Scores!$F$2:$F$910, 0))</f>
        <v>Original</v>
      </c>
      <c r="I154" s="4">
        <f>INDEX(Scores!$E$2:$E$910, MATCH('Next Gen'!$A155, Scores!$F$2:$F$910, 0))</f>
        <v>45838</v>
      </c>
    </row>
    <row r="155" spans="1:12">
      <c r="A155" s="1">
        <v>138</v>
      </c>
      <c r="B155" s="1" t="s">
        <v>5</v>
      </c>
      <c r="C155" s="1">
        <v>9</v>
      </c>
      <c r="D155" s="1">
        <v>5</v>
      </c>
      <c r="E155" s="1">
        <v>2</v>
      </c>
      <c r="F155" s="1">
        <f>SUMIF(Scores!$F$2:$F$910, 'Next Gen'!$A155, INDEX(Scores!$I$2:$Q$910, 0, MATCH($B155, Scores!$I$1:$Q$1, 0)))</f>
        <v>3</v>
      </c>
      <c r="G155" s="1" t="str">
        <f>INDEX(Scores!$B$2:$B$910, MATCH('Next Gen'!$A154, Scores!$F$2:$F$910, 0))</f>
        <v>high</v>
      </c>
      <c r="H155" s="1" t="str">
        <f>INDEX(Scores!$D$2:$D$910, MATCH('Next Gen'!$A155, Scores!$F$2:$F$910, 0))</f>
        <v>Original</v>
      </c>
      <c r="I155" s="4">
        <f>INDEX(Scores!$E$2:$E$910, MATCH('Next Gen'!$A154, Scores!$F$2:$F$910, 0))</f>
        <v>45838</v>
      </c>
    </row>
    <row r="156" spans="1:12">
      <c r="A156" s="1">
        <v>139</v>
      </c>
      <c r="B156" s="1" t="s">
        <v>5</v>
      </c>
      <c r="C156" s="1">
        <v>9</v>
      </c>
      <c r="D156" s="1">
        <v>9</v>
      </c>
      <c r="E156" s="1">
        <v>3</v>
      </c>
      <c r="F156" s="1">
        <f>SUMIF(Scores!$F$2:$F$910, 'Next Gen'!$A156, INDEX(Scores!$I$2:$Q$910, 0, MATCH($B156, Scores!$I$1:$Q$1, 0)))</f>
        <v>4</v>
      </c>
      <c r="G156" s="1" t="str">
        <f>INDEX(Scores!$B$2:$B$910, MATCH('Next Gen'!$A157, Scores!$F$2:$F$910, 0))</f>
        <v>mid</v>
      </c>
      <c r="H156" s="1" t="str">
        <f>INDEX(Scores!$D$2:$D$910, MATCH('Next Gen'!$A156, Scores!$F$2:$F$910, 0))</f>
        <v>Original</v>
      </c>
      <c r="I156" s="4">
        <f>INDEX(Scores!$E$2:$E$910, MATCH('Next Gen'!$A157, Scores!$F$2:$F$910, 0))</f>
        <v>45838</v>
      </c>
    </row>
    <row r="157" spans="1:12">
      <c r="A157" s="1">
        <v>139</v>
      </c>
      <c r="B157" s="1" t="s">
        <v>6</v>
      </c>
      <c r="C157" s="1">
        <v>9</v>
      </c>
      <c r="D157" s="1">
        <v>5</v>
      </c>
      <c r="E157" s="1">
        <v>3</v>
      </c>
      <c r="F157" s="1">
        <f>SUMIF(Scores!$F$2:$F$910, 'Next Gen'!$A157, INDEX(Scores!$I$2:$Q$910, 0, MATCH($B157, Scores!$I$1:$Q$1, 0)))</f>
        <v>5</v>
      </c>
      <c r="G157" s="1" t="str">
        <f>INDEX(Scores!$B$2:$B$910, MATCH('Next Gen'!$A158, Scores!$F$2:$F$910, 0))</f>
        <v>mid</v>
      </c>
      <c r="H157" s="1" t="str">
        <f>INDEX(Scores!$D$2:$D$910, MATCH('Next Gen'!$A157, Scores!$F$2:$F$910, 0))</f>
        <v>Original</v>
      </c>
      <c r="I157" s="4">
        <f>INDEX(Scores!$E$2:$E$910, MATCH('Next Gen'!$A158, Scores!$F$2:$F$910, 0))</f>
        <v>45838</v>
      </c>
    </row>
    <row r="158" spans="1:12">
      <c r="A158" s="1">
        <v>139</v>
      </c>
      <c r="B158" s="1" t="s">
        <v>4</v>
      </c>
      <c r="C158" s="1">
        <v>9</v>
      </c>
      <c r="D158" s="1">
        <v>8</v>
      </c>
      <c r="E158" s="1">
        <v>2</v>
      </c>
      <c r="F158" s="1">
        <f>SUMIF(Scores!$F$2:$F$910, 'Next Gen'!$A158, INDEX(Scores!$I$2:$Q$910, 0, MATCH($B158, Scores!$I$1:$Q$1, 0)))</f>
        <v>4</v>
      </c>
      <c r="G158" s="1" t="str">
        <f>INDEX(Scores!$B$2:$B$910, MATCH('Next Gen'!$A156, Scores!$F$2:$F$910, 0))</f>
        <v>mid</v>
      </c>
      <c r="H158" s="1" t="str">
        <f>INDEX(Scores!$D$2:$D$910, MATCH('Next Gen'!$A158, Scores!$F$2:$F$910, 0))</f>
        <v>Original</v>
      </c>
      <c r="I158" s="4">
        <f>INDEX(Scores!$E$2:$E$910, MATCH('Next Gen'!$A156, Scores!$F$2:$F$910, 0))</f>
        <v>45838</v>
      </c>
    </row>
    <row r="159" spans="1:12">
      <c r="A159" s="1">
        <v>140</v>
      </c>
      <c r="B159" s="1" t="s">
        <v>5</v>
      </c>
      <c r="C159" s="1">
        <v>12</v>
      </c>
      <c r="D159" s="1">
        <v>12</v>
      </c>
      <c r="E159" s="1">
        <v>8</v>
      </c>
      <c r="F159" s="1">
        <f>SUMIF(Scores!$F$2:$F$910, 'Next Gen'!$A159, INDEX(Scores!$I$2:$Q$910, 0, MATCH($B159, Scores!$I$1:$Q$1, 0)))</f>
        <v>14</v>
      </c>
      <c r="G159" s="1" t="str">
        <f>INDEX(Scores!$B$2:$B$910, MATCH('Next Gen'!$A160, Scores!$F$2:$F$910, 0))</f>
        <v>mid</v>
      </c>
      <c r="H159" s="1" t="str">
        <f>INDEX(Scores!$D$2:$D$910, MATCH('Next Gen'!$A159, Scores!$F$2:$F$910, 0))</f>
        <v>Original</v>
      </c>
      <c r="I159" s="4">
        <f>INDEX(Scores!$E$2:$E$910, MATCH('Next Gen'!$A160, Scores!$F$2:$F$910, 0))</f>
        <v>45839</v>
      </c>
    </row>
    <row r="160" spans="1:12">
      <c r="A160" s="1">
        <v>140</v>
      </c>
      <c r="B160" s="1" t="s">
        <v>4</v>
      </c>
      <c r="C160" s="1">
        <v>12</v>
      </c>
      <c r="D160" s="1">
        <v>12</v>
      </c>
      <c r="E160" s="1">
        <v>4</v>
      </c>
      <c r="F160" s="1">
        <f>SUMIF(Scores!$F$2:$F$910, 'Next Gen'!$A160, INDEX(Scores!$I$2:$Q$910, 0, MATCH($B160, Scores!$I$1:$Q$1, 0)))</f>
        <v>8</v>
      </c>
      <c r="G160" s="1" t="str">
        <f>INDEX(Scores!$B$2:$B$910, MATCH('Next Gen'!$A159, Scores!$F$2:$F$910, 0))</f>
        <v>mid</v>
      </c>
      <c r="H160" s="1" t="str">
        <f>INDEX(Scores!$D$2:$D$910, MATCH('Next Gen'!$A160, Scores!$F$2:$F$910, 0))</f>
        <v>Original</v>
      </c>
      <c r="I160" s="4">
        <f>INDEX(Scores!$E$2:$E$910, MATCH('Next Gen'!$A159, Scores!$F$2:$F$910, 0))</f>
        <v>45839</v>
      </c>
    </row>
    <row r="161" spans="1:9">
      <c r="A161" s="1">
        <v>140</v>
      </c>
      <c r="B161" s="1" t="s">
        <v>78</v>
      </c>
      <c r="C161" s="1">
        <v>9</v>
      </c>
      <c r="D161" s="1">
        <v>5</v>
      </c>
      <c r="E161" s="1">
        <v>2</v>
      </c>
      <c r="F161" s="1">
        <f>SUMIF(Scores!$F$2:$F$910, 'Next Gen'!$A161, INDEX(Scores!$I$2:$Q$910, 0, MATCH($B161, Scores!$I$1:$Q$1, 0)))</f>
        <v>2</v>
      </c>
      <c r="G161" s="1" t="str">
        <f>INDEX(Scores!$B$2:$B$910, MATCH('Next Gen'!$A161, Scores!$F$2:$F$910, 0))</f>
        <v>mid</v>
      </c>
      <c r="H161" s="1" t="str">
        <f>INDEX(Scores!$D$2:$D$910, MATCH('Next Gen'!$A161, Scores!$F$2:$F$910, 0))</f>
        <v>Original</v>
      </c>
      <c r="I161" s="4">
        <f>INDEX(Scores!$E$2:$E$910, MATCH('Next Gen'!$A161, Scores!$F$2:$F$910, 0))</f>
        <v>45839</v>
      </c>
    </row>
    <row r="162" spans="1:9">
      <c r="A162" s="1">
        <v>141</v>
      </c>
      <c r="B162" s="1" t="s">
        <v>5</v>
      </c>
      <c r="C162" s="1">
        <v>9</v>
      </c>
      <c r="D162" s="1">
        <v>8</v>
      </c>
      <c r="E162" s="1">
        <v>5</v>
      </c>
      <c r="F162" s="1">
        <f>SUMIF(Scores!$F$2:$F$910, 'Next Gen'!$A162, INDEX(Scores!$I$2:$Q$910, 0, MATCH($B162, Scores!$I$1:$Q$1, 0)))</f>
        <v>14</v>
      </c>
      <c r="G162" s="1" t="str">
        <f>INDEX(Scores!$B$2:$B$910, MATCH('Next Gen'!$A163, Scores!$F$2:$F$910, 0))</f>
        <v>high</v>
      </c>
      <c r="H162" s="1" t="str">
        <f>INDEX(Scores!$D$2:$D$910, MATCH('Next Gen'!$A162, Scores!$F$2:$F$910, 0))</f>
        <v>Original</v>
      </c>
      <c r="I162" s="4">
        <f>INDEX(Scores!$E$2:$E$910, MATCH('Next Gen'!$A163, Scores!$F$2:$F$910, 0))</f>
        <v>45839</v>
      </c>
    </row>
    <row r="163" spans="1:9">
      <c r="A163" s="1">
        <v>141</v>
      </c>
      <c r="B163" s="1" t="s">
        <v>4</v>
      </c>
      <c r="C163" s="1">
        <v>9</v>
      </c>
      <c r="D163" s="1">
        <v>7</v>
      </c>
      <c r="E163" s="1">
        <v>4</v>
      </c>
      <c r="F163" s="1">
        <f>SUMIF(Scores!$F$2:$F$910, 'Next Gen'!$A163, INDEX(Scores!$I$2:$Q$910, 0, MATCH($B163, Scores!$I$1:$Q$1, 0)))</f>
        <v>3</v>
      </c>
      <c r="G163" s="1" t="str">
        <f>INDEX(Scores!$B$2:$B$910, MATCH('Next Gen'!$A162, Scores!$F$2:$F$910, 0))</f>
        <v>high</v>
      </c>
      <c r="H163" s="1" t="str">
        <f>INDEX(Scores!$D$2:$D$910, MATCH('Next Gen'!$A163, Scores!$F$2:$F$910, 0))</f>
        <v>Original</v>
      </c>
      <c r="I163" s="4">
        <f>INDEX(Scores!$E$2:$E$910, MATCH('Next Gen'!$A162, Scores!$F$2:$F$910, 0))</f>
        <v>45839</v>
      </c>
    </row>
    <row r="164" spans="1:9">
      <c r="A164" s="1">
        <v>141</v>
      </c>
      <c r="B164" s="1" t="s">
        <v>6</v>
      </c>
      <c r="C164" s="1">
        <v>9</v>
      </c>
      <c r="D164" s="1">
        <v>6</v>
      </c>
      <c r="E164" s="1">
        <v>3</v>
      </c>
      <c r="F164" s="1">
        <f>SUMIF(Scores!$F$2:$F$910, 'Next Gen'!$A164, INDEX(Scores!$I$2:$Q$910, 0, MATCH($B164, Scores!$I$1:$Q$1, 0)))</f>
        <v>5</v>
      </c>
      <c r="G164" s="1" t="str">
        <f>INDEX(Scores!$B$2:$B$910, MATCH('Next Gen'!$A164, Scores!$F$2:$F$910, 0))</f>
        <v>high</v>
      </c>
      <c r="H164" s="1" t="str">
        <f>INDEX(Scores!$D$2:$D$910, MATCH('Next Gen'!$A164, Scores!$F$2:$F$910, 0))</f>
        <v>Original</v>
      </c>
      <c r="I164" s="4">
        <f>INDEX(Scores!$E$2:$E$910, MATCH('Next Gen'!$A164, Scores!$F$2:$F$910, 0))</f>
        <v>45839</v>
      </c>
    </row>
    <row r="165" spans="1:9">
      <c r="A165" s="1">
        <v>142</v>
      </c>
      <c r="B165" s="1" t="s">
        <v>5</v>
      </c>
      <c r="C165" s="1">
        <v>9</v>
      </c>
      <c r="D165" s="1">
        <v>9</v>
      </c>
      <c r="E165" s="1">
        <v>5</v>
      </c>
      <c r="F165" s="1">
        <f>SUMIF(Scores!$F$2:$F$910, 'Next Gen'!$A165, INDEX(Scores!$I$2:$Q$910, 0, MATCH($B165, Scores!$I$1:$Q$1, 0)))</f>
        <v>8</v>
      </c>
      <c r="G165" s="1" t="str">
        <f>INDEX(Scores!$B$2:$B$910, MATCH('Next Gen'!$A166, Scores!$F$2:$F$910, 0))</f>
        <v>mid</v>
      </c>
      <c r="H165" s="1" t="str">
        <f>INDEX(Scores!$D$2:$D$910, MATCH('Next Gen'!$A165, Scores!$F$2:$F$910, 0))</f>
        <v>Original</v>
      </c>
      <c r="I165" s="4">
        <f>INDEX(Scores!$E$2:$E$910, MATCH('Next Gen'!$A166, Scores!$F$2:$F$910, 0))</f>
        <v>45839</v>
      </c>
    </row>
    <row r="166" spans="1:9">
      <c r="A166" s="1">
        <v>142</v>
      </c>
      <c r="B166" s="1" t="s">
        <v>6</v>
      </c>
      <c r="C166" s="1">
        <v>9</v>
      </c>
      <c r="D166" s="1">
        <v>6</v>
      </c>
      <c r="E166" s="1">
        <v>3</v>
      </c>
      <c r="F166" s="1">
        <f>SUMIF(Scores!$F$2:$F$910, 'Next Gen'!$A166, INDEX(Scores!$I$2:$Q$910, 0, MATCH($B166, Scores!$I$1:$Q$1, 0)))</f>
        <v>4</v>
      </c>
      <c r="G166" s="1" t="str">
        <f>INDEX(Scores!$B$2:$B$910, MATCH('Next Gen'!$A167, Scores!$F$2:$F$910, 0))</f>
        <v>mid</v>
      </c>
      <c r="H166" s="1" t="str">
        <f>INDEX(Scores!$D$2:$D$910, MATCH('Next Gen'!$A166, Scores!$F$2:$F$910, 0))</f>
        <v>Original</v>
      </c>
      <c r="I166" s="4">
        <f>INDEX(Scores!$E$2:$E$910, MATCH('Next Gen'!$A167, Scores!$F$2:$F$910, 0))</f>
        <v>45839</v>
      </c>
    </row>
    <row r="167" spans="1:9">
      <c r="A167" s="1">
        <v>142</v>
      </c>
      <c r="B167" s="1" t="s">
        <v>4</v>
      </c>
      <c r="C167" s="1">
        <v>9</v>
      </c>
      <c r="D167" s="1">
        <v>9</v>
      </c>
      <c r="E167" s="1">
        <v>2</v>
      </c>
      <c r="F167" s="1">
        <f>SUMIF(Scores!$F$2:$F$910, 'Next Gen'!$A167, INDEX(Scores!$I$2:$Q$910, 0, MATCH($B167, Scores!$I$1:$Q$1, 0)))</f>
        <v>6</v>
      </c>
      <c r="G167" s="1" t="str">
        <f>INDEX(Scores!$B$2:$B$910, MATCH('Next Gen'!$A165, Scores!$F$2:$F$910, 0))</f>
        <v>mid</v>
      </c>
      <c r="H167" s="1" t="str">
        <f>INDEX(Scores!$D$2:$D$910, MATCH('Next Gen'!$A167, Scores!$F$2:$F$910, 0))</f>
        <v>Original</v>
      </c>
      <c r="I167" s="4">
        <f>INDEX(Scores!$E$2:$E$910, MATCH('Next Gen'!$A165, Scores!$F$2:$F$910, 0))</f>
        <v>45839</v>
      </c>
    </row>
    <row r="168" spans="1:9">
      <c r="A168" s="1">
        <v>143</v>
      </c>
      <c r="B168" s="1" t="s">
        <v>5</v>
      </c>
      <c r="C168" s="1">
        <v>9</v>
      </c>
      <c r="D168" s="1">
        <v>9</v>
      </c>
      <c r="E168" s="1">
        <v>4</v>
      </c>
      <c r="F168" s="1">
        <f>SUMIF(Scores!$F$2:$F$910, 'Next Gen'!$A168, INDEX(Scores!$I$2:$Q$910, 0, MATCH($B168, Scores!$I$1:$Q$1, 0)))</f>
        <v>10</v>
      </c>
      <c r="G168" s="1" t="str">
        <f>INDEX(Scores!$B$2:$B$910, MATCH('Next Gen'!$A168, Scores!$F$2:$F$910, 0))</f>
        <v>mid</v>
      </c>
      <c r="H168" s="1" t="str">
        <f>INDEX(Scores!$D$2:$D$910, MATCH('Next Gen'!$A168, Scores!$F$2:$F$910, 0))</f>
        <v>Original</v>
      </c>
      <c r="I168" s="4">
        <f>INDEX(Scores!$E$2:$E$910, MATCH('Next Gen'!$A168, Scores!$F$2:$F$910, 0))</f>
        <v>45840</v>
      </c>
    </row>
    <row r="169" spans="1:9">
      <c r="A169" s="1">
        <v>143</v>
      </c>
      <c r="B169" s="1" t="s">
        <v>78</v>
      </c>
      <c r="C169" s="1">
        <v>9</v>
      </c>
      <c r="D169" s="1">
        <v>5</v>
      </c>
      <c r="E169" s="1">
        <v>3</v>
      </c>
      <c r="F169" s="1">
        <f>SUMIF(Scores!$F$2:$F$910, 'Next Gen'!$A169, INDEX(Scores!$I$2:$Q$910, 0, MATCH($B169, Scores!$I$1:$Q$1, 0)))</f>
        <v>8</v>
      </c>
      <c r="G169" s="1" t="str">
        <f>INDEX(Scores!$B$2:$B$910, MATCH('Next Gen'!$A170, Scores!$F$2:$F$910, 0))</f>
        <v>mid</v>
      </c>
      <c r="H169" s="1" t="str">
        <f>INDEX(Scores!$D$2:$D$910, MATCH('Next Gen'!$A169, Scores!$F$2:$F$910, 0))</f>
        <v>Original</v>
      </c>
      <c r="I169" s="4">
        <f>INDEX(Scores!$E$2:$E$910, MATCH('Next Gen'!$A170, Scores!$F$2:$F$910, 0))</f>
        <v>45840</v>
      </c>
    </row>
    <row r="170" spans="1:9">
      <c r="A170" s="1">
        <v>143</v>
      </c>
      <c r="B170" s="1" t="s">
        <v>6</v>
      </c>
      <c r="C170" s="1">
        <v>9</v>
      </c>
      <c r="D170" s="1">
        <v>6</v>
      </c>
      <c r="E170" s="1">
        <v>2</v>
      </c>
      <c r="F170" s="1">
        <f>SUMIF(Scores!$F$2:$F$910, 'Next Gen'!$A170, INDEX(Scores!$I$2:$Q$910, 0, MATCH($B170, Scores!$I$1:$Q$1, 0)))</f>
        <v>3</v>
      </c>
      <c r="G170" s="1" t="str">
        <f>INDEX(Scores!$B$2:$B$910, MATCH('Next Gen'!$A171, Scores!$F$2:$F$910, 0))</f>
        <v>mid</v>
      </c>
      <c r="H170" s="1" t="str">
        <f>INDEX(Scores!$D$2:$D$910, MATCH('Next Gen'!$A170, Scores!$F$2:$F$910, 0))</f>
        <v>Original</v>
      </c>
      <c r="I170" s="4">
        <f>INDEX(Scores!$E$2:$E$910, MATCH('Next Gen'!$A171, Scores!$F$2:$F$910, 0))</f>
        <v>45840</v>
      </c>
    </row>
    <row r="171" spans="1:9">
      <c r="A171" s="1">
        <v>143</v>
      </c>
      <c r="B171" s="1" t="s">
        <v>4</v>
      </c>
      <c r="C171" s="1">
        <v>9</v>
      </c>
      <c r="D171" s="1">
        <v>9</v>
      </c>
      <c r="E171" s="1">
        <v>2</v>
      </c>
      <c r="F171" s="1">
        <f>SUMIF(Scores!$F$2:$F$910, 'Next Gen'!$A171, INDEX(Scores!$I$2:$Q$910, 0, MATCH($B171, Scores!$I$1:$Q$1, 0)))</f>
        <v>4</v>
      </c>
      <c r="G171" s="1" t="str">
        <f>INDEX(Scores!$B$2:$B$910, MATCH('Next Gen'!$A169, Scores!$F$2:$F$910, 0))</f>
        <v>mid</v>
      </c>
      <c r="H171" s="1" t="str">
        <f>INDEX(Scores!$D$2:$D$910, MATCH('Next Gen'!$A171, Scores!$F$2:$F$910, 0))</f>
        <v>Original</v>
      </c>
      <c r="I171" s="4">
        <f>INDEX(Scores!$E$2:$E$910, MATCH('Next Gen'!$A169, Scores!$F$2:$F$910, 0))</f>
        <v>45840</v>
      </c>
    </row>
    <row r="172" spans="1:9">
      <c r="A172" s="1">
        <v>144</v>
      </c>
      <c r="B172" s="1" t="s">
        <v>4</v>
      </c>
      <c r="C172" s="1">
        <v>9</v>
      </c>
      <c r="D172" s="1">
        <v>9</v>
      </c>
      <c r="E172" s="1">
        <v>7</v>
      </c>
      <c r="F172" s="1">
        <f>SUMIF(Scores!$F$2:$F$910, 'Next Gen'!$A172, INDEX(Scores!$I$2:$Q$910, 0, MATCH($B172, Scores!$I$1:$Q$1, 0)))</f>
        <v>17</v>
      </c>
      <c r="G172" s="1" t="str">
        <f>INDEX(Scores!$B$2:$B$910, MATCH('Next Gen'!$A172, Scores!$F$2:$F$910, 0))</f>
        <v>mid</v>
      </c>
      <c r="H172" s="1" t="str">
        <f>INDEX(Scores!$D$2:$D$910, MATCH('Next Gen'!$A172, Scores!$F$2:$F$910, 0))</f>
        <v>Original</v>
      </c>
      <c r="I172" s="4">
        <f>INDEX(Scores!$E$2:$E$910, MATCH('Next Gen'!$A172, Scores!$F$2:$F$910, 0))</f>
        <v>45840</v>
      </c>
    </row>
    <row r="173" spans="1:9">
      <c r="A173" s="1">
        <v>144</v>
      </c>
      <c r="B173" s="1" t="s">
        <v>5</v>
      </c>
      <c r="C173" s="1">
        <v>9</v>
      </c>
      <c r="D173" s="1">
        <v>6</v>
      </c>
      <c r="E173" s="1">
        <v>5</v>
      </c>
      <c r="F173" s="1">
        <f>SUMIF(Scores!$F$2:$F$910, 'Next Gen'!$A173, INDEX(Scores!$I$2:$Q$910, 0, MATCH($B173, Scores!$I$1:$Q$1, 0)))</f>
        <v>9</v>
      </c>
      <c r="G173" s="1" t="str">
        <f>INDEX(Scores!$B$2:$B$910, MATCH('Next Gen'!$A173, Scores!$F$2:$F$910, 0))</f>
        <v>mid</v>
      </c>
      <c r="H173" s="1" t="str">
        <f>INDEX(Scores!$D$2:$D$910, MATCH('Next Gen'!$A173, Scores!$F$2:$F$910, 0))</f>
        <v>Original</v>
      </c>
      <c r="I173" s="4">
        <f>INDEX(Scores!$E$2:$E$910, MATCH('Next Gen'!$A173, Scores!$F$2:$F$910, 0))</f>
        <v>45840</v>
      </c>
    </row>
    <row r="174" spans="1:9">
      <c r="A174" s="1">
        <v>144</v>
      </c>
      <c r="B174" s="1" t="s">
        <v>6</v>
      </c>
      <c r="C174" s="1">
        <v>9</v>
      </c>
      <c r="D174" s="1">
        <v>4</v>
      </c>
      <c r="E174" s="1">
        <v>2</v>
      </c>
      <c r="F174" s="1">
        <f>SUMIF(Scores!$F$2:$F$910, 'Next Gen'!$A174, INDEX(Scores!$I$2:$Q$910, 0, MATCH($B174, Scores!$I$1:$Q$1, 0)))</f>
        <v>2</v>
      </c>
      <c r="G174" s="1" t="str">
        <f>INDEX(Scores!$B$2:$B$910, MATCH('Next Gen'!$A174, Scores!$F$2:$F$910, 0))</f>
        <v>mid</v>
      </c>
      <c r="H174" s="1" t="str">
        <f>INDEX(Scores!$D$2:$D$910, MATCH('Next Gen'!$A174, Scores!$F$2:$F$910, 0))</f>
        <v>Original</v>
      </c>
      <c r="I174" s="4">
        <f>INDEX(Scores!$E$2:$E$910, MATCH('Next Gen'!$A174, Scores!$F$2:$F$910, 0))</f>
        <v>45840</v>
      </c>
    </row>
    <row r="175" spans="1:9">
      <c r="A175" s="1">
        <v>145</v>
      </c>
      <c r="B175" s="1" t="s">
        <v>4</v>
      </c>
      <c r="C175" s="1">
        <v>9</v>
      </c>
      <c r="D175" s="1">
        <v>9</v>
      </c>
      <c r="E175" s="1">
        <v>4</v>
      </c>
      <c r="F175" s="1">
        <f>SUMIF(Scores!$F$2:$F$910, 'Next Gen'!$A175, INDEX(Scores!$I$2:$Q$910, 0, MATCH($B175, Scores!$I$1:$Q$1, 0)))</f>
        <v>5</v>
      </c>
      <c r="G175" s="1" t="str">
        <f>INDEX(Scores!$B$2:$B$910, MATCH('Next Gen'!$A175, Scores!$F$2:$F$910, 0))</f>
        <v>mid</v>
      </c>
      <c r="H175" s="1" t="str">
        <f>INDEX(Scores!$D$2:$D$910, MATCH('Next Gen'!$A175, Scores!$F$2:$F$910, 0))</f>
        <v>Original</v>
      </c>
      <c r="I175" s="4">
        <f>INDEX(Scores!$E$2:$E$910, MATCH('Next Gen'!$A175, Scores!$F$2:$F$910, 0))</f>
        <v>45841</v>
      </c>
    </row>
    <row r="176" spans="1:9">
      <c r="A176" s="1">
        <v>145</v>
      </c>
      <c r="B176" s="1" t="s">
        <v>5</v>
      </c>
      <c r="C176" s="1">
        <v>9</v>
      </c>
      <c r="D176" s="1">
        <v>7</v>
      </c>
      <c r="E176" s="1">
        <v>2</v>
      </c>
      <c r="F176" s="1">
        <f>SUMIF(Scores!$F$2:$F$910, 'Next Gen'!$A176, INDEX(Scores!$I$2:$Q$910, 0, MATCH($B176, Scores!$I$1:$Q$1, 0)))</f>
        <v>4</v>
      </c>
      <c r="G176" s="1" t="str">
        <f>INDEX(Scores!$B$2:$B$910, MATCH('Next Gen'!$A176, Scores!$F$2:$F$910, 0))</f>
        <v>mid</v>
      </c>
      <c r="H176" s="1" t="str">
        <f>INDEX(Scores!$D$2:$D$910, MATCH('Next Gen'!$A176, Scores!$F$2:$F$910, 0))</f>
        <v>Original</v>
      </c>
      <c r="I176" s="4">
        <f>INDEX(Scores!$E$2:$E$910, MATCH('Next Gen'!$A176, Scores!$F$2:$F$910, 0))</f>
        <v>45841</v>
      </c>
    </row>
    <row r="177" spans="1:9">
      <c r="A177" s="1">
        <v>145</v>
      </c>
      <c r="B177" s="1" t="s">
        <v>78</v>
      </c>
      <c r="C177" s="1">
        <v>9</v>
      </c>
      <c r="D177" s="1">
        <v>5</v>
      </c>
      <c r="E177" s="1">
        <v>1</v>
      </c>
      <c r="F177" s="1">
        <f>SUMIF(Scores!$F$2:$F$910, 'Next Gen'!$A177, INDEX(Scores!$I$2:$Q$910, 0, MATCH($B177, Scores!$I$1:$Q$1, 0)))</f>
        <v>1</v>
      </c>
      <c r="G177" s="1" t="str">
        <f>INDEX(Scores!$B$2:$B$910, MATCH('Next Gen'!$A177, Scores!$F$2:$F$910, 0))</f>
        <v>mid</v>
      </c>
      <c r="H177" s="1" t="str">
        <f>INDEX(Scores!$D$2:$D$910, MATCH('Next Gen'!$A177, Scores!$F$2:$F$910, 0))</f>
        <v>Original</v>
      </c>
      <c r="I177" s="4">
        <f>INDEX(Scores!$E$2:$E$910, MATCH('Next Gen'!$A177, Scores!$F$2:$F$910, 0))</f>
        <v>45841</v>
      </c>
    </row>
    <row r="178" spans="1:9">
      <c r="A178" s="1">
        <v>146</v>
      </c>
      <c r="B178" s="1" t="s">
        <v>5</v>
      </c>
      <c r="C178" s="1">
        <v>9</v>
      </c>
      <c r="D178" s="1">
        <v>8</v>
      </c>
      <c r="E178" s="1">
        <v>5</v>
      </c>
      <c r="F178" s="1">
        <f>SUMIF(Scores!$F$2:$F$910, 'Next Gen'!$A178, INDEX(Scores!$I$2:$Q$910, 0, MATCH($B178, Scores!$I$1:$Q$1, 0)))</f>
        <v>13</v>
      </c>
      <c r="G178" s="1" t="str">
        <f>INDEX(Scores!$B$2:$B$910, MATCH('Next Gen'!$A180, Scores!$F$2:$F$910, 0))</f>
        <v>high</v>
      </c>
      <c r="H178" s="1" t="str">
        <f>INDEX(Scores!$D$2:$D$910, MATCH('Next Gen'!$A178, Scores!$F$2:$F$910, 0))</f>
        <v>Original</v>
      </c>
      <c r="I178" s="4">
        <f>INDEX(Scores!$E$2:$E$910, MATCH('Next Gen'!$A180, Scores!$F$2:$F$910, 0))</f>
        <v>45841</v>
      </c>
    </row>
    <row r="179" spans="1:9">
      <c r="A179" s="1">
        <v>146</v>
      </c>
      <c r="B179" s="1" t="s">
        <v>4</v>
      </c>
      <c r="C179" s="1">
        <v>9</v>
      </c>
      <c r="D179" s="1">
        <v>9</v>
      </c>
      <c r="E179" s="1">
        <v>4</v>
      </c>
      <c r="F179" s="1">
        <f>SUMIF(Scores!$F$2:$F$910, 'Next Gen'!$A179, INDEX(Scores!$I$2:$Q$910, 0, MATCH($B179, Scores!$I$1:$Q$1, 0)))</f>
        <v>9</v>
      </c>
      <c r="G179" s="1" t="str">
        <f>INDEX(Scores!$B$2:$B$910, MATCH('Next Gen'!$A179, Scores!$F$2:$F$910, 0))</f>
        <v>high</v>
      </c>
      <c r="H179" s="1" t="str">
        <f>INDEX(Scores!$D$2:$D$910, MATCH('Next Gen'!$A179, Scores!$F$2:$F$910, 0))</f>
        <v>Original</v>
      </c>
      <c r="I179" s="4">
        <f>INDEX(Scores!$E$2:$E$910, MATCH('Next Gen'!$A179, Scores!$F$2:$F$910, 0))</f>
        <v>45841</v>
      </c>
    </row>
    <row r="180" spans="1:9">
      <c r="A180" s="1">
        <v>146</v>
      </c>
      <c r="B180" s="1" t="s">
        <v>78</v>
      </c>
      <c r="C180" s="1">
        <v>9</v>
      </c>
      <c r="D180" s="1">
        <v>4</v>
      </c>
      <c r="E180" s="1">
        <v>1</v>
      </c>
      <c r="F180" s="1">
        <f>SUMIF(Scores!$F$2:$F$910, 'Next Gen'!$A180, INDEX(Scores!$I$2:$Q$910, 0, MATCH($B180, Scores!$I$1:$Q$1, 0)))</f>
        <v>3</v>
      </c>
      <c r="G180" s="1" t="str">
        <f>INDEX(Scores!$B$2:$B$910, MATCH('Next Gen'!$A178, Scores!$F$2:$F$910, 0))</f>
        <v>high</v>
      </c>
      <c r="H180" s="1" t="str">
        <f>INDEX(Scores!$D$2:$D$910, MATCH('Next Gen'!$A180, Scores!$F$2:$F$910, 0))</f>
        <v>Original</v>
      </c>
      <c r="I180" s="4">
        <f>INDEX(Scores!$E$2:$E$910, MATCH('Next Gen'!$A178, Scores!$F$2:$F$910, 0))</f>
        <v>45841</v>
      </c>
    </row>
    <row r="181" spans="1:9">
      <c r="A181" s="1">
        <v>147</v>
      </c>
      <c r="B181" s="1" t="s">
        <v>4</v>
      </c>
      <c r="C181" s="1">
        <v>9</v>
      </c>
      <c r="D181" s="1">
        <v>7</v>
      </c>
      <c r="E181" s="1">
        <v>5</v>
      </c>
      <c r="F181" s="1">
        <f>SUMIF(Scores!$F$2:$F$910, 'Next Gen'!$A181, INDEX(Scores!$I$2:$Q$910, 0, MATCH($B181, Scores!$I$1:$Q$1, 0)))</f>
        <v>15</v>
      </c>
      <c r="G181" s="1" t="str">
        <f>INDEX(Scores!$B$2:$B$910, MATCH('Next Gen'!$A182, Scores!$F$2:$F$910, 0))</f>
        <v>low</v>
      </c>
      <c r="H181" s="1" t="str">
        <f>INDEX(Scores!$D$2:$D$910, MATCH('Next Gen'!$A181, Scores!$F$2:$F$910, 0))</f>
        <v>Original</v>
      </c>
      <c r="I181" s="4">
        <f>INDEX(Scores!$E$2:$E$910, MATCH('Next Gen'!$A182, Scores!$F$2:$F$910, 0))</f>
        <v>45841</v>
      </c>
    </row>
    <row r="182" spans="1:9">
      <c r="A182" s="1">
        <v>147</v>
      </c>
      <c r="B182" s="1" t="s">
        <v>78</v>
      </c>
      <c r="C182" s="1">
        <v>9</v>
      </c>
      <c r="D182" s="1">
        <v>6</v>
      </c>
      <c r="E182" s="1">
        <v>2</v>
      </c>
      <c r="F182" s="1">
        <f>SUMIF(Scores!$F$2:$F$910, 'Next Gen'!$A182, INDEX(Scores!$I$2:$Q$910, 0, MATCH($B182, Scores!$I$1:$Q$1, 0)))</f>
        <v>3</v>
      </c>
      <c r="G182" s="1" t="str">
        <f>INDEX(Scores!$B$2:$B$910, MATCH('Next Gen'!$A181, Scores!$F$2:$F$910, 0))</f>
        <v>low</v>
      </c>
      <c r="H182" s="1" t="str">
        <f>INDEX(Scores!$D$2:$D$910, MATCH('Next Gen'!$A182, Scores!$F$2:$F$910, 0))</f>
        <v>Original</v>
      </c>
      <c r="I182" s="4">
        <f>INDEX(Scores!$E$2:$E$910, MATCH('Next Gen'!$A181, Scores!$F$2:$F$910, 0))</f>
        <v>45841</v>
      </c>
    </row>
    <row r="183" spans="1:9">
      <c r="A183" s="1">
        <v>147</v>
      </c>
      <c r="B183" s="1" t="s">
        <v>5</v>
      </c>
      <c r="C183" s="1">
        <v>9</v>
      </c>
      <c r="D183" s="1">
        <v>6</v>
      </c>
      <c r="E183" s="1">
        <v>2</v>
      </c>
      <c r="F183" s="1">
        <f>SUMIF(Scores!$F$2:$F$910, 'Next Gen'!$A183, INDEX(Scores!$I$2:$Q$910, 0, MATCH($B183, Scores!$I$1:$Q$1, 0)))</f>
        <v>4</v>
      </c>
      <c r="G183" s="1" t="str">
        <f>INDEX(Scores!$B$2:$B$910, MATCH('Next Gen'!$A183, Scores!$F$2:$F$910, 0))</f>
        <v>low</v>
      </c>
      <c r="H183" s="1" t="str">
        <f>INDEX(Scores!$D$2:$D$910, MATCH('Next Gen'!$A183, Scores!$F$2:$F$910, 0))</f>
        <v>Original</v>
      </c>
      <c r="I183" s="4">
        <f>INDEX(Scores!$E$2:$E$910, MATCH('Next Gen'!$A183, Scores!$F$2:$F$910, 0))</f>
        <v>45841</v>
      </c>
    </row>
    <row r="184" spans="1:9">
      <c r="A184" s="1">
        <v>148</v>
      </c>
      <c r="B184" s="1" t="s">
        <v>6</v>
      </c>
      <c r="C184" s="1">
        <v>9</v>
      </c>
      <c r="D184" s="1">
        <v>5</v>
      </c>
      <c r="E184" s="1">
        <v>3</v>
      </c>
      <c r="F184" s="1">
        <f>SUMIF(Scores!$F$2:$F$910, 'Next Gen'!$A184, INDEX(Scores!$I$2:$Q$910, 0, MATCH($B184, Scores!$I$1:$Q$1, 0)))</f>
        <v>5</v>
      </c>
      <c r="G184" s="1" t="str">
        <f>INDEX(Scores!$B$2:$B$910, MATCH('Next Gen'!$A186, Scores!$F$2:$F$910, 0))</f>
        <v>mid</v>
      </c>
      <c r="H184" s="1" t="str">
        <f>INDEX(Scores!$D$2:$D$910, MATCH('Next Gen'!$A184, Scores!$F$2:$F$910, 0))</f>
        <v>Original</v>
      </c>
      <c r="I184" s="4">
        <f>INDEX(Scores!$E$2:$E$910, MATCH('Next Gen'!$A186, Scores!$F$2:$F$910, 0))</f>
        <v>45845</v>
      </c>
    </row>
    <row r="185" spans="1:9">
      <c r="A185" s="1">
        <v>148</v>
      </c>
      <c r="B185" s="1" t="s">
        <v>78</v>
      </c>
      <c r="C185" s="1">
        <v>9</v>
      </c>
      <c r="D185" s="1">
        <v>5</v>
      </c>
      <c r="E185" s="1">
        <v>2</v>
      </c>
      <c r="F185" s="1">
        <f>SUMIF(Scores!$F$2:$F$910, 'Next Gen'!$A185, INDEX(Scores!$I$2:$Q$910, 0, MATCH($B185, Scores!$I$1:$Q$1, 0)))</f>
        <v>4</v>
      </c>
      <c r="G185" s="1" t="str">
        <f>INDEX(Scores!$B$2:$B$910, MATCH('Next Gen'!$A184, Scores!$F$2:$F$910, 0))</f>
        <v>mid</v>
      </c>
      <c r="H185" s="1" t="str">
        <f>INDEX(Scores!$D$2:$D$910, MATCH('Next Gen'!$A185, Scores!$F$2:$F$910, 0))</f>
        <v>Original</v>
      </c>
      <c r="I185" s="4">
        <f>INDEX(Scores!$E$2:$E$910, MATCH('Next Gen'!$A184, Scores!$F$2:$F$910, 0))</f>
        <v>45845</v>
      </c>
    </row>
    <row r="186" spans="1:9">
      <c r="A186" s="1">
        <v>148</v>
      </c>
      <c r="B186" s="1" t="s">
        <v>4</v>
      </c>
      <c r="C186" s="1">
        <v>9</v>
      </c>
      <c r="D186" s="1">
        <v>8</v>
      </c>
      <c r="E186" s="1">
        <v>1</v>
      </c>
      <c r="F186" s="1">
        <f>SUMIF(Scores!$F$2:$F$910, 'Next Gen'!$A186, INDEX(Scores!$I$2:$Q$910, 0, MATCH($B186, Scores!$I$1:$Q$1, 0)))</f>
        <v>1</v>
      </c>
      <c r="G186" s="1" t="str">
        <f>INDEX(Scores!$B$2:$B$910, MATCH('Next Gen'!$A185, Scores!$F$2:$F$910, 0))</f>
        <v>mid</v>
      </c>
      <c r="H186" s="1" t="str">
        <f>INDEX(Scores!$D$2:$D$910, MATCH('Next Gen'!$A186, Scores!$F$2:$F$910, 0))</f>
        <v>Original</v>
      </c>
      <c r="I186" s="4">
        <f>INDEX(Scores!$E$2:$E$910, MATCH('Next Gen'!$A185, Scores!$F$2:$F$910, 0))</f>
        <v>45845</v>
      </c>
    </row>
    <row r="187" spans="1:9">
      <c r="A187" s="1">
        <v>149</v>
      </c>
      <c r="B187" s="1" t="s">
        <v>4</v>
      </c>
      <c r="C187" s="1">
        <v>9</v>
      </c>
      <c r="D187" s="1">
        <v>8</v>
      </c>
      <c r="E187" s="1">
        <v>5</v>
      </c>
      <c r="F187" s="1">
        <f>SUMIF(Scores!$F$2:$F$910, 'Next Gen'!$A187, INDEX(Scores!$I$2:$Q$910, 0, MATCH($B187, Scores!$I$1:$Q$1, 0)))</f>
        <v>9</v>
      </c>
      <c r="G187" s="1" t="str">
        <f>INDEX(Scores!$B$2:$B$910, MATCH('Next Gen'!$A188, Scores!$F$2:$F$910, 0))</f>
        <v>mid</v>
      </c>
      <c r="H187" s="1" t="str">
        <f>INDEX(Scores!$D$2:$D$910, MATCH('Next Gen'!$A187, Scores!$F$2:$F$910, 0))</f>
        <v>Original</v>
      </c>
      <c r="I187" s="4">
        <f>INDEX(Scores!$E$2:$E$910, MATCH('Next Gen'!$A188, Scores!$F$2:$F$910, 0))</f>
        <v>45845</v>
      </c>
    </row>
    <row r="188" spans="1:9">
      <c r="A188" s="1">
        <v>149</v>
      </c>
      <c r="B188" s="1" t="s">
        <v>78</v>
      </c>
      <c r="C188" s="1">
        <v>9</v>
      </c>
      <c r="D188" s="1">
        <v>3</v>
      </c>
      <c r="E188" s="1">
        <v>2</v>
      </c>
      <c r="F188" s="1">
        <f>SUMIF(Scores!$F$2:$F$910, 'Next Gen'!$A188, INDEX(Scores!$I$2:$Q$910, 0, MATCH($B188, Scores!$I$1:$Q$1, 0)))</f>
        <v>6</v>
      </c>
      <c r="G188" s="1" t="str">
        <f>INDEX(Scores!$B$2:$B$910, MATCH('Next Gen'!$A187, Scores!$F$2:$F$910, 0))</f>
        <v>mid</v>
      </c>
      <c r="H188" s="1" t="str">
        <f>INDEX(Scores!$D$2:$D$910, MATCH('Next Gen'!$A188, Scores!$F$2:$F$910, 0))</f>
        <v>Original</v>
      </c>
      <c r="I188" s="4">
        <f>INDEX(Scores!$E$2:$E$910, MATCH('Next Gen'!$A187, Scores!$F$2:$F$910, 0))</f>
        <v>45845</v>
      </c>
    </row>
    <row r="189" spans="1:9">
      <c r="A189" s="1">
        <v>149</v>
      </c>
      <c r="B189" s="1" t="s">
        <v>6</v>
      </c>
      <c r="C189" s="1">
        <v>9</v>
      </c>
      <c r="D189" s="1">
        <v>4</v>
      </c>
      <c r="E189" s="1">
        <v>1</v>
      </c>
      <c r="F189" s="1">
        <f>SUMIF(Scores!$F$2:$F$910, 'Next Gen'!$A189, INDEX(Scores!$I$2:$Q$910, 0, MATCH($B189, Scores!$I$1:$Q$1, 0)))</f>
        <v>5</v>
      </c>
      <c r="G189" s="1" t="str">
        <f>INDEX(Scores!$B$2:$B$910, MATCH('Next Gen'!$A189, Scores!$F$2:$F$910, 0))</f>
        <v>mid</v>
      </c>
      <c r="H189" s="1" t="str">
        <f>INDEX(Scores!$D$2:$D$910, MATCH('Next Gen'!$A189, Scores!$F$2:$F$910, 0))</f>
        <v>Original</v>
      </c>
      <c r="I189" s="4">
        <f>INDEX(Scores!$E$2:$E$910, MATCH('Next Gen'!$A189, Scores!$F$2:$F$910, 0))</f>
        <v>45845</v>
      </c>
    </row>
    <row r="190" spans="1:9">
      <c r="A190" s="1">
        <v>150</v>
      </c>
      <c r="B190" s="1" t="s">
        <v>4</v>
      </c>
      <c r="C190" s="1">
        <v>9</v>
      </c>
      <c r="D190" s="1">
        <v>9</v>
      </c>
      <c r="E190" s="1">
        <v>5</v>
      </c>
      <c r="F190" s="1">
        <f>SUMIF(Scores!$F$2:$F$910, 'Next Gen'!$A190, INDEX(Scores!$I$2:$Q$910, 0, MATCH($B190, Scores!$I$1:$Q$1, 0)))</f>
        <v>9</v>
      </c>
      <c r="G190" s="1" t="str">
        <f>INDEX(Scores!$B$2:$B$910, MATCH('Next Gen'!$A191, Scores!$F$2:$F$910, 0))</f>
        <v>mid</v>
      </c>
      <c r="H190" s="1" t="str">
        <f>INDEX(Scores!$D$2:$D$910, MATCH('Next Gen'!$A190, Scores!$F$2:$F$910, 0))</f>
        <v>Original</v>
      </c>
      <c r="I190" s="4">
        <f>INDEX(Scores!$E$2:$E$910, MATCH('Next Gen'!$A191, Scores!$F$2:$F$910, 0))</f>
        <v>45845</v>
      </c>
    </row>
    <row r="191" spans="1:9">
      <c r="A191" s="1">
        <v>150</v>
      </c>
      <c r="B191" s="1" t="s">
        <v>78</v>
      </c>
      <c r="C191" s="1">
        <v>9</v>
      </c>
      <c r="D191" s="1">
        <v>6</v>
      </c>
      <c r="E191" s="1">
        <v>4</v>
      </c>
      <c r="F191" s="1">
        <f>SUMIF(Scores!$F$2:$F$910, 'Next Gen'!$A191, INDEX(Scores!$I$2:$Q$910, 0, MATCH($B191, Scores!$I$1:$Q$1, 0)))</f>
        <v>11</v>
      </c>
      <c r="G191" s="1" t="str">
        <f>INDEX(Scores!$B$2:$B$910, MATCH('Next Gen'!$A190, Scores!$F$2:$F$910, 0))</f>
        <v>mid</v>
      </c>
      <c r="H191" s="1" t="str">
        <f>INDEX(Scores!$D$2:$D$910, MATCH('Next Gen'!$A191, Scores!$F$2:$F$910, 0))</f>
        <v>Original</v>
      </c>
      <c r="I191" s="4">
        <f>INDEX(Scores!$E$2:$E$910, MATCH('Next Gen'!$A190, Scores!$F$2:$F$910, 0))</f>
        <v>45845</v>
      </c>
    </row>
    <row r="192" spans="1:9">
      <c r="A192" s="1">
        <v>151</v>
      </c>
      <c r="B192" s="1" t="s">
        <v>4</v>
      </c>
      <c r="C192" s="1">
        <v>9</v>
      </c>
      <c r="D192" s="1">
        <v>9</v>
      </c>
      <c r="E192" s="1">
        <v>5</v>
      </c>
      <c r="F192" s="1">
        <f>SUMIF(Scores!$F$2:$F$910, 'Next Gen'!$A192, INDEX(Scores!$I$2:$Q$910, 0, MATCH($B192, Scores!$I$1:$Q$1, 0)))</f>
        <v>17</v>
      </c>
      <c r="G192" s="1" t="str">
        <f>INDEX(Scores!$B$2:$B$910, MATCH('Next Gen'!$A193, Scores!$F$2:$F$910, 0))</f>
        <v>mid</v>
      </c>
      <c r="H192" s="1" t="str">
        <f>INDEX(Scores!$D$2:$D$910, MATCH('Next Gen'!$A192, Scores!$F$2:$F$910, 0))</f>
        <v>Original</v>
      </c>
      <c r="I192" s="4">
        <f>INDEX(Scores!$E$2:$E$910, MATCH('Next Gen'!$A193, Scores!$F$2:$F$910, 0))</f>
        <v>45846</v>
      </c>
    </row>
    <row r="193" spans="1:9">
      <c r="A193" s="1">
        <v>151</v>
      </c>
      <c r="B193" s="1" t="s">
        <v>78</v>
      </c>
      <c r="C193" s="1">
        <v>9</v>
      </c>
      <c r="D193" s="1">
        <v>4</v>
      </c>
      <c r="E193" s="1">
        <v>2</v>
      </c>
      <c r="F193" s="1">
        <f>SUMIF(Scores!$F$2:$F$910, 'Next Gen'!$A193, INDEX(Scores!$I$2:$Q$910, 0, MATCH($B193, Scores!$I$1:$Q$1, 0)))</f>
        <v>6</v>
      </c>
      <c r="G193" s="1" t="str">
        <f>INDEX(Scores!$B$2:$B$910, MATCH('Next Gen'!$A192, Scores!$F$2:$F$910, 0))</f>
        <v>mid</v>
      </c>
      <c r="H193" s="1" t="str">
        <f>INDEX(Scores!$D$2:$D$910, MATCH('Next Gen'!$A193, Scores!$F$2:$F$910, 0))</f>
        <v>Original</v>
      </c>
      <c r="I193" s="4">
        <f>INDEX(Scores!$E$2:$E$910, MATCH('Next Gen'!$A192, Scores!$F$2:$F$910, 0))</f>
        <v>45846</v>
      </c>
    </row>
    <row r="194" spans="1:9">
      <c r="A194" s="1">
        <v>152</v>
      </c>
      <c r="B194" s="1" t="s">
        <v>4</v>
      </c>
      <c r="C194" s="1">
        <v>12</v>
      </c>
      <c r="D194" s="1">
        <v>12</v>
      </c>
      <c r="E194" s="1">
        <v>5</v>
      </c>
      <c r="F194" s="1">
        <f>SUMIF(Scores!$F$2:$F$910, 'Next Gen'!$A194, INDEX(Scores!$I$2:$Q$910, 0, MATCH($B194, Scores!$I$1:$Q$1, 0)))</f>
        <v>11</v>
      </c>
      <c r="G194" s="1" t="str">
        <f>INDEX(Scores!$B$2:$B$910, MATCH('Next Gen'!$A195, Scores!$F$2:$F$910, 0))</f>
        <v>high</v>
      </c>
      <c r="H194" s="1" t="str">
        <f>INDEX(Scores!$D$2:$D$910, MATCH('Next Gen'!$A194, Scores!$F$2:$F$910, 0))</f>
        <v>Original</v>
      </c>
      <c r="I194" s="4">
        <f>INDEX(Scores!$E$2:$E$910, MATCH('Next Gen'!$A195, Scores!$F$2:$F$910, 0))</f>
        <v>45846</v>
      </c>
    </row>
    <row r="195" spans="1:9">
      <c r="A195" s="1">
        <v>152</v>
      </c>
      <c r="B195" s="1" t="s">
        <v>78</v>
      </c>
      <c r="C195" s="1">
        <v>12</v>
      </c>
      <c r="D195" s="1">
        <v>6</v>
      </c>
      <c r="E195" s="1">
        <v>4</v>
      </c>
      <c r="F195" s="1">
        <f>SUMIF(Scores!$F$2:$F$910, 'Next Gen'!$A195, INDEX(Scores!$I$2:$Q$910, 0, MATCH($B195, Scores!$I$1:$Q$1, 0)))</f>
        <v>5</v>
      </c>
      <c r="G195" s="1" t="str">
        <f>INDEX(Scores!$B$2:$B$910, MATCH('Next Gen'!$A194, Scores!$F$2:$F$910, 0))</f>
        <v>high</v>
      </c>
      <c r="H195" s="1" t="str">
        <f>INDEX(Scores!$D$2:$D$910, MATCH('Next Gen'!$A195, Scores!$F$2:$F$910, 0))</f>
        <v>Original</v>
      </c>
      <c r="I195" s="4">
        <f>INDEX(Scores!$E$2:$E$910, MATCH('Next Gen'!$A194, Scores!$F$2:$F$910, 0))</f>
        <v>45846</v>
      </c>
    </row>
    <row r="196" spans="1:9">
      <c r="A196" s="1">
        <v>153</v>
      </c>
      <c r="B196" s="1" t="s">
        <v>78</v>
      </c>
      <c r="C196" s="1">
        <v>9</v>
      </c>
      <c r="D196" s="1">
        <v>7</v>
      </c>
      <c r="E196" s="1">
        <v>4</v>
      </c>
      <c r="F196" s="1">
        <f>SUMIF(Scores!$F$2:$F$910, 'Next Gen'!$A196, INDEX(Scores!$I$2:$Q$910, 0, MATCH($B196, Scores!$I$1:$Q$1, 0)))</f>
        <v>10</v>
      </c>
      <c r="G196" s="1" t="str">
        <f>INDEX(Scores!$B$2:$B$910, MATCH('Next Gen'!$A196, Scores!$F$2:$F$910, 0))</f>
        <v>mid</v>
      </c>
      <c r="H196" s="1" t="str">
        <f>INDEX(Scores!$D$2:$D$910, MATCH('Next Gen'!$A196, Scores!$F$2:$F$910, 0))</f>
        <v>Original</v>
      </c>
      <c r="I196" s="4">
        <f>INDEX(Scores!$E$2:$E$910, MATCH('Next Gen'!$A196, Scores!$F$2:$F$910, 0))</f>
        <v>45847</v>
      </c>
    </row>
    <row r="197" spans="1:9">
      <c r="A197" s="1">
        <v>153</v>
      </c>
      <c r="B197" s="1" t="s">
        <v>4</v>
      </c>
      <c r="C197" s="1">
        <v>9</v>
      </c>
      <c r="D197" s="1">
        <v>9</v>
      </c>
      <c r="E197" s="1">
        <v>2</v>
      </c>
      <c r="F197" s="1">
        <f>SUMIF(Scores!$F$2:$F$910, 'Next Gen'!$A197, INDEX(Scores!$I$2:$Q$910, 0, MATCH($B197, Scores!$I$1:$Q$1, 0)))</f>
        <v>4</v>
      </c>
      <c r="G197" s="1" t="str">
        <f>INDEX(Scores!$B$2:$B$910, MATCH('Next Gen'!$A197, Scores!$F$2:$F$910, 0))</f>
        <v>mid</v>
      </c>
      <c r="H197" s="1" t="str">
        <f>INDEX(Scores!$D$2:$D$910, MATCH('Next Gen'!$A197, Scores!$F$2:$F$910, 0))</f>
        <v>Original</v>
      </c>
      <c r="I197" s="4">
        <f>INDEX(Scores!$E$2:$E$910, MATCH('Next Gen'!$A197, Scores!$F$2:$F$910, 0))</f>
        <v>45847</v>
      </c>
    </row>
    <row r="198" spans="1:9">
      <c r="A198" s="1">
        <v>154</v>
      </c>
      <c r="B198" s="1" t="s">
        <v>78</v>
      </c>
      <c r="C198" s="1">
        <v>9</v>
      </c>
      <c r="D198" s="1">
        <v>7</v>
      </c>
      <c r="E198" s="1">
        <v>3</v>
      </c>
      <c r="F198" s="1">
        <f>SUMIF(Scores!$F$2:$F$910, 'Next Gen'!$A198, INDEX(Scores!$I$2:$Q$910, 0, MATCH($B198, Scores!$I$1:$Q$1, 0)))</f>
        <v>2</v>
      </c>
      <c r="G198" s="1" t="str">
        <f>INDEX(Scores!$B$2:$B$910, MATCH('Next Gen'!$A198, Scores!$F$2:$F$910, 0))</f>
        <v>high</v>
      </c>
      <c r="H198" s="1" t="str">
        <f>INDEX(Scores!$D$2:$D$910, MATCH('Next Gen'!$A198, Scores!$F$2:$F$910, 0))</f>
        <v>Original</v>
      </c>
      <c r="I198" s="4">
        <f>INDEX(Scores!$E$2:$E$910, MATCH('Next Gen'!$A198, Scores!$F$2:$F$910, 0))</f>
        <v>45847</v>
      </c>
    </row>
    <row r="199" spans="1:9">
      <c r="A199" s="1">
        <v>154</v>
      </c>
      <c r="B199" s="1" t="s">
        <v>4</v>
      </c>
      <c r="C199" s="1">
        <v>9</v>
      </c>
      <c r="D199" s="1">
        <v>5</v>
      </c>
      <c r="E199" s="1">
        <v>2</v>
      </c>
      <c r="F199" s="1">
        <f>SUMIF(Scores!$F$2:$F$910, 'Next Gen'!$A199, INDEX(Scores!$I$2:$Q$910, 0, MATCH($B199, Scores!$I$1:$Q$1, 0)))</f>
        <v>5</v>
      </c>
      <c r="G199" s="1" t="str">
        <f>INDEX(Scores!$B$2:$B$910, MATCH('Next Gen'!$A199, Scores!$F$2:$F$910, 0))</f>
        <v>high</v>
      </c>
      <c r="H199" s="1" t="str">
        <f>INDEX(Scores!$D$2:$D$910, MATCH('Next Gen'!$A199, Scores!$F$2:$F$910, 0))</f>
        <v>Original</v>
      </c>
      <c r="I199" s="4">
        <f>INDEX(Scores!$E$2:$E$910, MATCH('Next Gen'!$A199, Scores!$F$2:$F$910, 0))</f>
        <v>45847</v>
      </c>
    </row>
    <row r="200" spans="1:9">
      <c r="A200" s="1">
        <v>155</v>
      </c>
      <c r="B200" s="1" t="s">
        <v>4</v>
      </c>
      <c r="C200" s="1">
        <v>9</v>
      </c>
      <c r="D200" s="1">
        <v>8</v>
      </c>
      <c r="E200" s="1">
        <v>4</v>
      </c>
      <c r="F200" s="1">
        <f>SUMIF(Scores!$F$2:$F$910, 'Next Gen'!$A200, INDEX(Scores!$I$2:$Q$910, 0, MATCH($B200, Scores!$I$1:$Q$1, 0)))</f>
        <v>9</v>
      </c>
      <c r="G200" s="1" t="str">
        <f>INDEX(Scores!$B$2:$B$910, MATCH('Next Gen'!$A201, Scores!$F$2:$F$910, 0))</f>
        <v>mid</v>
      </c>
      <c r="H200" s="1" t="str">
        <f>INDEX(Scores!$D$2:$D$910, MATCH('Next Gen'!$A200, Scores!$F$2:$F$910, 0))</f>
        <v>Original</v>
      </c>
      <c r="I200" s="4">
        <f>INDEX(Scores!$E$2:$E$910, MATCH('Next Gen'!$A201, Scores!$F$2:$F$910, 0))</f>
        <v>45847</v>
      </c>
    </row>
    <row r="201" spans="1:9">
      <c r="A201" s="1">
        <v>155</v>
      </c>
      <c r="B201" s="1" t="s">
        <v>78</v>
      </c>
      <c r="C201" s="1">
        <v>9</v>
      </c>
      <c r="D201" s="1">
        <v>4</v>
      </c>
      <c r="E201" s="1">
        <v>1</v>
      </c>
      <c r="F201" s="1">
        <f>SUMIF(Scores!$F$2:$F$910, 'Next Gen'!$A201, INDEX(Scores!$I$2:$Q$910, 0, MATCH($B201, Scores!$I$1:$Q$1, 0)))</f>
        <v>1</v>
      </c>
      <c r="G201" s="1" t="str">
        <f>INDEX(Scores!$B$2:$B$910, MATCH('Next Gen'!$A200, Scores!$F$2:$F$910, 0))</f>
        <v>mid</v>
      </c>
      <c r="H201" s="1" t="str">
        <f>INDEX(Scores!$D$2:$D$910, MATCH('Next Gen'!$A201, Scores!$F$2:$F$910, 0))</f>
        <v>Original</v>
      </c>
      <c r="I201" s="4">
        <f>INDEX(Scores!$E$2:$E$910, MATCH('Next Gen'!$A200, Scores!$F$2:$F$910, 0))</f>
        <v>45847</v>
      </c>
    </row>
    <row r="202" spans="1:9">
      <c r="A202" s="1">
        <v>156</v>
      </c>
      <c r="B202" s="1" t="s">
        <v>4</v>
      </c>
      <c r="C202" s="1">
        <v>9</v>
      </c>
      <c r="D202" s="1">
        <v>9</v>
      </c>
      <c r="E202" s="1">
        <v>5</v>
      </c>
      <c r="F202" s="1">
        <f>SUMIF(Scores!$F$2:$F$910, 'Next Gen'!$A202, INDEX(Scores!$I$2:$Q$910, 0, MATCH($B202, Scores!$I$1:$Q$1, 0)))</f>
        <v>13</v>
      </c>
      <c r="G202" s="1" t="str">
        <f>INDEX(Scores!$B$2:$B$910, MATCH('Next Gen'!$A203, Scores!$F$2:$F$910, 0))</f>
        <v>mid</v>
      </c>
      <c r="H202" s="1" t="str">
        <f>INDEX(Scores!$D$2:$D$910, MATCH('Next Gen'!$A202, Scores!$F$2:$F$910, 0))</f>
        <v>Original</v>
      </c>
      <c r="I202" s="4">
        <f>INDEX(Scores!$E$2:$E$910, MATCH('Next Gen'!$A203, Scores!$F$2:$F$910, 0))</f>
        <v>45848</v>
      </c>
    </row>
    <row r="203" spans="1:9">
      <c r="A203" s="1">
        <v>156</v>
      </c>
      <c r="B203" s="1" t="s">
        <v>78</v>
      </c>
      <c r="C203" s="1">
        <v>9</v>
      </c>
      <c r="D203" s="1">
        <v>3</v>
      </c>
      <c r="E203" s="1">
        <v>1</v>
      </c>
      <c r="F203" s="1">
        <f>SUMIF(Scores!$F$2:$F$910, 'Next Gen'!$A203, INDEX(Scores!$I$2:$Q$910, 0, MATCH($B203, Scores!$I$1:$Q$1, 0)))</f>
        <v>1</v>
      </c>
      <c r="G203" s="1" t="str">
        <f>INDEX(Scores!$B$2:$B$910, MATCH('Next Gen'!$A202, Scores!$F$2:$F$910, 0))</f>
        <v>mid</v>
      </c>
      <c r="H203" s="1" t="str">
        <f>INDEX(Scores!$D$2:$D$910, MATCH('Next Gen'!$A203, Scores!$F$2:$F$910, 0))</f>
        <v>Original</v>
      </c>
      <c r="I203" s="4">
        <f>INDEX(Scores!$E$2:$E$910, MATCH('Next Gen'!$A202, Scores!$F$2:$F$910, 0))</f>
        <v>45848</v>
      </c>
    </row>
    <row r="204" spans="1:9">
      <c r="A204" s="1">
        <v>157</v>
      </c>
      <c r="B204" s="1" t="s">
        <v>4</v>
      </c>
      <c r="C204" s="1">
        <v>15</v>
      </c>
      <c r="D204" s="1">
        <v>12</v>
      </c>
      <c r="E204" s="1">
        <v>4</v>
      </c>
      <c r="F204" s="1">
        <f>SUMIF(Scores!$F$2:$F$910, 'Next Gen'!$A204, INDEX(Scores!$I$2:$Q$910, 0, MATCH($B204, Scores!$I$1:$Q$1, 0)))</f>
        <v>4</v>
      </c>
      <c r="G204" s="1" t="str">
        <f>INDEX(Scores!$B$2:$B$910, MATCH('Next Gen'!$A205, Scores!$F$2:$F$910, 0))</f>
        <v>low</v>
      </c>
      <c r="H204" s="1" t="str">
        <f>INDEX(Scores!$D$2:$D$910, MATCH('Next Gen'!$A204, Scores!$F$2:$F$910, 0))</f>
        <v>Original</v>
      </c>
      <c r="I204" s="4">
        <f>INDEX(Scores!$E$2:$E$910, MATCH('Next Gen'!$A205, Scores!$F$2:$F$910, 0))</f>
        <v>45848</v>
      </c>
    </row>
    <row r="205" spans="1:9">
      <c r="A205" s="1">
        <v>157</v>
      </c>
      <c r="B205" s="1" t="s">
        <v>78</v>
      </c>
      <c r="C205" s="1">
        <v>15</v>
      </c>
      <c r="D205" s="1">
        <v>4</v>
      </c>
      <c r="E205" s="1">
        <v>2</v>
      </c>
      <c r="F205" s="1">
        <f>SUMIF(Scores!$F$2:$F$910, 'Next Gen'!$A205, INDEX(Scores!$I$2:$Q$910, 0, MATCH($B205, Scores!$I$1:$Q$1, 0)))</f>
        <v>3</v>
      </c>
      <c r="G205" s="1" t="str">
        <f>INDEX(Scores!$B$2:$B$910, MATCH('Next Gen'!$A204, Scores!$F$2:$F$910, 0))</f>
        <v>low</v>
      </c>
      <c r="H205" s="1" t="str">
        <f>INDEX(Scores!$D$2:$D$910, MATCH('Next Gen'!$A205, Scores!$F$2:$F$910, 0))</f>
        <v>Original</v>
      </c>
      <c r="I205" s="4">
        <f>INDEX(Scores!$E$2:$E$910, MATCH('Next Gen'!$A204, Scores!$F$2:$F$910, 0))</f>
        <v>45848</v>
      </c>
    </row>
    <row r="206" spans="1:9">
      <c r="A206" s="1">
        <v>158</v>
      </c>
      <c r="B206" s="1" t="s">
        <v>4</v>
      </c>
      <c r="C206" s="1">
        <v>9</v>
      </c>
      <c r="D206" s="1">
        <v>9</v>
      </c>
      <c r="E206" s="1">
        <v>4</v>
      </c>
      <c r="F206" s="1">
        <f>SUMIF(Scores!$F$2:$F$910, 'Next Gen'!$A206, INDEX(Scores!$I$2:$Q$910, 0, MATCH($B206, Scores!$I$1:$Q$1, 0)))</f>
        <v>6</v>
      </c>
      <c r="G206" s="1" t="str">
        <f>INDEX(Scores!$B$2:$B$910, MATCH('Next Gen'!$A207, Scores!$F$2:$F$910, 0))</f>
        <v>high</v>
      </c>
      <c r="H206" s="1" t="str">
        <f>INDEX(Scores!$D$2:$D$910, MATCH('Next Gen'!$A206, Scores!$F$2:$F$910, 0))</f>
        <v>Original</v>
      </c>
      <c r="I206" s="4">
        <f>INDEX(Scores!$E$2:$E$910, MATCH('Next Gen'!$A207, Scores!$F$2:$F$910, 0))</f>
        <v>45848</v>
      </c>
    </row>
    <row r="207" spans="1:9">
      <c r="A207" s="1">
        <v>158</v>
      </c>
      <c r="B207" s="1" t="s">
        <v>78</v>
      </c>
      <c r="C207" s="1">
        <v>9</v>
      </c>
      <c r="D207" s="1">
        <v>4</v>
      </c>
      <c r="E207" s="1">
        <v>0</v>
      </c>
      <c r="F207" s="1">
        <f>SUMIF(Scores!$F$2:$F$910, 'Next Gen'!$A207, INDEX(Scores!$I$2:$Q$910, 0, MATCH($B207, Scores!$I$1:$Q$1, 0)))</f>
        <v>0</v>
      </c>
      <c r="G207" s="1" t="str">
        <f>INDEX(Scores!$B$2:$B$910, MATCH('Next Gen'!$A206, Scores!$F$2:$F$910, 0))</f>
        <v>high</v>
      </c>
      <c r="H207" s="1" t="str">
        <f>INDEX(Scores!$D$2:$D$910, MATCH('Next Gen'!$A207, Scores!$F$2:$F$910, 0))</f>
        <v>Original</v>
      </c>
      <c r="I207" s="4">
        <f>INDEX(Scores!$E$2:$E$910, MATCH('Next Gen'!$A206, Scores!$F$2:$F$910, 0))</f>
        <v>45848</v>
      </c>
    </row>
    <row r="208" spans="1:9">
      <c r="A208" s="1">
        <v>159</v>
      </c>
      <c r="B208" s="1" t="s">
        <v>4</v>
      </c>
      <c r="C208" s="1">
        <v>9</v>
      </c>
      <c r="D208" s="1">
        <v>9</v>
      </c>
      <c r="E208" s="1">
        <v>5</v>
      </c>
      <c r="F208" s="1">
        <f>SUMIF(Scores!$F$2:$F$910, 'Next Gen'!$A208, INDEX(Scores!$I$2:$Q$910, 0, MATCH($B208, Scores!$I$1:$Q$1, 0)))</f>
        <v>12</v>
      </c>
      <c r="G208" s="1" t="str">
        <f>INDEX(Scores!$B$2:$B$910, MATCH('Next Gen'!$A209, Scores!$F$2:$F$910, 0))</f>
        <v>mid</v>
      </c>
      <c r="H208" s="1" t="str">
        <f>INDEX(Scores!$D$2:$D$910, MATCH('Next Gen'!$A208, Scores!$F$2:$F$910, 0))</f>
        <v>Original</v>
      </c>
      <c r="I208" s="4">
        <f>INDEX(Scores!$E$2:$E$910, MATCH('Next Gen'!$A209, Scores!$F$2:$F$910, 0))</f>
        <v>45849</v>
      </c>
    </row>
    <row r="209" spans="1:9">
      <c r="A209" s="1">
        <v>159</v>
      </c>
      <c r="B209" s="1" t="s">
        <v>78</v>
      </c>
      <c r="C209" s="1">
        <v>9</v>
      </c>
      <c r="D209" s="1">
        <v>6</v>
      </c>
      <c r="E209" s="1">
        <v>3</v>
      </c>
      <c r="F209" s="1">
        <f>SUMIF(Scores!$F$2:$F$910, 'Next Gen'!$A209, INDEX(Scores!$I$2:$Q$910, 0, MATCH($B209, Scores!$I$1:$Q$1, 0)))</f>
        <v>6</v>
      </c>
      <c r="G209" s="1" t="str">
        <f>INDEX(Scores!$B$2:$B$910, MATCH('Next Gen'!$A208, Scores!$F$2:$F$910, 0))</f>
        <v>mid</v>
      </c>
      <c r="H209" s="1" t="str">
        <f>INDEX(Scores!$D$2:$D$910, MATCH('Next Gen'!$A209, Scores!$F$2:$F$910, 0))</f>
        <v>Original</v>
      </c>
      <c r="I209" s="4">
        <f>INDEX(Scores!$E$2:$E$910, MATCH('Next Gen'!$A208, Scores!$F$2:$F$910, 0))</f>
        <v>45849</v>
      </c>
    </row>
    <row r="210" spans="1:9">
      <c r="A210" s="1">
        <v>160</v>
      </c>
      <c r="B210" s="1" t="s">
        <v>78</v>
      </c>
      <c r="C210" s="1">
        <v>9</v>
      </c>
      <c r="D210" s="1">
        <v>2</v>
      </c>
      <c r="E210" s="1">
        <v>1</v>
      </c>
      <c r="F210" s="1">
        <f>SUMIF(Scores!$F$2:$F$910, 'Next Gen'!$A210, INDEX(Scores!$I$2:$Q$910, 0, MATCH($B210, Scores!$I$1:$Q$1, 0)))</f>
        <v>1</v>
      </c>
      <c r="G210" s="1" t="str">
        <f>INDEX(Scores!$B$2:$B$910, MATCH('Next Gen'!$A210, Scores!$F$2:$F$910, 0))</f>
        <v>mid</v>
      </c>
      <c r="H210" s="1" t="str">
        <f>INDEX(Scores!$D$2:$D$910, MATCH('Next Gen'!$A210, Scores!$F$2:$F$910, 0))</f>
        <v>Original</v>
      </c>
      <c r="I210" s="4">
        <f>INDEX(Scores!$E$2:$E$910, MATCH('Next Gen'!$A210, Scores!$F$2:$F$910, 0))</f>
        <v>45849</v>
      </c>
    </row>
    <row r="211" spans="1:9">
      <c r="A211" s="1">
        <v>160</v>
      </c>
      <c r="B211" s="1" t="s">
        <v>4</v>
      </c>
      <c r="C211" s="1">
        <v>9</v>
      </c>
      <c r="D211" s="1">
        <v>8</v>
      </c>
      <c r="E211" s="1">
        <v>1</v>
      </c>
      <c r="F211" s="1">
        <f>SUMIF(Scores!$F$2:$F$910, 'Next Gen'!$A211, INDEX(Scores!$I$2:$Q$910, 0, MATCH($B211, Scores!$I$1:$Q$1, 0)))</f>
        <v>3</v>
      </c>
      <c r="G211" s="1" t="str">
        <f>INDEX(Scores!$B$2:$B$910, MATCH('Next Gen'!$A211, Scores!$F$2:$F$910, 0))</f>
        <v>mid</v>
      </c>
      <c r="H211" s="1" t="str">
        <f>INDEX(Scores!$D$2:$D$910, MATCH('Next Gen'!$A211, Scores!$F$2:$F$910, 0))</f>
        <v>Original</v>
      </c>
      <c r="I211" s="4">
        <f>INDEX(Scores!$E$2:$E$910, MATCH('Next Gen'!$A211, Scores!$F$2:$F$910, 0))</f>
        <v>45849</v>
      </c>
    </row>
    <row r="212" spans="1:9">
      <c r="A212" s="1">
        <v>161</v>
      </c>
      <c r="B212" s="1" t="s">
        <v>4</v>
      </c>
      <c r="C212" s="1">
        <v>9</v>
      </c>
      <c r="D212" s="1">
        <v>9</v>
      </c>
      <c r="E212" s="1">
        <v>6</v>
      </c>
      <c r="F212" s="1">
        <f>SUMIF(Scores!$F$2:$F$910, 'Next Gen'!$A212, INDEX(Scores!$I$2:$Q$910, 0, MATCH($B212, Scores!$I$1:$Q$1, 0)))</f>
        <v>15</v>
      </c>
      <c r="G212" s="1" t="str">
        <f>INDEX(Scores!$B$2:$B$910, MATCH('Next Gen'!$A213, Scores!$F$2:$F$910, 0))</f>
        <v>mid</v>
      </c>
      <c r="H212" s="1" t="str">
        <f>INDEX(Scores!$D$2:$D$910, MATCH('Next Gen'!$A212, Scores!$F$2:$F$910, 0))</f>
        <v>Original</v>
      </c>
      <c r="I212" s="4">
        <f>INDEX(Scores!$E$2:$E$910, MATCH('Next Gen'!$A213, Scores!$F$2:$F$910, 0))</f>
        <v>45849</v>
      </c>
    </row>
    <row r="213" spans="1:9">
      <c r="A213" s="1">
        <v>161</v>
      </c>
      <c r="B213" s="1" t="s">
        <v>78</v>
      </c>
      <c r="C213" s="1">
        <v>9</v>
      </c>
      <c r="D213" s="1">
        <v>4</v>
      </c>
      <c r="E213" s="1">
        <v>1</v>
      </c>
      <c r="F213" s="1">
        <f>SUMIF(Scores!$F$2:$F$910, 'Next Gen'!$A213, INDEX(Scores!$I$2:$Q$910, 0, MATCH($B213, Scores!$I$1:$Q$1, 0)))</f>
        <v>1</v>
      </c>
      <c r="G213" s="1" t="str">
        <f>INDEX(Scores!$B$2:$B$910, MATCH('Next Gen'!$A212, Scores!$F$2:$F$910, 0))</f>
        <v>mid</v>
      </c>
      <c r="H213" s="1" t="str">
        <f>INDEX(Scores!$D$2:$D$910, MATCH('Next Gen'!$A213, Scores!$F$2:$F$910, 0))</f>
        <v>Original</v>
      </c>
      <c r="I213" s="4">
        <f>INDEX(Scores!$E$2:$E$910, MATCH('Next Gen'!$A212, Scores!$F$2:$F$910, 0))</f>
        <v>45849</v>
      </c>
    </row>
    <row r="214" spans="1:9">
      <c r="A214" s="1">
        <v>162</v>
      </c>
      <c r="B214" s="1" t="s">
        <v>78</v>
      </c>
      <c r="C214" s="1">
        <v>9</v>
      </c>
      <c r="D214" s="1">
        <v>6</v>
      </c>
      <c r="E214" s="1">
        <v>5</v>
      </c>
      <c r="F214" s="1">
        <f>SUMIF(Scores!$F$2:$F$910, 'Next Gen'!$A214, INDEX(Scores!$I$2:$Q$910, 0, MATCH($B214, Scores!$I$1:$Q$1, 0)))</f>
        <v>6</v>
      </c>
      <c r="G214" s="1" t="str">
        <f>INDEX(Scores!$B$2:$B$910, MATCH('Next Gen'!$A214, Scores!$F$2:$F$910, 0))</f>
        <v>mid</v>
      </c>
      <c r="H214" s="1" t="str">
        <f>INDEX(Scores!$D$2:$D$910, MATCH('Next Gen'!$A214, Scores!$F$2:$F$910, 0))</f>
        <v>Original</v>
      </c>
      <c r="I214" s="4">
        <f>INDEX(Scores!$E$2:$E$910, MATCH('Next Gen'!$A214, Scores!$F$2:$F$910, 0))</f>
        <v>45852</v>
      </c>
    </row>
    <row r="215" spans="1:9">
      <c r="A215" s="1">
        <v>162</v>
      </c>
      <c r="B215" s="1" t="s">
        <v>4</v>
      </c>
      <c r="C215" s="1">
        <v>9</v>
      </c>
      <c r="D215" s="1">
        <v>9</v>
      </c>
      <c r="E215" s="1">
        <v>4</v>
      </c>
      <c r="F215" s="1">
        <f>SUMIF(Scores!$F$2:$F$910, 'Next Gen'!$A215, INDEX(Scores!$I$2:$Q$910, 0, MATCH($B215, Scores!$I$1:$Q$1, 0)))</f>
        <v>9</v>
      </c>
      <c r="G215" s="1" t="str">
        <f>INDEX(Scores!$B$2:$B$910, MATCH('Next Gen'!$A215, Scores!$F$2:$F$910, 0))</f>
        <v>mid</v>
      </c>
      <c r="H215" s="1" t="str">
        <f>INDEX(Scores!$D$2:$D$910, MATCH('Next Gen'!$A215, Scores!$F$2:$F$910, 0))</f>
        <v>Original</v>
      </c>
      <c r="I215" s="4">
        <f>INDEX(Scores!$E$2:$E$910, MATCH('Next Gen'!$A215, Scores!$F$2:$F$910, 0))</f>
        <v>45852</v>
      </c>
    </row>
    <row r="216" spans="1:9">
      <c r="A216" s="1">
        <v>163</v>
      </c>
      <c r="B216" s="1" t="s">
        <v>78</v>
      </c>
      <c r="C216" s="1">
        <v>9</v>
      </c>
      <c r="D216" s="1">
        <v>7</v>
      </c>
      <c r="E216" s="1">
        <v>4</v>
      </c>
      <c r="F216" s="1">
        <f>SUMIF(Scores!$F$2:$F$910, 'Next Gen'!$A216, INDEX(Scores!$I$2:$Q$910, 0, MATCH($B216, Scores!$I$1:$Q$1, 0)))</f>
        <v>7</v>
      </c>
      <c r="G216" s="1" t="str">
        <f>INDEX(Scores!$B$2:$B$910, MATCH('Next Gen'!$A216, Scores!$F$2:$F$910, 0))</f>
        <v>mid</v>
      </c>
      <c r="H216" s="1" t="str">
        <f>INDEX(Scores!$D$2:$D$910, MATCH('Next Gen'!$A216, Scores!$F$2:$F$910, 0))</f>
        <v>Original</v>
      </c>
      <c r="I216" s="4">
        <f>INDEX(Scores!$E$2:$E$910, MATCH('Next Gen'!$A216, Scores!$F$2:$F$910, 0))</f>
        <v>45852</v>
      </c>
    </row>
    <row r="217" spans="1:9">
      <c r="A217" s="1">
        <v>163</v>
      </c>
      <c r="B217" s="1" t="s">
        <v>4</v>
      </c>
      <c r="C217" s="1">
        <v>9</v>
      </c>
      <c r="D217" s="1">
        <v>9</v>
      </c>
      <c r="E217" s="1">
        <v>3</v>
      </c>
      <c r="F217" s="1">
        <f>SUMIF(Scores!$F$2:$F$910, 'Next Gen'!$A217, INDEX(Scores!$I$2:$Q$910, 0, MATCH($B217, Scores!$I$1:$Q$1, 0)))</f>
        <v>6</v>
      </c>
      <c r="G217" s="1" t="str">
        <f>INDEX(Scores!$B$2:$B$910, MATCH('Next Gen'!$A217, Scores!$F$2:$F$910, 0))</f>
        <v>mid</v>
      </c>
      <c r="H217" s="1" t="str">
        <f>INDEX(Scores!$D$2:$D$910, MATCH('Next Gen'!$A217, Scores!$F$2:$F$910, 0))</f>
        <v>Original</v>
      </c>
      <c r="I217" s="4">
        <f>INDEX(Scores!$E$2:$E$910, MATCH('Next Gen'!$A217, Scores!$F$2:$F$910, 0))</f>
        <v>45852</v>
      </c>
    </row>
    <row r="218" spans="1:9">
      <c r="A218" s="1">
        <v>164</v>
      </c>
      <c r="B218" s="1" t="s">
        <v>78</v>
      </c>
      <c r="C218" s="1">
        <v>9</v>
      </c>
      <c r="D218" s="1">
        <v>6</v>
      </c>
      <c r="E218" s="1">
        <v>3</v>
      </c>
      <c r="F218" s="1">
        <f>SUMIF(Scores!$F$2:$F$910, 'Next Gen'!$A218, INDEX(Scores!$I$2:$Q$910, 0, MATCH($B218, Scores!$I$1:$Q$1, 0)))</f>
        <v>4</v>
      </c>
      <c r="G218" s="1" t="str">
        <f>INDEX(Scores!$B$2:$B$910, MATCH('Next Gen'!$A218, Scores!$F$2:$F$910, 0))</f>
        <v>mid</v>
      </c>
      <c r="H218" s="1" t="str">
        <f>INDEX(Scores!$D$2:$D$910, MATCH('Next Gen'!$A218, Scores!$F$2:$F$910, 0))</f>
        <v>Original</v>
      </c>
      <c r="I218" s="4">
        <f>INDEX(Scores!$E$2:$E$910, MATCH('Next Gen'!$A218, Scores!$F$2:$F$910, 0))</f>
        <v>45852</v>
      </c>
    </row>
    <row r="219" spans="1:9">
      <c r="A219" s="1">
        <v>164</v>
      </c>
      <c r="B219" s="1" t="s">
        <v>4</v>
      </c>
      <c r="C219" s="1">
        <v>9</v>
      </c>
      <c r="D219" s="1">
        <v>8</v>
      </c>
      <c r="E219" s="1">
        <v>1</v>
      </c>
      <c r="F219" s="1">
        <f>SUMIF(Scores!$F$2:$F$910, 'Next Gen'!$A219, INDEX(Scores!$I$2:$Q$910, 0, MATCH($B219, Scores!$I$1:$Q$1, 0)))</f>
        <v>2</v>
      </c>
      <c r="G219" s="1" t="str">
        <f>INDEX(Scores!$B$2:$B$910, MATCH('Next Gen'!$A219, Scores!$F$2:$F$910, 0))</f>
        <v>mid</v>
      </c>
      <c r="H219" s="1" t="str">
        <f>INDEX(Scores!$D$2:$D$910, MATCH('Next Gen'!$A219, Scores!$F$2:$F$910, 0))</f>
        <v>Original</v>
      </c>
      <c r="I219" s="4">
        <f>INDEX(Scores!$E$2:$E$910, MATCH('Next Gen'!$A219, Scores!$F$2:$F$910, 0))</f>
        <v>45852</v>
      </c>
    </row>
    <row r="220" spans="1:9">
      <c r="A220" s="1">
        <v>165</v>
      </c>
      <c r="B220" s="1" t="s">
        <v>78</v>
      </c>
      <c r="C220" s="1">
        <v>9</v>
      </c>
      <c r="D220" s="1">
        <v>7</v>
      </c>
      <c r="E220" s="1">
        <v>5</v>
      </c>
      <c r="F220" s="1">
        <f>SUMIF(Scores!$F$2:$F$910, 'Next Gen'!$A220, INDEX(Scores!$I$2:$Q$910, 0, MATCH($B220, Scores!$I$1:$Q$1, 0)))</f>
        <v>9</v>
      </c>
      <c r="G220" s="1" t="str">
        <f>INDEX(Scores!$B$2:$B$910, MATCH('Next Gen'!$A222, Scores!$F$2:$F$910, 0))</f>
        <v>mid</v>
      </c>
      <c r="H220" s="1" t="str">
        <f>INDEX(Scores!$D$2:$D$910, MATCH('Next Gen'!$A220, Scores!$F$2:$F$910, 0))</f>
        <v>Original</v>
      </c>
      <c r="I220" s="4">
        <f>INDEX(Scores!$E$2:$E$910, MATCH('Next Gen'!$A222, Scores!$F$2:$F$910, 0))</f>
        <v>45853</v>
      </c>
    </row>
    <row r="221" spans="1:9">
      <c r="A221" s="1">
        <v>165</v>
      </c>
      <c r="B221" s="1" t="s">
        <v>4</v>
      </c>
      <c r="C221" s="1">
        <v>9</v>
      </c>
      <c r="D221" s="1">
        <v>9</v>
      </c>
      <c r="E221" s="1">
        <v>3</v>
      </c>
      <c r="F221" s="1">
        <f>SUMIF(Scores!$F$2:$F$910, 'Next Gen'!$A221, INDEX(Scores!$I$2:$Q$910, 0, MATCH($B221, Scores!$I$1:$Q$1, 0)))</f>
        <v>4</v>
      </c>
      <c r="G221" s="1" t="str">
        <f>INDEX(Scores!$B$2:$B$910, MATCH('Next Gen'!$A220, Scores!$F$2:$F$910, 0))</f>
        <v>mid</v>
      </c>
      <c r="H221" s="1" t="str">
        <f>INDEX(Scores!$D$2:$D$910, MATCH('Next Gen'!$A221, Scores!$F$2:$F$910, 0))</f>
        <v>Original</v>
      </c>
      <c r="I221" s="4">
        <f>INDEX(Scores!$E$2:$E$910, MATCH('Next Gen'!$A220, Scores!$F$2:$F$910, 0))</f>
        <v>45853</v>
      </c>
    </row>
    <row r="222" spans="1:9">
      <c r="A222" s="1">
        <v>165</v>
      </c>
      <c r="B222" s="1" t="s">
        <v>5</v>
      </c>
      <c r="C222" s="1">
        <v>9</v>
      </c>
      <c r="D222" s="1">
        <v>7</v>
      </c>
      <c r="E222" s="1">
        <v>0</v>
      </c>
      <c r="F222" s="1">
        <f>SUMIF(Scores!$F$2:$F$910, 'Next Gen'!$A222, INDEX(Scores!$I$2:$Q$910, 0, MATCH($B222, Scores!$I$1:$Q$1, 0)))</f>
        <v>0</v>
      </c>
      <c r="G222" s="1" t="str">
        <f>INDEX(Scores!$B$2:$B$910, MATCH('Next Gen'!$A221, Scores!$F$2:$F$910, 0))</f>
        <v>mid</v>
      </c>
      <c r="H222" s="1" t="str">
        <f>INDEX(Scores!$D$2:$D$910, MATCH('Next Gen'!$A222, Scores!$F$2:$F$910, 0))</f>
        <v>Original</v>
      </c>
      <c r="I222" s="4">
        <f>INDEX(Scores!$E$2:$E$910, MATCH('Next Gen'!$A221, Scores!$F$2:$F$910, 0))</f>
        <v>45853</v>
      </c>
    </row>
    <row r="223" spans="1:9">
      <c r="A223" s="1">
        <v>166</v>
      </c>
      <c r="B223" s="1" t="s">
        <v>4</v>
      </c>
      <c r="C223" s="1">
        <v>9</v>
      </c>
      <c r="D223" s="1">
        <v>9</v>
      </c>
      <c r="E223" s="1">
        <v>4</v>
      </c>
      <c r="F223" s="1">
        <f>SUMIF(Scores!$F$2:$F$910, 'Next Gen'!$A223, INDEX(Scores!$I$2:$Q$910, 0, MATCH($B223, Scores!$I$1:$Q$1, 0)))</f>
        <v>5</v>
      </c>
      <c r="G223" s="1" t="str">
        <f>INDEX(Scores!$B$2:$B$910, MATCH('Next Gen'!$A223, Scores!$F$2:$F$910, 0))</f>
        <v>high</v>
      </c>
      <c r="H223" s="1" t="str">
        <f>INDEX(Scores!$D$2:$D$910, MATCH('Next Gen'!$A223, Scores!$F$2:$F$910, 0))</f>
        <v>Original</v>
      </c>
      <c r="I223" s="4">
        <f>INDEX(Scores!$E$2:$E$910, MATCH('Next Gen'!$A223, Scores!$F$2:$F$910, 0))</f>
        <v>45853</v>
      </c>
    </row>
    <row r="224" spans="1:9">
      <c r="A224" s="1">
        <v>166</v>
      </c>
      <c r="B224" s="1" t="s">
        <v>78</v>
      </c>
      <c r="C224" s="1">
        <v>9</v>
      </c>
      <c r="D224" s="1">
        <v>7</v>
      </c>
      <c r="E224" s="1">
        <v>4</v>
      </c>
      <c r="F224" s="1">
        <f>SUMIF(Scores!$F$2:$F$910, 'Next Gen'!$A224, INDEX(Scores!$I$2:$Q$910, 0, MATCH($B224, Scores!$I$1:$Q$1, 0)))</f>
        <v>8</v>
      </c>
      <c r="G224" s="1" t="str">
        <f>INDEX(Scores!$B$2:$B$910, MATCH('Next Gen'!$A225, Scores!$F$2:$F$910, 0))</f>
        <v>high</v>
      </c>
      <c r="H224" s="1" t="str">
        <f>INDEX(Scores!$D$2:$D$910, MATCH('Next Gen'!$A224, Scores!$F$2:$F$910, 0))</f>
        <v>Original</v>
      </c>
      <c r="I224" s="4">
        <f>INDEX(Scores!$E$2:$E$910, MATCH('Next Gen'!$A225, Scores!$F$2:$F$910, 0))</f>
        <v>45853</v>
      </c>
    </row>
    <row r="225" spans="1:9">
      <c r="A225" s="1">
        <v>166</v>
      </c>
      <c r="B225" s="1" t="s">
        <v>5</v>
      </c>
      <c r="C225" s="1">
        <v>9</v>
      </c>
      <c r="D225" s="1">
        <v>7</v>
      </c>
      <c r="E225" s="1">
        <v>3</v>
      </c>
      <c r="F225" s="1">
        <f>SUMIF(Scores!$F$2:$F$910, 'Next Gen'!$A225, INDEX(Scores!$I$2:$Q$910, 0, MATCH($B225, Scores!$I$1:$Q$1, 0)))</f>
        <v>3</v>
      </c>
      <c r="G225" s="1" t="str">
        <f>INDEX(Scores!$B$2:$B$910, MATCH('Next Gen'!$A224, Scores!$F$2:$F$910, 0))</f>
        <v>high</v>
      </c>
      <c r="H225" s="1" t="str">
        <f>INDEX(Scores!$D$2:$D$910, MATCH('Next Gen'!$A225, Scores!$F$2:$F$910, 0))</f>
        <v>Original</v>
      </c>
      <c r="I225" s="4">
        <f>INDEX(Scores!$E$2:$E$910, MATCH('Next Gen'!$A224, Scores!$F$2:$F$910, 0))</f>
        <v>45853</v>
      </c>
    </row>
    <row r="226" spans="1:9">
      <c r="A226" s="1">
        <v>167</v>
      </c>
      <c r="B226" s="1" t="s">
        <v>4</v>
      </c>
      <c r="C226" s="1">
        <v>9</v>
      </c>
      <c r="D226" s="1">
        <v>8</v>
      </c>
      <c r="E226" s="1">
        <v>4</v>
      </c>
      <c r="F226" s="1">
        <f>SUMIF(Scores!$F$2:$F$910, 'Next Gen'!$A226, INDEX(Scores!$I$2:$Q$910, 0, MATCH($B226, Scores!$I$1:$Q$1, 0)))</f>
        <v>8</v>
      </c>
      <c r="G226" s="1" t="str">
        <f>INDEX(Scores!$B$2:$B$910, MATCH('Next Gen'!$A227, Scores!$F$2:$F$910, 0))</f>
        <v>low</v>
      </c>
      <c r="H226" s="1" t="str">
        <f>INDEX(Scores!$D$2:$D$910, MATCH('Next Gen'!$A226, Scores!$F$2:$F$910, 0))</f>
        <v>Original</v>
      </c>
      <c r="I226" s="4">
        <f>INDEX(Scores!$E$2:$E$910, MATCH('Next Gen'!$A227, Scores!$F$2:$F$910, 0))</f>
        <v>45853</v>
      </c>
    </row>
    <row r="227" spans="1:9">
      <c r="A227" s="1">
        <v>167</v>
      </c>
      <c r="B227" s="1" t="s">
        <v>78</v>
      </c>
      <c r="C227" s="1">
        <v>9</v>
      </c>
      <c r="D227" s="1">
        <v>6</v>
      </c>
      <c r="E227" s="1">
        <v>2</v>
      </c>
      <c r="F227" s="1">
        <f>SUMIF(Scores!$F$2:$F$910, 'Next Gen'!$A227, INDEX(Scores!$I$2:$Q$910, 0, MATCH($B227, Scores!$I$1:$Q$1, 0)))</f>
        <v>2</v>
      </c>
      <c r="G227" s="1" t="str">
        <f>INDEX(Scores!$B$2:$B$910, MATCH('Next Gen'!$A226, Scores!$F$2:$F$910, 0))</f>
        <v>low</v>
      </c>
      <c r="H227" s="1" t="str">
        <f>INDEX(Scores!$D$2:$D$910, MATCH('Next Gen'!$A227, Scores!$F$2:$F$910, 0))</f>
        <v>Original</v>
      </c>
      <c r="I227" s="4">
        <f>INDEX(Scores!$E$2:$E$910, MATCH('Next Gen'!$A226, Scores!$F$2:$F$910, 0))</f>
        <v>45853</v>
      </c>
    </row>
    <row r="228" spans="1:9">
      <c r="A228" s="1">
        <v>168</v>
      </c>
      <c r="B228" s="1" t="s">
        <v>4</v>
      </c>
      <c r="C228" s="1">
        <v>9</v>
      </c>
      <c r="D228" s="1">
        <v>8</v>
      </c>
      <c r="E228" s="1">
        <v>5</v>
      </c>
      <c r="F228" s="1">
        <f>SUMIF(Scores!$F$2:$F$910, 'Next Gen'!$A228, INDEX(Scores!$I$2:$Q$910, 0, MATCH($B228, Scores!$I$1:$Q$1, 0)))</f>
        <v>11</v>
      </c>
      <c r="G228" s="1" t="str">
        <f>INDEX(Scores!$B$2:$B$910, MATCH('Next Gen'!$A229, Scores!$F$2:$F$910, 0))</f>
        <v>mid</v>
      </c>
      <c r="H228" s="1" t="str">
        <f>INDEX(Scores!$D$2:$D$910, MATCH('Next Gen'!$A228, Scores!$F$2:$F$910, 0))</f>
        <v>Original</v>
      </c>
      <c r="I228" s="4">
        <f>INDEX(Scores!$E$2:$E$910, MATCH('Next Gen'!$A229, Scores!$F$2:$F$910, 0))</f>
        <v>45854</v>
      </c>
    </row>
    <row r="229" spans="1:9">
      <c r="A229" s="1">
        <v>168</v>
      </c>
      <c r="B229" s="1" t="s">
        <v>5</v>
      </c>
      <c r="C229" s="1">
        <v>9</v>
      </c>
      <c r="D229" s="1">
        <v>9</v>
      </c>
      <c r="E229" s="1">
        <v>2</v>
      </c>
      <c r="F229" s="1">
        <f>SUMIF(Scores!$F$2:$F$910, 'Next Gen'!$A229, INDEX(Scores!$I$2:$Q$910, 0, MATCH($B229, Scores!$I$1:$Q$1, 0)))</f>
        <v>3</v>
      </c>
      <c r="G229" s="1" t="str">
        <f>INDEX(Scores!$B$2:$B$910, MATCH('Next Gen'!$A230, Scores!$F$2:$F$910, 0))</f>
        <v>mid</v>
      </c>
      <c r="H229" s="1" t="str">
        <f>INDEX(Scores!$D$2:$D$910, MATCH('Next Gen'!$A229, Scores!$F$2:$F$910, 0))</f>
        <v>Original</v>
      </c>
      <c r="I229" s="4">
        <f>INDEX(Scores!$E$2:$E$910, MATCH('Next Gen'!$A230, Scores!$F$2:$F$910, 0))</f>
        <v>45854</v>
      </c>
    </row>
    <row r="230" spans="1:9">
      <c r="A230" s="1">
        <v>168</v>
      </c>
      <c r="B230" s="1" t="s">
        <v>78</v>
      </c>
      <c r="C230" s="1">
        <v>9</v>
      </c>
      <c r="D230" s="1">
        <v>3</v>
      </c>
      <c r="E230" s="1">
        <v>0</v>
      </c>
      <c r="F230" s="1">
        <f>SUMIF(Scores!$F$2:$F$910, 'Next Gen'!$A230, INDEX(Scores!$I$2:$Q$910, 0, MATCH($B230, Scores!$I$1:$Q$1, 0)))</f>
        <v>0</v>
      </c>
      <c r="G230" s="1" t="str">
        <f>INDEX(Scores!$B$2:$B$910, MATCH('Next Gen'!$A228, Scores!$F$2:$F$910, 0))</f>
        <v>mid</v>
      </c>
      <c r="H230" s="1" t="str">
        <f>INDEX(Scores!$D$2:$D$910, MATCH('Next Gen'!$A230, Scores!$F$2:$F$910, 0))</f>
        <v>Original</v>
      </c>
      <c r="I230" s="4">
        <f>INDEX(Scores!$E$2:$E$910, MATCH('Next Gen'!$A228, Scores!$F$2:$F$910, 0))</f>
        <v>45854</v>
      </c>
    </row>
    <row r="231" spans="1:9">
      <c r="A231" s="1">
        <v>169</v>
      </c>
      <c r="B231" s="1" t="s">
        <v>4</v>
      </c>
      <c r="C231" s="1">
        <v>9</v>
      </c>
      <c r="D231" s="1">
        <v>9</v>
      </c>
      <c r="E231" s="1">
        <v>5</v>
      </c>
      <c r="F231" s="1">
        <f>SUMIF(Scores!$F$2:$F$910, 'Next Gen'!$A231, INDEX(Scores!$I$2:$Q$910, 0, MATCH($B231, Scores!$I$1:$Q$1, 0)))</f>
        <v>8</v>
      </c>
      <c r="G231" s="1" t="str">
        <f>INDEX(Scores!$B$2:$B$910, MATCH('Next Gen'!$A232, Scores!$F$2:$F$910, 0))</f>
        <v>mid</v>
      </c>
      <c r="H231" s="1" t="str">
        <f>INDEX(Scores!$D$2:$D$910, MATCH('Next Gen'!$A231, Scores!$F$2:$F$910, 0))</f>
        <v>Original</v>
      </c>
      <c r="I231" s="4">
        <f>INDEX(Scores!$E$2:$E$910, MATCH('Next Gen'!$A232, Scores!$F$2:$F$910, 0))</f>
        <v>45854</v>
      </c>
    </row>
    <row r="232" spans="1:9">
      <c r="A232" s="1">
        <v>169</v>
      </c>
      <c r="B232" s="1" t="s">
        <v>78</v>
      </c>
      <c r="C232" s="1">
        <v>9</v>
      </c>
      <c r="D232" s="1">
        <v>2</v>
      </c>
      <c r="E232" s="1">
        <v>2</v>
      </c>
      <c r="F232" s="1">
        <f>SUMIF(Scores!$F$2:$F$910, 'Next Gen'!$A232, INDEX(Scores!$I$2:$Q$910, 0, MATCH($B232, Scores!$I$1:$Q$1, 0)))</f>
        <v>2</v>
      </c>
      <c r="G232" s="1" t="str">
        <f>INDEX(Scores!$B$2:$B$910, MATCH('Next Gen'!$A231, Scores!$F$2:$F$910, 0))</f>
        <v>mid</v>
      </c>
      <c r="H232" s="1" t="str">
        <f>INDEX(Scores!$D$2:$D$910, MATCH('Next Gen'!$A232, Scores!$F$2:$F$910, 0))</f>
        <v>Original</v>
      </c>
      <c r="I232" s="4">
        <f>INDEX(Scores!$E$2:$E$910, MATCH('Next Gen'!$A231, Scores!$F$2:$F$910, 0))</f>
        <v>45854</v>
      </c>
    </row>
    <row r="233" spans="1:9">
      <c r="A233" s="1">
        <v>169</v>
      </c>
      <c r="B233" s="1" t="s">
        <v>5</v>
      </c>
      <c r="C233" s="1">
        <v>9</v>
      </c>
      <c r="D233" s="1">
        <v>6</v>
      </c>
      <c r="E233" s="1">
        <v>1</v>
      </c>
      <c r="F233" s="1">
        <f>SUMIF(Scores!$F$2:$F$910, 'Next Gen'!$A233, INDEX(Scores!$I$2:$Q$910, 0, MATCH($B233, Scores!$I$1:$Q$1, 0)))</f>
        <v>1</v>
      </c>
      <c r="G233" s="1" t="str">
        <f>INDEX(Scores!$B$2:$B$910, MATCH('Next Gen'!$A233, Scores!$F$2:$F$910, 0))</f>
        <v>mid</v>
      </c>
      <c r="H233" s="1" t="str">
        <f>INDEX(Scores!$D$2:$D$910, MATCH('Next Gen'!$A233, Scores!$F$2:$F$910, 0))</f>
        <v>Original</v>
      </c>
      <c r="I233" s="4">
        <f>INDEX(Scores!$E$2:$E$910, MATCH('Next Gen'!$A233, Scores!$F$2:$F$910, 0))</f>
        <v>45854</v>
      </c>
    </row>
    <row r="234" spans="1:9">
      <c r="A234" s="1">
        <v>170</v>
      </c>
      <c r="B234" s="1" t="s">
        <v>4</v>
      </c>
      <c r="C234" s="1">
        <v>9</v>
      </c>
      <c r="D234" s="1">
        <v>9</v>
      </c>
      <c r="E234" s="1">
        <v>4</v>
      </c>
      <c r="F234" s="1">
        <f>SUMIF(Scores!$F$2:$F$910, 'Next Gen'!$A234, INDEX(Scores!$I$2:$Q$910, 0, MATCH($B234, Scores!$I$1:$Q$1, 0)))</f>
        <v>4</v>
      </c>
      <c r="G234" s="1" t="str">
        <f>INDEX(Scores!$B$2:$B$910, MATCH('Next Gen'!$A235, Scores!$F$2:$F$910, 0))</f>
        <v>mid</v>
      </c>
      <c r="H234" s="1" t="str">
        <f>INDEX(Scores!$D$2:$D$910, MATCH('Next Gen'!$A234, Scores!$F$2:$F$910, 0))</f>
        <v>Original</v>
      </c>
      <c r="I234" s="4">
        <f>INDEX(Scores!$E$2:$E$910, MATCH('Next Gen'!$A235, Scores!$F$2:$F$910, 0))</f>
        <v>45855</v>
      </c>
    </row>
    <row r="235" spans="1:9">
      <c r="A235" s="1">
        <v>170</v>
      </c>
      <c r="B235" s="1" t="s">
        <v>5</v>
      </c>
      <c r="C235" s="1">
        <v>9</v>
      </c>
      <c r="D235" s="1">
        <v>8</v>
      </c>
      <c r="E235" s="1">
        <v>4</v>
      </c>
      <c r="F235" s="1">
        <f>SUMIF(Scores!$F$2:$F$910, 'Next Gen'!$A235, INDEX(Scores!$I$2:$Q$910, 0, MATCH($B235, Scores!$I$1:$Q$1, 0)))</f>
        <v>9</v>
      </c>
      <c r="G235" s="1" t="str">
        <f>INDEX(Scores!$B$2:$B$910, MATCH('Next Gen'!$A236, Scores!$F$2:$F$910, 0))</f>
        <v>mid</v>
      </c>
      <c r="H235" s="1" t="str">
        <f>INDEX(Scores!$D$2:$D$910, MATCH('Next Gen'!$A235, Scores!$F$2:$F$910, 0))</f>
        <v>Original</v>
      </c>
      <c r="I235" s="4">
        <f>INDEX(Scores!$E$2:$E$910, MATCH('Next Gen'!$A236, Scores!$F$2:$F$910, 0))</f>
        <v>45855</v>
      </c>
    </row>
    <row r="236" spans="1:9">
      <c r="A236" s="1">
        <v>170</v>
      </c>
      <c r="B236" s="1" t="s">
        <v>78</v>
      </c>
      <c r="C236" s="1">
        <v>9</v>
      </c>
      <c r="D236" s="1">
        <v>6</v>
      </c>
      <c r="E236" s="1">
        <v>2</v>
      </c>
      <c r="F236" s="1">
        <f>SUMIF(Scores!$F$2:$F$910, 'Next Gen'!$A236, INDEX(Scores!$I$2:$Q$910, 0, MATCH($B236, Scores!$I$1:$Q$1, 0)))</f>
        <v>3</v>
      </c>
      <c r="G236" s="1" t="str">
        <f>INDEX(Scores!$B$2:$B$910, MATCH('Next Gen'!$A234, Scores!$F$2:$F$910, 0))</f>
        <v>mid</v>
      </c>
      <c r="H236" s="1" t="str">
        <f>INDEX(Scores!$D$2:$D$910, MATCH('Next Gen'!$A236, Scores!$F$2:$F$910, 0))</f>
        <v>Original</v>
      </c>
      <c r="I236" s="4">
        <f>INDEX(Scores!$E$2:$E$910, MATCH('Next Gen'!$A234, Scores!$F$2:$F$910, 0))</f>
        <v>45855</v>
      </c>
    </row>
    <row r="237" spans="1:9">
      <c r="A237" s="1">
        <v>171</v>
      </c>
      <c r="B237" s="1" t="s">
        <v>5</v>
      </c>
      <c r="C237" s="1">
        <v>9</v>
      </c>
      <c r="D237" s="1">
        <v>6</v>
      </c>
      <c r="E237" s="1">
        <v>4</v>
      </c>
      <c r="F237" s="1">
        <f>SUMIF(Scores!$F$2:$F$910, 'Next Gen'!$A237, INDEX(Scores!$I$2:$Q$910, 0, MATCH($B237, Scores!$I$1:$Q$1, 0)))</f>
        <v>6</v>
      </c>
      <c r="G237" s="1" t="str">
        <f>INDEX(Scores!$B$2:$B$910, MATCH('Next Gen'!$A239, Scores!$F$2:$F$910, 0))</f>
        <v>mid</v>
      </c>
      <c r="H237" s="1" t="str">
        <f>INDEX(Scores!$D$2:$D$910, MATCH('Next Gen'!$A237, Scores!$F$2:$F$910, 0))</f>
        <v>Original</v>
      </c>
      <c r="I237" s="4">
        <f>INDEX(Scores!$E$2:$E$910, MATCH('Next Gen'!$A239, Scores!$F$2:$F$910, 0))</f>
        <v>45855</v>
      </c>
    </row>
    <row r="238" spans="1:9">
      <c r="A238" s="1">
        <v>171</v>
      </c>
      <c r="B238" s="1" t="s">
        <v>4</v>
      </c>
      <c r="C238" s="1">
        <v>9</v>
      </c>
      <c r="D238" s="1">
        <v>7</v>
      </c>
      <c r="E238" s="1">
        <v>2</v>
      </c>
      <c r="F238" s="1">
        <f>SUMIF(Scores!$F$2:$F$910, 'Next Gen'!$A238, INDEX(Scores!$I$2:$Q$910, 0, MATCH($B238, Scores!$I$1:$Q$1, 0)))</f>
        <v>5</v>
      </c>
      <c r="G238" s="1" t="str">
        <f>INDEX(Scores!$B$2:$B$910, MATCH('Next Gen'!$A238, Scores!$F$2:$F$910, 0))</f>
        <v>mid</v>
      </c>
      <c r="H238" s="1" t="str">
        <f>INDEX(Scores!$D$2:$D$910, MATCH('Next Gen'!$A238, Scores!$F$2:$F$910, 0))</f>
        <v>Original</v>
      </c>
      <c r="I238" s="4">
        <f>INDEX(Scores!$E$2:$E$910, MATCH('Next Gen'!$A238, Scores!$F$2:$F$910, 0))</f>
        <v>45855</v>
      </c>
    </row>
    <row r="239" spans="1:9">
      <c r="A239" s="1">
        <v>171</v>
      </c>
      <c r="B239" s="1" t="s">
        <v>78</v>
      </c>
      <c r="C239" s="1">
        <v>9</v>
      </c>
      <c r="D239" s="1">
        <v>6</v>
      </c>
      <c r="E239" s="1">
        <v>1</v>
      </c>
      <c r="F239" s="1">
        <f>SUMIF(Scores!$F$2:$F$910, 'Next Gen'!$A239, INDEX(Scores!$I$2:$Q$910, 0, MATCH($B239, Scores!$I$1:$Q$1, 0)))</f>
        <v>1</v>
      </c>
      <c r="G239" s="1" t="str">
        <f>INDEX(Scores!$B$2:$B$910, MATCH('Next Gen'!$A237, Scores!$F$2:$F$910, 0))</f>
        <v>mid</v>
      </c>
      <c r="H239" s="1" t="str">
        <f>INDEX(Scores!$D$2:$D$910, MATCH('Next Gen'!$A239, Scores!$F$2:$F$910, 0))</f>
        <v>Original</v>
      </c>
      <c r="I239" s="4">
        <f>INDEX(Scores!$E$2:$E$910, MATCH('Next Gen'!$A237, Scores!$F$2:$F$910, 0))</f>
        <v>45855</v>
      </c>
    </row>
    <row r="240" spans="1:9">
      <c r="A240" s="1">
        <v>172</v>
      </c>
      <c r="B240" s="1" t="s">
        <v>4</v>
      </c>
      <c r="C240" s="1">
        <v>9</v>
      </c>
      <c r="D240" s="1">
        <v>9</v>
      </c>
      <c r="E240" s="1">
        <v>6</v>
      </c>
      <c r="F240" s="1">
        <f>SUMIF(Scores!$F$2:$F$910, 'Next Gen'!$A240, INDEX(Scores!$I$2:$Q$910, 0, MATCH($B240, Scores!$I$1:$Q$1, 0)))</f>
        <v>12</v>
      </c>
      <c r="G240" s="1" t="str">
        <f>INDEX(Scores!$B$2:$B$910, MATCH('Next Gen'!$A241, Scores!$F$2:$F$910, 0))</f>
        <v>mid</v>
      </c>
      <c r="H240" s="1" t="str">
        <f>INDEX(Scores!$D$2:$D$910, MATCH('Next Gen'!$A240, Scores!$F$2:$F$910, 0))</f>
        <v>Original</v>
      </c>
      <c r="I240" s="4">
        <f>INDEX(Scores!$E$2:$E$910, MATCH('Next Gen'!$A241, Scores!$F$2:$F$910, 0))</f>
        <v>45855</v>
      </c>
    </row>
    <row r="241" spans="1:9">
      <c r="A241" s="1">
        <v>172</v>
      </c>
      <c r="B241" s="1" t="s">
        <v>78</v>
      </c>
      <c r="C241" s="1">
        <v>9</v>
      </c>
      <c r="D241" s="1">
        <v>2</v>
      </c>
      <c r="E241" s="1">
        <v>0</v>
      </c>
      <c r="F241" s="1">
        <f>SUMIF(Scores!$F$2:$F$910, 'Next Gen'!$A241, INDEX(Scores!$I$2:$Q$910, 0, MATCH($B241, Scores!$I$1:$Q$1, 0)))</f>
        <v>0</v>
      </c>
      <c r="G241" s="1" t="str">
        <f>INDEX(Scores!$B$2:$B$910, MATCH('Next Gen'!$A240, Scores!$F$2:$F$910, 0))</f>
        <v>mid</v>
      </c>
      <c r="H241" s="1" t="str">
        <f>INDEX(Scores!$D$2:$D$910, MATCH('Next Gen'!$A241, Scores!$F$2:$F$910, 0))</f>
        <v>Original</v>
      </c>
      <c r="I241" s="4">
        <f>INDEX(Scores!$E$2:$E$910, MATCH('Next Gen'!$A240, Scores!$F$2:$F$910, 0))</f>
        <v>45855</v>
      </c>
    </row>
    <row r="242" spans="1:9">
      <c r="A242" s="1">
        <v>173</v>
      </c>
      <c r="B242" s="1" t="s">
        <v>78</v>
      </c>
      <c r="C242" s="1">
        <v>12</v>
      </c>
      <c r="D242" s="1">
        <v>9</v>
      </c>
      <c r="E242" s="1">
        <v>1</v>
      </c>
      <c r="F242" s="1">
        <f>SUMIF(Scores!$F$2:$F$910, 'Next Gen'!$A242, INDEX(Scores!$I$2:$Q$910, 0, MATCH($B242, Scores!$I$1:$Q$1, 0)))</f>
        <v>0</v>
      </c>
      <c r="G242" s="1" t="str">
        <f>INDEX(Scores!$B$2:$B$910, MATCH('Next Gen'!$A242, Scores!$F$2:$F$910, 0))</f>
        <v>mid</v>
      </c>
      <c r="H242" s="1" t="str">
        <f>INDEX(Scores!$D$2:$D$910, MATCH('Next Gen'!$A242, Scores!$F$2:$F$910, 0))</f>
        <v>Original</v>
      </c>
      <c r="I242" s="4">
        <f>INDEX(Scores!$E$2:$E$910, MATCH('Next Gen'!$A242, Scores!$F$2:$F$910, 0))</f>
        <v>45859</v>
      </c>
    </row>
    <row r="243" spans="1:9">
      <c r="A243" s="1">
        <v>173</v>
      </c>
      <c r="B243" s="1" t="s">
        <v>5</v>
      </c>
      <c r="C243" s="1">
        <v>12</v>
      </c>
      <c r="D243" s="1">
        <v>4</v>
      </c>
      <c r="E243" s="1">
        <v>0</v>
      </c>
      <c r="F243" s="1">
        <f>SUMIF(Scores!$F$2:$F$910, 'Next Gen'!$A243, INDEX(Scores!$I$2:$Q$910, 0, MATCH($B243, Scores!$I$1:$Q$1, 0)))</f>
        <v>1</v>
      </c>
      <c r="G243" s="1" t="str">
        <f>INDEX(Scores!$B$2:$B$910, MATCH('Next Gen'!$A243, Scores!$F$2:$F$910, 0))</f>
        <v>mid</v>
      </c>
      <c r="H243" s="1" t="str">
        <f>INDEX(Scores!$D$2:$D$910, MATCH('Next Gen'!$A243, Scores!$F$2:$F$910, 0))</f>
        <v>Original</v>
      </c>
      <c r="I243" s="4">
        <f>INDEX(Scores!$E$2:$E$910, MATCH('Next Gen'!$A243, Scores!$F$2:$F$910, 0))</f>
        <v>45859</v>
      </c>
    </row>
    <row r="244" spans="1:9">
      <c r="A244" s="1">
        <v>174</v>
      </c>
      <c r="B244" s="1" t="s">
        <v>78</v>
      </c>
      <c r="C244" s="1">
        <v>9</v>
      </c>
      <c r="D244" s="1">
        <v>5</v>
      </c>
      <c r="E244" s="1">
        <v>3</v>
      </c>
      <c r="F244" s="1">
        <f>SUMIF(Scores!$F$2:$F$910, 'Next Gen'!$A244, INDEX(Scores!$I$2:$Q$910, 0, MATCH($B244, Scores!$I$1:$Q$1, 0)))</f>
        <v>3</v>
      </c>
      <c r="G244" s="1" t="str">
        <f>INDEX(Scores!$B$2:$B$910, MATCH('Next Gen'!$A244, Scores!$F$2:$F$910, 0))</f>
        <v>mid</v>
      </c>
      <c r="H244" s="1" t="str">
        <f>INDEX(Scores!$D$2:$D$910, MATCH('Next Gen'!$A244, Scores!$F$2:$F$910, 0))</f>
        <v>Original</v>
      </c>
      <c r="I244" s="4">
        <f>INDEX(Scores!$E$2:$E$910, MATCH('Next Gen'!$A244, Scores!$F$2:$F$910, 0))</f>
        <v>45859</v>
      </c>
    </row>
    <row r="245" spans="1:9">
      <c r="A245" s="1">
        <v>174</v>
      </c>
      <c r="B245" s="1" t="s">
        <v>5</v>
      </c>
      <c r="C245" s="1">
        <v>9</v>
      </c>
      <c r="D245" s="1">
        <v>8</v>
      </c>
      <c r="E245" s="1">
        <v>2</v>
      </c>
      <c r="F245" s="1">
        <f>SUMIF(Scores!$F$2:$F$910, 'Next Gen'!$A245, INDEX(Scores!$I$2:$Q$910, 0, MATCH($B245, Scores!$I$1:$Q$1, 0)))</f>
        <v>5</v>
      </c>
      <c r="G245" s="1" t="str">
        <f>INDEX(Scores!$B$2:$B$910, MATCH('Next Gen'!$A245, Scores!$F$2:$F$910, 0))</f>
        <v>mid</v>
      </c>
      <c r="H245" s="1" t="str">
        <f>INDEX(Scores!$D$2:$D$910, MATCH('Next Gen'!$A245, Scores!$F$2:$F$910, 0))</f>
        <v>Original</v>
      </c>
      <c r="I245" s="4">
        <f>INDEX(Scores!$E$2:$E$910, MATCH('Next Gen'!$A245, Scores!$F$2:$F$910, 0))</f>
        <v>45859</v>
      </c>
    </row>
    <row r="246" spans="1:9">
      <c r="A246" s="1">
        <v>175</v>
      </c>
      <c r="B246" s="1" t="s">
        <v>5</v>
      </c>
      <c r="C246" s="1">
        <v>9</v>
      </c>
      <c r="D246" s="1">
        <v>7</v>
      </c>
      <c r="E246" s="1">
        <v>2</v>
      </c>
      <c r="F246" s="1">
        <f>SUMIF(Scores!$F$2:$F$910, 'Next Gen'!$A246, INDEX(Scores!$I$2:$Q$910, 0, MATCH($B246, Scores!$I$1:$Q$1, 0)))</f>
        <v>4</v>
      </c>
      <c r="G246" s="1" t="str">
        <f>INDEX(Scores!$B$2:$B$910, MATCH('Next Gen'!$A247, Scores!$F$2:$F$910, 0))</f>
        <v>high</v>
      </c>
      <c r="H246" s="1" t="str">
        <f>INDEX(Scores!$D$2:$D$910, MATCH('Next Gen'!$A246, Scores!$F$2:$F$910, 0))</f>
        <v>Original</v>
      </c>
      <c r="I246" s="4">
        <f>INDEX(Scores!$E$2:$E$910, MATCH('Next Gen'!$A247, Scores!$F$2:$F$910, 0))</f>
        <v>45859</v>
      </c>
    </row>
    <row r="247" spans="1:9">
      <c r="A247" s="1">
        <v>175</v>
      </c>
      <c r="B247" s="1" t="s">
        <v>78</v>
      </c>
      <c r="C247" s="1">
        <v>9</v>
      </c>
      <c r="D247" s="1">
        <v>3</v>
      </c>
      <c r="E247" s="1">
        <v>1</v>
      </c>
      <c r="F247" s="1">
        <f>SUMIF(Scores!$F$2:$F$910, 'Next Gen'!$A247, INDEX(Scores!$I$2:$Q$910, 0, MATCH($B247, Scores!$I$1:$Q$1, 0)))</f>
        <v>1</v>
      </c>
      <c r="G247" s="1" t="str">
        <f>INDEX(Scores!$B$2:$B$910, MATCH('Next Gen'!$A246, Scores!$F$2:$F$910, 0))</f>
        <v>high</v>
      </c>
      <c r="H247" s="1" t="str">
        <f>INDEX(Scores!$D$2:$D$910, MATCH('Next Gen'!$A247, Scores!$F$2:$F$910, 0))</f>
        <v>Original</v>
      </c>
      <c r="I247" s="4">
        <f>INDEX(Scores!$E$2:$E$910, MATCH('Next Gen'!$A246, Scores!$F$2:$F$910, 0))</f>
        <v>45859</v>
      </c>
    </row>
    <row r="248" spans="1:9">
      <c r="A248" s="1">
        <v>176</v>
      </c>
      <c r="B248" s="1" t="s">
        <v>4</v>
      </c>
      <c r="C248" s="1">
        <v>9</v>
      </c>
      <c r="D248" s="1">
        <v>9</v>
      </c>
      <c r="E248" s="1">
        <v>4</v>
      </c>
      <c r="F248" s="1">
        <f>SUMIF(Scores!$F$2:$F$910, 'Next Gen'!$A248, INDEX(Scores!$I$2:$Q$910, 0, MATCH($B248, Scores!$I$1:$Q$1, 0)))</f>
        <v>8</v>
      </c>
      <c r="G248" s="1" t="str">
        <f>INDEX(Scores!$B$2:$B$910, MATCH('Next Gen'!$A248, Scores!$F$2:$F$910, 0))</f>
        <v>mid</v>
      </c>
      <c r="H248" s="1" t="str">
        <f>INDEX(Scores!$D$2:$D$910, MATCH('Next Gen'!$A248, Scores!$F$2:$F$910, 0))</f>
        <v>Original</v>
      </c>
      <c r="I248" s="4">
        <f>INDEX(Scores!$E$2:$E$910, MATCH('Next Gen'!$A248, Scores!$F$2:$F$910, 0))</f>
        <v>45860</v>
      </c>
    </row>
    <row r="249" spans="1:9">
      <c r="A249" s="1">
        <v>176</v>
      </c>
      <c r="B249" s="1" t="s">
        <v>5</v>
      </c>
      <c r="C249" s="1">
        <v>9</v>
      </c>
      <c r="D249" s="1">
        <v>8</v>
      </c>
      <c r="E249" s="1">
        <v>3</v>
      </c>
      <c r="F249" s="1">
        <f>SUMIF(Scores!$F$2:$F$910, 'Next Gen'!$A249, INDEX(Scores!$I$2:$Q$910, 0, MATCH($B249, Scores!$I$1:$Q$1, 0)))</f>
        <v>6</v>
      </c>
      <c r="G249" s="1" t="str">
        <f>INDEX(Scores!$B$2:$B$910, MATCH('Next Gen'!$A249, Scores!$F$2:$F$910, 0))</f>
        <v>mid</v>
      </c>
      <c r="H249" s="1" t="str">
        <f>INDEX(Scores!$D$2:$D$910, MATCH('Next Gen'!$A249, Scores!$F$2:$F$910, 0))</f>
        <v>Original</v>
      </c>
      <c r="I249" s="4">
        <f>INDEX(Scores!$E$2:$E$910, MATCH('Next Gen'!$A249, Scores!$F$2:$F$910, 0))</f>
        <v>45860</v>
      </c>
    </row>
    <row r="250" spans="1:9">
      <c r="A250" s="1">
        <v>177</v>
      </c>
      <c r="B250" s="1" t="s">
        <v>5</v>
      </c>
      <c r="C250" s="1">
        <v>9</v>
      </c>
      <c r="D250" s="1">
        <v>8</v>
      </c>
      <c r="E250" s="1">
        <v>4</v>
      </c>
      <c r="F250" s="1">
        <f>SUMIF(Scores!$F$2:$F$910, 'Next Gen'!$A250, INDEX(Scores!$I$2:$Q$910, 0, MATCH($B250, Scores!$I$1:$Q$1, 0)))</f>
        <v>7</v>
      </c>
      <c r="G250" s="1" t="str">
        <f>INDEX(Scores!$B$2:$B$910, MATCH('Next Gen'!$A251, Scores!$F$2:$F$910, 0))</f>
        <v>high</v>
      </c>
      <c r="H250" s="1" t="str">
        <f>INDEX(Scores!$D$2:$D$910, MATCH('Next Gen'!$A250, Scores!$F$2:$F$910, 0))</f>
        <v>Original</v>
      </c>
      <c r="I250" s="4">
        <f>INDEX(Scores!$E$2:$E$910, MATCH('Next Gen'!$A251, Scores!$F$2:$F$910, 0))</f>
        <v>45860</v>
      </c>
    </row>
    <row r="251" spans="1:9">
      <c r="A251" s="1">
        <v>177</v>
      </c>
      <c r="B251" s="1" t="s">
        <v>4</v>
      </c>
      <c r="C251" s="1">
        <v>9</v>
      </c>
      <c r="D251" s="1">
        <v>9</v>
      </c>
      <c r="E251" s="1">
        <v>2</v>
      </c>
      <c r="F251" s="1">
        <f>SUMIF(Scores!$F$2:$F$910, 'Next Gen'!$A251, INDEX(Scores!$I$2:$Q$910, 0, MATCH($B251, Scores!$I$1:$Q$1, 0)))</f>
        <v>3</v>
      </c>
      <c r="G251" s="1" t="str">
        <f>INDEX(Scores!$B$2:$B$910, MATCH('Next Gen'!$A250, Scores!$F$2:$F$910, 0))</f>
        <v>high</v>
      </c>
      <c r="H251" s="1" t="str">
        <f>INDEX(Scores!$D$2:$D$910, MATCH('Next Gen'!$A251, Scores!$F$2:$F$910, 0))</f>
        <v>Original</v>
      </c>
      <c r="I251" s="4">
        <f>INDEX(Scores!$E$2:$E$910, MATCH('Next Gen'!$A250, Scores!$F$2:$F$910, 0))</f>
        <v>45860</v>
      </c>
    </row>
    <row r="252" spans="1:9">
      <c r="A252" s="1">
        <v>178</v>
      </c>
      <c r="B252" s="1" t="s">
        <v>4</v>
      </c>
      <c r="C252" s="1">
        <v>9</v>
      </c>
      <c r="D252" s="1">
        <v>9</v>
      </c>
      <c r="E252" s="1">
        <v>5</v>
      </c>
      <c r="F252" s="1">
        <f>SUMIF(Scores!$F$2:$F$910, 'Next Gen'!$A252, INDEX(Scores!$I$2:$Q$910, 0, MATCH($B252, Scores!$I$1:$Q$1, 0)))</f>
        <v>9</v>
      </c>
      <c r="G252" s="1" t="str">
        <f>INDEX(Scores!$B$2:$B$910, MATCH('Next Gen'!$A252, Scores!$F$2:$F$910, 0))</f>
        <v>mid</v>
      </c>
      <c r="H252" s="1" t="str">
        <f>INDEX(Scores!$D$2:$D$910, MATCH('Next Gen'!$A252, Scores!$F$2:$F$910, 0))</f>
        <v>Original</v>
      </c>
      <c r="I252" s="4">
        <f>INDEX(Scores!$E$2:$E$910, MATCH('Next Gen'!$A252, Scores!$F$2:$F$910, 0))</f>
        <v>45861</v>
      </c>
    </row>
    <row r="253" spans="1:9">
      <c r="A253" s="1">
        <v>178</v>
      </c>
      <c r="B253" s="1" t="s">
        <v>5</v>
      </c>
      <c r="C253" s="1">
        <v>9</v>
      </c>
      <c r="D253" s="1">
        <v>9</v>
      </c>
      <c r="E253" s="1">
        <v>3</v>
      </c>
      <c r="F253" s="1">
        <f>SUMIF(Scores!$F$2:$F$910, 'Next Gen'!$A253, INDEX(Scores!$I$2:$Q$910, 0, MATCH($B253, Scores!$I$1:$Q$1, 0)))</f>
        <v>5</v>
      </c>
      <c r="G253" s="1" t="str">
        <f>INDEX(Scores!$B$2:$B$910, MATCH('Next Gen'!$A253, Scores!$F$2:$F$910, 0))</f>
        <v>mid</v>
      </c>
      <c r="H253" s="1" t="str">
        <f>INDEX(Scores!$D$2:$D$910, MATCH('Next Gen'!$A253, Scores!$F$2:$F$910, 0))</f>
        <v>Original</v>
      </c>
      <c r="I253" s="4">
        <f>INDEX(Scores!$E$2:$E$910, MATCH('Next Gen'!$A253, Scores!$F$2:$F$910, 0))</f>
        <v>45861</v>
      </c>
    </row>
    <row r="254" spans="1:9">
      <c r="A254" s="1">
        <v>178</v>
      </c>
      <c r="B254" s="1" t="s">
        <v>6</v>
      </c>
      <c r="C254" s="1">
        <v>9</v>
      </c>
      <c r="D254" s="1">
        <v>4</v>
      </c>
      <c r="E254" s="1">
        <v>2</v>
      </c>
      <c r="F254" s="1">
        <f>SUMIF(Scores!$F$2:$F$910, 'Next Gen'!$A254, INDEX(Scores!$I$2:$Q$910, 0, MATCH($B254, Scores!$I$1:$Q$1, 0)))</f>
        <v>2</v>
      </c>
      <c r="G254" s="1" t="str">
        <f>INDEX(Scores!$B$2:$B$910, MATCH('Next Gen'!$A254, Scores!$F$2:$F$910, 0))</f>
        <v>mid</v>
      </c>
      <c r="H254" s="1" t="str">
        <f>INDEX(Scores!$D$2:$D$910, MATCH('Next Gen'!$A254, Scores!$F$2:$F$910, 0))</f>
        <v>Original</v>
      </c>
      <c r="I254" s="4">
        <f>INDEX(Scores!$E$2:$E$910, MATCH('Next Gen'!$A254, Scores!$F$2:$F$910, 0))</f>
        <v>45861</v>
      </c>
    </row>
    <row r="255" spans="1:9">
      <c r="A255" s="1">
        <v>179</v>
      </c>
      <c r="B255" s="1" t="s">
        <v>4</v>
      </c>
      <c r="C255" s="1">
        <v>9</v>
      </c>
      <c r="D255" s="1">
        <v>9</v>
      </c>
      <c r="E255" s="1">
        <v>5</v>
      </c>
      <c r="F255" s="1">
        <f>SUMIF(Scores!$F$2:$F$910, 'Next Gen'!$A255, INDEX(Scores!$I$2:$Q$910, 0, MATCH($B255, Scores!$I$1:$Q$1, 0)))</f>
        <v>6</v>
      </c>
      <c r="G255" s="1" t="str">
        <f>INDEX(Scores!$B$2:$B$910, MATCH('Next Gen'!$A255, Scores!$F$2:$F$910, 0))</f>
        <v>mid</v>
      </c>
      <c r="H255" s="1" t="str">
        <f>INDEX(Scores!$D$2:$D$910, MATCH('Next Gen'!$A255, Scores!$F$2:$F$910, 0))</f>
        <v>Original</v>
      </c>
      <c r="I255" s="4">
        <f>INDEX(Scores!$E$2:$E$910, MATCH('Next Gen'!$A255, Scores!$F$2:$F$910, 0))</f>
        <v>45861</v>
      </c>
    </row>
    <row r="256" spans="1:9">
      <c r="A256" s="1">
        <v>179</v>
      </c>
      <c r="B256" s="1" t="s">
        <v>5</v>
      </c>
      <c r="C256" s="1">
        <v>9</v>
      </c>
      <c r="D256" s="1">
        <v>6</v>
      </c>
      <c r="E256" s="1">
        <v>2</v>
      </c>
      <c r="F256" s="1">
        <f>SUMIF(Scores!$F$2:$F$910, 'Next Gen'!$A256, INDEX(Scores!$I$2:$Q$910, 0, MATCH($B256, Scores!$I$1:$Q$1, 0)))</f>
        <v>3</v>
      </c>
      <c r="G256" s="1" t="str">
        <f>INDEX(Scores!$B$2:$B$910, MATCH('Next Gen'!$A256, Scores!$F$2:$F$910, 0))</f>
        <v>mid</v>
      </c>
      <c r="H256" s="1" t="str">
        <f>INDEX(Scores!$D$2:$D$910, MATCH('Next Gen'!$A256, Scores!$F$2:$F$910, 0))</f>
        <v>Original</v>
      </c>
      <c r="I256" s="4">
        <f>INDEX(Scores!$E$2:$E$910, MATCH('Next Gen'!$A256, Scores!$F$2:$F$910, 0))</f>
        <v>45861</v>
      </c>
    </row>
    <row r="257" spans="1:9">
      <c r="A257" s="1">
        <v>180</v>
      </c>
      <c r="B257" s="1" t="s">
        <v>6</v>
      </c>
      <c r="C257" s="1">
        <v>9</v>
      </c>
      <c r="D257" s="1">
        <v>7</v>
      </c>
      <c r="E257" s="1">
        <v>4</v>
      </c>
      <c r="F257" s="1">
        <f>SUMIF(Scores!$F$2:$F$910, 'Next Gen'!$A257, INDEX(Scores!$I$2:$Q$910, 0, MATCH($B257, Scores!$I$1:$Q$1, 0)))</f>
        <v>8</v>
      </c>
      <c r="G257" s="1" t="str">
        <f>INDEX(Scores!$B$2:$B$910, MATCH('Next Gen'!$A257, Scores!$F$2:$F$910, 0))</f>
        <v>mid</v>
      </c>
      <c r="H257" s="1" t="str">
        <f>INDEX(Scores!$D$2:$D$910, MATCH('Next Gen'!$A257, Scores!$F$2:$F$910, 0))</f>
        <v>Original</v>
      </c>
      <c r="I257" s="4">
        <f>INDEX(Scores!$E$2:$E$910, MATCH('Next Gen'!$A257, Scores!$F$2:$F$910, 0))</f>
        <v>45862</v>
      </c>
    </row>
    <row r="258" spans="1:9">
      <c r="A258" s="1">
        <v>180</v>
      </c>
      <c r="B258" s="1" t="s">
        <v>5</v>
      </c>
      <c r="C258" s="1">
        <v>9</v>
      </c>
      <c r="D258" s="1">
        <v>7</v>
      </c>
      <c r="E258" s="1">
        <v>3</v>
      </c>
      <c r="F258" s="1">
        <f>SUMIF(Scores!$F$2:$F$910, 'Next Gen'!$A258, INDEX(Scores!$I$2:$Q$910, 0, MATCH($B258, Scores!$I$1:$Q$1, 0)))</f>
        <v>5</v>
      </c>
      <c r="G258" s="1" t="str">
        <f>INDEX(Scores!$B$2:$B$910, MATCH('Next Gen'!$A258, Scores!$F$2:$F$910, 0))</f>
        <v>mid</v>
      </c>
      <c r="H258" s="1" t="str">
        <f>INDEX(Scores!$D$2:$D$910, MATCH('Next Gen'!$A258, Scores!$F$2:$F$910, 0))</f>
        <v>Original</v>
      </c>
      <c r="I258" s="4">
        <f>INDEX(Scores!$E$2:$E$910, MATCH('Next Gen'!$A258, Scores!$F$2:$F$910, 0))</f>
        <v>45862</v>
      </c>
    </row>
    <row r="259" spans="1:9">
      <c r="A259" s="1">
        <v>181</v>
      </c>
      <c r="B259" s="1" t="s">
        <v>5</v>
      </c>
      <c r="C259" s="1">
        <v>9</v>
      </c>
      <c r="D259" s="1">
        <v>8</v>
      </c>
      <c r="E259" s="1">
        <v>3</v>
      </c>
      <c r="F259" s="1">
        <f>SUMIF(Scores!$F$2:$F$910, 'Next Gen'!$A259, INDEX(Scores!$I$2:$Q$910, 0, MATCH($B259, Scores!$I$1:$Q$1, 0)))</f>
        <v>4</v>
      </c>
      <c r="G259" s="1" t="str">
        <f>INDEX(Scores!$B$2:$B$910, MATCH('Next Gen'!$A259, Scores!$F$2:$F$910, 0))</f>
        <v>mid</v>
      </c>
      <c r="H259" s="1" t="str">
        <f>INDEX(Scores!$D$2:$D$910, MATCH('Next Gen'!$A259, Scores!$F$2:$F$910, 0))</f>
        <v>Original</v>
      </c>
      <c r="I259" s="4">
        <f>INDEX(Scores!$E$2:$E$910, MATCH('Next Gen'!$A259, Scores!$F$2:$F$910, 0))</f>
        <v>45863</v>
      </c>
    </row>
    <row r="260" spans="1:9">
      <c r="A260" s="1">
        <v>181</v>
      </c>
      <c r="B260" s="1" t="s">
        <v>6</v>
      </c>
      <c r="C260" s="1">
        <v>9</v>
      </c>
      <c r="D260" s="1">
        <v>3</v>
      </c>
      <c r="E260" s="1">
        <v>0</v>
      </c>
      <c r="F260" s="1">
        <f>SUMIF(Scores!$F$2:$F$910, 'Next Gen'!$A260, INDEX(Scores!$I$2:$Q$910, 0, MATCH($B260, Scores!$I$1:$Q$1, 0)))</f>
        <v>0</v>
      </c>
      <c r="G260" s="1" t="str">
        <f>INDEX(Scores!$B$2:$B$910, MATCH('Next Gen'!$A260, Scores!$F$2:$F$910, 0))</f>
        <v>mid</v>
      </c>
      <c r="H260" s="1" t="str">
        <f>INDEX(Scores!$D$2:$D$910, MATCH('Next Gen'!$A260, Scores!$F$2:$F$910, 0))</f>
        <v>Original</v>
      </c>
      <c r="I260" s="4">
        <f>INDEX(Scores!$E$2:$E$910, MATCH('Next Gen'!$A260, Scores!$F$2:$F$910, 0))</f>
        <v>45863</v>
      </c>
    </row>
    <row r="261" spans="1:9">
      <c r="A261" s="1">
        <v>182</v>
      </c>
      <c r="B261" s="1" t="s">
        <v>78</v>
      </c>
      <c r="C261" s="1">
        <v>12</v>
      </c>
      <c r="D261" s="1">
        <v>7</v>
      </c>
      <c r="E261" s="1">
        <v>3</v>
      </c>
      <c r="F261" s="1">
        <f>SUMIF(Scores!$F$2:$F$910, 'Next Gen'!$A261, INDEX(Scores!$I$2:$Q$910, 0, MATCH($B261, Scores!$I$1:$Q$1, 0)))</f>
        <v>3</v>
      </c>
      <c r="G261" s="1" t="str">
        <f>INDEX(Scores!$B$2:$B$910, MATCH('Next Gen'!$A261, Scores!$F$2:$F$910, 0))</f>
        <v>mid</v>
      </c>
      <c r="H261" s="1" t="str">
        <f>INDEX(Scores!$D$2:$D$910, MATCH('Next Gen'!$A261, Scores!$F$2:$F$910, 0))</f>
        <v>Original</v>
      </c>
      <c r="I261" s="4">
        <f>INDEX(Scores!$E$2:$E$910, MATCH('Next Gen'!$A261, Scores!$F$2:$F$910, 0))</f>
        <v>45863</v>
      </c>
    </row>
    <row r="262" spans="1:9">
      <c r="A262" s="1">
        <v>182</v>
      </c>
      <c r="B262" s="1" t="s">
        <v>5</v>
      </c>
      <c r="C262" s="1">
        <v>12</v>
      </c>
      <c r="D262" s="1">
        <v>11</v>
      </c>
      <c r="E262" s="1">
        <v>3</v>
      </c>
      <c r="F262" s="1">
        <f>SUMIF(Scores!$F$2:$F$910, 'Next Gen'!$A262, INDEX(Scores!$I$2:$Q$910, 0, MATCH($B262, Scores!$I$1:$Q$1, 0)))</f>
        <v>4</v>
      </c>
      <c r="G262" s="1" t="str">
        <f>INDEX(Scores!$B$2:$B$910, MATCH('Next Gen'!$A262, Scores!$F$2:$F$910, 0))</f>
        <v>mid</v>
      </c>
      <c r="H262" s="1" t="str">
        <f>INDEX(Scores!$D$2:$D$910, MATCH('Next Gen'!$A262, Scores!$F$2:$F$910, 0))</f>
        <v>Original</v>
      </c>
      <c r="I262" s="4">
        <f>INDEX(Scores!$E$2:$E$910, MATCH('Next Gen'!$A262, Scores!$F$2:$F$910, 0))</f>
        <v>45863</v>
      </c>
    </row>
    <row r="263" spans="1:9">
      <c r="A263" s="1">
        <v>183</v>
      </c>
      <c r="B263" s="1" t="s">
        <v>5</v>
      </c>
      <c r="C263" s="1">
        <v>9</v>
      </c>
      <c r="D263" s="1">
        <v>9</v>
      </c>
      <c r="E263" s="1">
        <v>2</v>
      </c>
      <c r="F263" s="1">
        <f>SUMIF(Scores!$F$2:$F$910, 'Next Gen'!$A263, INDEX(Scores!$I$2:$Q$910, 0, MATCH($B263, Scores!$I$1:$Q$1, 0)))</f>
        <v>5</v>
      </c>
      <c r="G263" s="1" t="str">
        <f>INDEX(Scores!$B$2:$B$910, MATCH('Next Gen'!$A263, Scores!$F$2:$F$910, 0))</f>
        <v>mid</v>
      </c>
      <c r="H263" s="1" t="str">
        <f>INDEX(Scores!$D$2:$D$910, MATCH('Next Gen'!$A263, Scores!$F$2:$F$910, 0))</f>
        <v>Original</v>
      </c>
      <c r="I263" s="4">
        <f>INDEX(Scores!$E$2:$E$910, MATCH('Next Gen'!$A263, Scores!$F$2:$F$910, 0))</f>
        <v>45863</v>
      </c>
    </row>
    <row r="264" spans="1:9">
      <c r="A264" s="1">
        <v>183</v>
      </c>
      <c r="B264" s="1" t="s">
        <v>78</v>
      </c>
      <c r="C264" s="1">
        <v>9</v>
      </c>
      <c r="D264" s="1">
        <v>4</v>
      </c>
      <c r="E264" s="1">
        <v>1</v>
      </c>
      <c r="F264" s="1">
        <f>SUMIF(Scores!$F$2:$F$910, 'Next Gen'!$A264, INDEX(Scores!$I$2:$Q$910, 0, MATCH($B264, Scores!$I$1:$Q$1, 0)))</f>
        <v>3</v>
      </c>
      <c r="G264" s="1" t="str">
        <f>INDEX(Scores!$B$2:$B$910, MATCH('Next Gen'!$A264, Scores!$F$2:$F$910, 0))</f>
        <v>mid</v>
      </c>
      <c r="H264" s="1" t="str">
        <f>INDEX(Scores!$D$2:$D$910, MATCH('Next Gen'!$A264, Scores!$F$2:$F$910, 0))</f>
        <v>Original</v>
      </c>
      <c r="I264" s="4">
        <f>INDEX(Scores!$E$2:$E$910, MATCH('Next Gen'!$A264, Scores!$F$2:$F$910, 0))</f>
        <v>45863</v>
      </c>
    </row>
    <row r="265" spans="1:9">
      <c r="A265" s="1">
        <v>184</v>
      </c>
      <c r="B265" s="1" t="s">
        <v>5</v>
      </c>
      <c r="C265" s="1">
        <v>9</v>
      </c>
      <c r="D265" s="1">
        <v>7</v>
      </c>
      <c r="E265" s="1">
        <v>4</v>
      </c>
      <c r="F265" s="1">
        <f>SUMIF(Scores!$F$2:$F$910, 'Next Gen'!$A265, INDEX(Scores!$I$2:$Q$910, 0, MATCH($B265, Scores!$I$1:$Q$1, 0)))</f>
        <v>8</v>
      </c>
      <c r="G265" s="1" t="str">
        <f>INDEX(Scores!$B$2:$B$910, MATCH('Next Gen'!$A265, Scores!$F$2:$F$910, 0))</f>
        <v>mid</v>
      </c>
      <c r="H265" s="1" t="str">
        <f>INDEX(Scores!$D$2:$D$910, MATCH('Next Gen'!$A265, Scores!$F$2:$F$910, 0))</f>
        <v>Original</v>
      </c>
      <c r="I265" s="4">
        <f>INDEX(Scores!$E$2:$E$910, MATCH('Next Gen'!$A265, Scores!$F$2:$F$910, 0))</f>
        <v>45866</v>
      </c>
    </row>
    <row r="266" spans="1:9">
      <c r="A266" s="1">
        <v>184</v>
      </c>
      <c r="B266" s="1" t="s">
        <v>6</v>
      </c>
      <c r="C266" s="1">
        <v>9</v>
      </c>
      <c r="D266" s="1">
        <v>4</v>
      </c>
      <c r="E266" s="1">
        <v>2</v>
      </c>
      <c r="F266" s="1">
        <f>SUMIF(Scores!$F$2:$F$910, 'Next Gen'!$A266, INDEX(Scores!$I$2:$Q$910, 0, MATCH($B266, Scores!$I$1:$Q$1, 0)))</f>
        <v>2</v>
      </c>
      <c r="G266" s="1" t="str">
        <f>INDEX(Scores!$B$2:$B$910, MATCH('Next Gen'!$A266, Scores!$F$2:$F$910, 0))</f>
        <v>mid</v>
      </c>
      <c r="H266" s="1" t="str">
        <f>INDEX(Scores!$D$2:$D$910, MATCH('Next Gen'!$A266, Scores!$F$2:$F$910, 0))</f>
        <v>Original</v>
      </c>
      <c r="I266" s="4">
        <f>INDEX(Scores!$E$2:$E$910, MATCH('Next Gen'!$A266, Scores!$F$2:$F$910, 0))</f>
        <v>45866</v>
      </c>
    </row>
    <row r="267" spans="1:9">
      <c r="A267" s="1">
        <v>185</v>
      </c>
      <c r="B267" s="1" t="s">
        <v>4</v>
      </c>
      <c r="C267" s="1">
        <v>9</v>
      </c>
      <c r="D267" s="1">
        <v>9</v>
      </c>
      <c r="E267" s="1">
        <v>6</v>
      </c>
      <c r="F267" s="1">
        <f>SUMIF(Scores!$F$2:$F$910, 'Next Gen'!$A267, INDEX(Scores!$I$2:$Q$910, 0, MATCH($B267, Scores!$I$1:$Q$1, 0)))</f>
        <v>11</v>
      </c>
      <c r="G267" s="1" t="str">
        <f>INDEX(Scores!$B$2:$B$910, MATCH('Next Gen'!$A267, Scores!$F$2:$F$910, 0))</f>
        <v>mid</v>
      </c>
      <c r="H267" s="1" t="str">
        <f>INDEX(Scores!$D$2:$D$910, MATCH('Next Gen'!$A267, Scores!$F$2:$F$910, 0))</f>
        <v>Original</v>
      </c>
      <c r="I267" s="4">
        <f>INDEX(Scores!$E$2:$E$910, MATCH('Next Gen'!$A267, Scores!$F$2:$F$910, 0))</f>
        <v>45868</v>
      </c>
    </row>
    <row r="268" spans="1:9">
      <c r="A268" s="1">
        <v>185</v>
      </c>
      <c r="B268" s="1" t="s">
        <v>5</v>
      </c>
      <c r="C268" s="1">
        <v>9</v>
      </c>
      <c r="D268" s="1">
        <v>8</v>
      </c>
      <c r="E268" s="1">
        <v>3</v>
      </c>
      <c r="F268" s="1">
        <f>SUMIF(Scores!$F$2:$F$910, 'Next Gen'!$A268, INDEX(Scores!$I$2:$Q$910, 0, MATCH($B268, Scores!$I$1:$Q$1, 0)))</f>
        <v>6</v>
      </c>
      <c r="G268" s="1" t="str">
        <f>INDEX(Scores!$B$2:$B$910, MATCH('Next Gen'!$A268, Scores!$F$2:$F$910, 0))</f>
        <v>mid</v>
      </c>
      <c r="H268" s="1" t="str">
        <f>INDEX(Scores!$D$2:$D$910, MATCH('Next Gen'!$A268, Scores!$F$2:$F$910, 0))</f>
        <v>Original</v>
      </c>
      <c r="I268" s="4">
        <f>INDEX(Scores!$E$2:$E$910, MATCH('Next Gen'!$A268, Scores!$F$2:$F$910, 0))</f>
        <v>45868</v>
      </c>
    </row>
    <row r="269" spans="1:9">
      <c r="A269" s="1">
        <v>186</v>
      </c>
      <c r="B269" s="1" t="s">
        <v>4</v>
      </c>
      <c r="C269" s="1">
        <v>9</v>
      </c>
      <c r="D269" s="1">
        <v>8</v>
      </c>
      <c r="E269" s="1">
        <v>6</v>
      </c>
      <c r="F269" s="1">
        <f>SUMIF(Scores!$F$2:$F$910, 'Next Gen'!$A269, INDEX(Scores!$I$2:$Q$910, 0, MATCH($B269, Scores!$I$1:$Q$1, 0)))</f>
        <v>10</v>
      </c>
      <c r="G269" s="1" t="str">
        <f>INDEX(Scores!$B$2:$B$910, MATCH('Next Gen'!$A269, Scores!$F$2:$F$910, 0))</f>
        <v>mid</v>
      </c>
      <c r="H269" s="1" t="str">
        <f>INDEX(Scores!$D$2:$D$910, MATCH('Next Gen'!$A269, Scores!$F$2:$F$910, 0))</f>
        <v>Original</v>
      </c>
      <c r="I269" s="4">
        <f>INDEX(Scores!$E$2:$E$910, MATCH('Next Gen'!$A269, Scores!$F$2:$F$910, 0))</f>
        <v>45868</v>
      </c>
    </row>
    <row r="270" spans="1:9">
      <c r="A270" s="1">
        <v>186</v>
      </c>
      <c r="B270" s="1" t="s">
        <v>5</v>
      </c>
      <c r="C270" s="1">
        <v>9</v>
      </c>
      <c r="D270" s="1">
        <v>8</v>
      </c>
      <c r="E270" s="1">
        <v>3</v>
      </c>
      <c r="F270" s="1">
        <f>SUMIF(Scores!$F$2:$F$910, 'Next Gen'!$A270, INDEX(Scores!$I$2:$Q$910, 0, MATCH($B270, Scores!$I$1:$Q$1, 0)))</f>
        <v>7</v>
      </c>
      <c r="G270" s="1" t="str">
        <f>INDEX(Scores!$B$2:$B$910, MATCH('Next Gen'!$A270, Scores!$F$2:$F$910, 0))</f>
        <v>mid</v>
      </c>
      <c r="H270" s="1" t="str">
        <f>INDEX(Scores!$D$2:$D$910, MATCH('Next Gen'!$A270, Scores!$F$2:$F$910, 0))</f>
        <v>Original</v>
      </c>
      <c r="I270" s="4">
        <f>INDEX(Scores!$E$2:$E$910, MATCH('Next Gen'!$A270, Scores!$F$2:$F$910, 0))</f>
        <v>45868</v>
      </c>
    </row>
    <row r="271" spans="1:9">
      <c r="A271" s="1">
        <v>187</v>
      </c>
      <c r="B271" s="1" t="s">
        <v>4</v>
      </c>
      <c r="C271" s="1">
        <v>9</v>
      </c>
      <c r="D271" s="1">
        <v>9</v>
      </c>
      <c r="E271" s="1">
        <v>7</v>
      </c>
      <c r="F271" s="1">
        <f>SUMIF(Scores!$F$2:$F$910, 'Next Gen'!$A271, INDEX(Scores!$I$2:$Q$910, 0, MATCH($B271, Scores!$I$1:$Q$1, 0)))</f>
        <v>13</v>
      </c>
      <c r="G271" s="1" t="str">
        <f>INDEX(Scores!$B$2:$B$910, MATCH('Next Gen'!$A271, Scores!$F$2:$F$910, 0))</f>
        <v>mid</v>
      </c>
      <c r="H271" s="1" t="str">
        <f>INDEX(Scores!$D$2:$D$910, MATCH('Next Gen'!$A271, Scores!$F$2:$F$910, 0))</f>
        <v>Original</v>
      </c>
      <c r="I271" s="4">
        <f>INDEX(Scores!$E$2:$E$910, MATCH('Next Gen'!$A271, Scores!$F$2:$F$910, 0))</f>
        <v>45868</v>
      </c>
    </row>
    <row r="272" spans="1:9">
      <c r="A272" s="1">
        <v>187</v>
      </c>
      <c r="B272" s="1" t="s">
        <v>5</v>
      </c>
      <c r="C272" s="1">
        <v>9</v>
      </c>
      <c r="D272" s="1">
        <v>7</v>
      </c>
      <c r="E272" s="1">
        <v>4</v>
      </c>
      <c r="F272" s="1">
        <f>SUMIF(Scores!$F$2:$F$910, 'Next Gen'!$A272, INDEX(Scores!$I$2:$Q$910, 0, MATCH($B272, Scores!$I$1:$Q$1, 0)))</f>
        <v>4</v>
      </c>
      <c r="G272" s="1" t="str">
        <f>INDEX(Scores!$B$2:$B$910, MATCH('Next Gen'!$A272, Scores!$F$2:$F$910, 0))</f>
        <v>mid</v>
      </c>
      <c r="H272" s="1" t="str">
        <f>INDEX(Scores!$D$2:$D$910, MATCH('Next Gen'!$A272, Scores!$F$2:$F$910, 0))</f>
        <v>Original</v>
      </c>
      <c r="I272" s="4">
        <f>INDEX(Scores!$E$2:$E$910, MATCH('Next Gen'!$A272, Scores!$F$2:$F$910, 0))</f>
        <v>45868</v>
      </c>
    </row>
    <row r="273" spans="1:9">
      <c r="A273" s="1">
        <v>188</v>
      </c>
      <c r="B273" s="1" t="s">
        <v>4</v>
      </c>
      <c r="C273" s="1">
        <v>9</v>
      </c>
      <c r="D273" s="1">
        <v>9</v>
      </c>
      <c r="E273" s="1">
        <v>4</v>
      </c>
      <c r="F273" s="1">
        <f>SUMIF(Scores!$F$2:$F$910, 'Next Gen'!$A273, INDEX(Scores!$I$2:$Q$910, 0, MATCH($B273, Scores!$I$1:$Q$1, 0)))</f>
        <v>8</v>
      </c>
      <c r="G273" s="1" t="str">
        <f>INDEX(Scores!$B$2:$B$910, MATCH('Next Gen'!$A273, Scores!$F$2:$F$910, 0))</f>
        <v>mid</v>
      </c>
      <c r="H273" s="1" t="str">
        <f>INDEX(Scores!$D$2:$D$910, MATCH('Next Gen'!$A273, Scores!$F$2:$F$910, 0))</f>
        <v>Original</v>
      </c>
      <c r="I273" s="4">
        <f>INDEX(Scores!$E$2:$E$910, MATCH('Next Gen'!$A273, Scores!$F$2:$F$910, 0))</f>
        <v>45868</v>
      </c>
    </row>
    <row r="274" spans="1:9">
      <c r="A274" s="1">
        <v>188</v>
      </c>
      <c r="B274" s="1" t="s">
        <v>5</v>
      </c>
      <c r="C274" s="1">
        <v>9</v>
      </c>
      <c r="D274" s="1">
        <v>7</v>
      </c>
      <c r="E274" s="1">
        <v>3</v>
      </c>
      <c r="F274" s="1">
        <f>SUMIF(Scores!$F$2:$F$910, 'Next Gen'!$A274, INDEX(Scores!$I$2:$Q$910, 0, MATCH($B274, Scores!$I$1:$Q$1, 0)))</f>
        <v>6</v>
      </c>
      <c r="G274" s="1" t="str">
        <f>INDEX(Scores!$B$2:$B$910, MATCH('Next Gen'!$A274, Scores!$F$2:$F$910, 0))</f>
        <v>mid</v>
      </c>
      <c r="H274" s="1" t="str">
        <f>INDEX(Scores!$D$2:$D$910, MATCH('Next Gen'!$A274, Scores!$F$2:$F$910, 0))</f>
        <v>Original</v>
      </c>
      <c r="I274" s="4">
        <f>INDEX(Scores!$E$2:$E$910, MATCH('Next Gen'!$A274, Scores!$F$2:$F$910, 0))</f>
        <v>45868</v>
      </c>
    </row>
    <row r="275" spans="1:9">
      <c r="A275" s="1">
        <v>189</v>
      </c>
      <c r="B275" s="1" t="s">
        <v>4</v>
      </c>
      <c r="C275" s="1">
        <v>9</v>
      </c>
      <c r="D275" s="1">
        <v>9</v>
      </c>
      <c r="E275" s="1">
        <v>7</v>
      </c>
      <c r="F275" s="1">
        <f>SUMIF(Scores!$F$2:$F$910, 'Next Gen'!$A275, INDEX(Scores!$I$2:$Q$910, 0, MATCH($B275, Scores!$I$1:$Q$1, 0)))</f>
        <v>16</v>
      </c>
      <c r="G275" s="1" t="str">
        <f>INDEX(Scores!$B$2:$B$910, MATCH('Next Gen'!$A275, Scores!$F$2:$F$910, 0))</f>
        <v>mid</v>
      </c>
      <c r="H275" s="1" t="str">
        <f>INDEX(Scores!$D$2:$D$910, MATCH('Next Gen'!$A275, Scores!$F$2:$F$910, 0))</f>
        <v>Original</v>
      </c>
      <c r="I275" s="4">
        <f>INDEX(Scores!$E$2:$E$910, MATCH('Next Gen'!$A275, Scores!$F$2:$F$910, 0))</f>
        <v>45869</v>
      </c>
    </row>
    <row r="276" spans="1:9">
      <c r="A276" s="1">
        <v>189</v>
      </c>
      <c r="B276" s="1" t="s">
        <v>5</v>
      </c>
      <c r="C276" s="1">
        <v>9</v>
      </c>
      <c r="D276" s="1">
        <v>6</v>
      </c>
      <c r="E276" s="1">
        <v>2</v>
      </c>
      <c r="F276" s="1">
        <f>SUMIF(Scores!$F$2:$F$910, 'Next Gen'!$A276, INDEX(Scores!$I$2:$Q$910, 0, MATCH($B276, Scores!$I$1:$Q$1, 0)))</f>
        <v>6</v>
      </c>
      <c r="G276" s="1" t="str">
        <f>INDEX(Scores!$B$2:$B$910, MATCH('Next Gen'!$A276, Scores!$F$2:$F$910, 0))</f>
        <v>mid</v>
      </c>
      <c r="H276" s="1" t="str">
        <f>INDEX(Scores!$D$2:$D$910, MATCH('Next Gen'!$A276, Scores!$F$2:$F$910, 0))</f>
        <v>Original</v>
      </c>
      <c r="I276" s="4">
        <f>INDEX(Scores!$E$2:$E$910, MATCH('Next Gen'!$A276, Scores!$F$2:$F$910, 0))</f>
        <v>45869</v>
      </c>
    </row>
    <row r="277" spans="1:9">
      <c r="A277" s="1">
        <v>190</v>
      </c>
      <c r="B277" s="1" t="s">
        <v>4</v>
      </c>
      <c r="C277" s="1">
        <v>12</v>
      </c>
      <c r="D277" s="1">
        <v>12</v>
      </c>
      <c r="E277" s="1">
        <v>4</v>
      </c>
      <c r="F277" s="1">
        <f>SUMIF(Scores!$F$2:$F$910, 'Next Gen'!$A277, INDEX(Scores!$I$2:$Q$910, 0, MATCH($B277, Scores!$I$1:$Q$1, 0)))</f>
        <v>9</v>
      </c>
      <c r="G277" s="1" t="str">
        <f>INDEX(Scores!$B$2:$B$910, MATCH('Next Gen'!$A277, Scores!$F$2:$F$910, 0))</f>
        <v>mid</v>
      </c>
      <c r="H277" s="1" t="str">
        <f>INDEX(Scores!$D$2:$D$910, MATCH('Next Gen'!$A277, Scores!$F$2:$F$910, 0))</f>
        <v>Original</v>
      </c>
      <c r="I277" s="4">
        <f>INDEX(Scores!$E$2:$E$910, MATCH('Next Gen'!$A277, Scores!$F$2:$F$910, 0))</f>
        <v>45869</v>
      </c>
    </row>
    <row r="278" spans="1:9">
      <c r="A278" s="1">
        <v>190</v>
      </c>
      <c r="B278" s="1" t="s">
        <v>5</v>
      </c>
      <c r="C278" s="1">
        <v>12</v>
      </c>
      <c r="D278" s="1">
        <v>10</v>
      </c>
      <c r="E278" s="1">
        <v>3</v>
      </c>
      <c r="F278" s="1">
        <f>SUMIF(Scores!$F$2:$F$910, 'Next Gen'!$A278, INDEX(Scores!$I$2:$Q$910, 0, MATCH($B278, Scores!$I$1:$Q$1, 0)))</f>
        <v>5</v>
      </c>
      <c r="G278" s="1" t="str">
        <f>INDEX(Scores!$B$2:$B$910, MATCH('Next Gen'!$A278, Scores!$F$2:$F$910, 0))</f>
        <v>mid</v>
      </c>
      <c r="H278" s="1" t="str">
        <f>INDEX(Scores!$D$2:$D$910, MATCH('Next Gen'!$A278, Scores!$F$2:$F$910, 0))</f>
        <v>Original</v>
      </c>
      <c r="I278" s="4">
        <f>INDEX(Scores!$E$2:$E$910, MATCH('Next Gen'!$A278, Scores!$F$2:$F$910, 0))</f>
        <v>45869</v>
      </c>
    </row>
    <row r="279" spans="1:9">
      <c r="A279" s="1">
        <v>191</v>
      </c>
      <c r="B279" s="1" t="s">
        <v>5</v>
      </c>
      <c r="C279" s="1">
        <v>9</v>
      </c>
      <c r="D279" s="1">
        <v>9</v>
      </c>
      <c r="E279" s="1">
        <v>5</v>
      </c>
      <c r="F279" s="1">
        <f>SUMIF(Scores!$F$2:$F$910, 'Next Gen'!$A279, INDEX(Scores!$I$2:$Q$910, 0, MATCH($B279, Scores!$I$1:$Q$1, 0)))</f>
        <v>7</v>
      </c>
      <c r="G279" s="1" t="str">
        <f>INDEX(Scores!$B$2:$B$910, MATCH('Next Gen'!$A280, Scores!$F$2:$F$910, 0))</f>
        <v>mid</v>
      </c>
      <c r="H279" s="1" t="str">
        <f>INDEX(Scores!$D$2:$D$910, MATCH('Next Gen'!$A279, Scores!$F$2:$F$910, 0))</f>
        <v>Original</v>
      </c>
      <c r="I279" s="4">
        <f>INDEX(Scores!$E$2:$E$910, MATCH('Next Gen'!$A280, Scores!$F$2:$F$910, 0))</f>
        <v>45869</v>
      </c>
    </row>
    <row r="280" spans="1:9">
      <c r="A280" s="1">
        <v>191</v>
      </c>
      <c r="B280" s="1" t="s">
        <v>4</v>
      </c>
      <c r="C280" s="1">
        <v>9</v>
      </c>
      <c r="D280" s="1">
        <v>9</v>
      </c>
      <c r="E280" s="1">
        <v>3</v>
      </c>
      <c r="F280" s="1">
        <f>SUMIF(Scores!$F$2:$F$910, 'Next Gen'!$A280, INDEX(Scores!$I$2:$Q$910, 0, MATCH($B280, Scores!$I$1:$Q$1, 0)))</f>
        <v>5</v>
      </c>
      <c r="G280" s="1" t="str">
        <f>INDEX(Scores!$B$2:$B$910, MATCH('Next Gen'!$A279, Scores!$F$2:$F$910, 0))</f>
        <v>mid</v>
      </c>
      <c r="H280" s="1" t="str">
        <f>INDEX(Scores!$D$2:$D$910, MATCH('Next Gen'!$A280, Scores!$F$2:$F$910, 0))</f>
        <v>Original</v>
      </c>
      <c r="I280" s="4">
        <f>INDEX(Scores!$E$2:$E$910, MATCH('Next Gen'!$A279, Scores!$F$2:$F$910, 0))</f>
        <v>45869</v>
      </c>
    </row>
    <row r="281" spans="1:9">
      <c r="A281" s="1">
        <v>192</v>
      </c>
      <c r="B281" s="1" t="s">
        <v>5</v>
      </c>
      <c r="C281" s="1">
        <v>9</v>
      </c>
      <c r="D281" s="1">
        <v>7</v>
      </c>
      <c r="E281" s="1">
        <v>6</v>
      </c>
      <c r="F281" s="1">
        <f>SUMIF(Scores!$F$2:$F$910, 'Next Gen'!$A281, INDEX(Scores!$I$2:$Q$910, 0, MATCH($B281, Scores!$I$1:$Q$1, 0)))</f>
        <v>9</v>
      </c>
      <c r="G281" s="1" t="str">
        <f>INDEX(Scores!$B$2:$B$910, MATCH('Next Gen'!$A282, Scores!$F$2:$F$910, 0))</f>
        <v>high</v>
      </c>
      <c r="H281" s="1" t="str">
        <f>INDEX(Scores!$D$2:$D$910, MATCH('Next Gen'!$A281, Scores!$F$2:$F$910, 0))</f>
        <v>Original</v>
      </c>
      <c r="I281" s="4">
        <f>INDEX(Scores!$E$2:$E$910, MATCH('Next Gen'!$A282, Scores!$F$2:$F$910, 0))</f>
        <v>45870</v>
      </c>
    </row>
    <row r="282" spans="1:9">
      <c r="A282" s="1">
        <v>192</v>
      </c>
      <c r="B282" s="1" t="s">
        <v>4</v>
      </c>
      <c r="C282" s="1">
        <v>9</v>
      </c>
      <c r="D282" s="1">
        <v>8</v>
      </c>
      <c r="E282" s="1">
        <v>4</v>
      </c>
      <c r="F282" s="1">
        <f>SUMIF(Scores!$F$2:$F$910, 'Next Gen'!$A282, INDEX(Scores!$I$2:$Q$910, 0, MATCH($B282, Scores!$I$1:$Q$1, 0)))</f>
        <v>8</v>
      </c>
      <c r="G282" s="1" t="str">
        <f>INDEX(Scores!$B$2:$B$910, MATCH('Next Gen'!$A281, Scores!$F$2:$F$910, 0))</f>
        <v>high</v>
      </c>
      <c r="H282" s="1" t="str">
        <f>INDEX(Scores!$D$2:$D$910, MATCH('Next Gen'!$A282, Scores!$F$2:$F$910, 0))</f>
        <v>Original</v>
      </c>
      <c r="I282" s="4">
        <f>INDEX(Scores!$E$2:$E$910, MATCH('Next Gen'!$A281, Scores!$F$2:$F$910, 0))</f>
        <v>45870</v>
      </c>
    </row>
    <row r="283" spans="1:9">
      <c r="A283" s="1">
        <v>193</v>
      </c>
      <c r="B283" s="1" t="s">
        <v>4</v>
      </c>
      <c r="C283" s="1">
        <v>9</v>
      </c>
      <c r="D283" s="1">
        <v>9</v>
      </c>
      <c r="E283" s="1">
        <v>4</v>
      </c>
      <c r="F283" s="1">
        <f>SUMIF(Scores!$F$2:$F$910, 'Next Gen'!$A283, INDEX(Scores!$I$2:$Q$910, 0, MATCH($B283, Scores!$I$1:$Q$1, 0)))</f>
        <v>8</v>
      </c>
      <c r="G283" s="1" t="str">
        <f>INDEX(Scores!$B$2:$B$910, MATCH('Next Gen'!$A283, Scores!$F$2:$F$910, 0))</f>
        <v>mid</v>
      </c>
      <c r="H283" s="1" t="str">
        <f>INDEX(Scores!$D$2:$D$910, MATCH('Next Gen'!$A283, Scores!$F$2:$F$910, 0))</f>
        <v>Original</v>
      </c>
      <c r="I283" s="4">
        <f>INDEX(Scores!$E$2:$E$910, MATCH('Next Gen'!$A283, Scores!$F$2:$F$910, 0))</f>
        <v>45870</v>
      </c>
    </row>
    <row r="284" spans="1:9">
      <c r="A284" s="1">
        <v>193</v>
      </c>
      <c r="B284" s="1" t="s">
        <v>5</v>
      </c>
      <c r="C284" s="1">
        <v>9</v>
      </c>
      <c r="D284" s="1">
        <v>5</v>
      </c>
      <c r="E284" s="1">
        <v>4</v>
      </c>
      <c r="F284" s="1">
        <f>SUMIF(Scores!$F$2:$F$910, 'Next Gen'!$A284, INDEX(Scores!$I$2:$Q$910, 0, MATCH($B284, Scores!$I$1:$Q$1, 0)))</f>
        <v>10</v>
      </c>
      <c r="G284" s="1" t="str">
        <f>INDEX(Scores!$B$2:$B$910, MATCH('Next Gen'!$A284, Scores!$F$2:$F$910, 0))</f>
        <v>mid</v>
      </c>
      <c r="H284" s="1" t="str">
        <f>INDEX(Scores!$D$2:$D$910, MATCH('Next Gen'!$A284, Scores!$F$2:$F$910, 0))</f>
        <v>Original</v>
      </c>
      <c r="I284" s="4">
        <f>INDEX(Scores!$E$2:$E$910, MATCH('Next Gen'!$A284, Scores!$F$2:$F$910, 0))</f>
        <v>45870</v>
      </c>
    </row>
    <row r="285" spans="1:9">
      <c r="A285" s="1">
        <v>194</v>
      </c>
      <c r="B285" s="1" t="s">
        <v>4</v>
      </c>
      <c r="C285" s="1">
        <v>9</v>
      </c>
      <c r="D285" s="1">
        <v>9</v>
      </c>
      <c r="E285" s="1">
        <v>4</v>
      </c>
      <c r="F285" s="1">
        <f>SUMIF(Scores!$F$2:$F$910, 'Next Gen'!$A285, INDEX(Scores!$I$2:$Q$910, 0, MATCH($B285, Scores!$I$1:$Q$1, 0)))</f>
        <v>9</v>
      </c>
      <c r="G285" s="1" t="str">
        <f>INDEX(Scores!$B$2:$B$910, MATCH('Next Gen'!$A285, Scores!$F$2:$F$910, 0))</f>
        <v>mid</v>
      </c>
      <c r="H285" s="1" t="str">
        <f>INDEX(Scores!$D$2:$D$910, MATCH('Next Gen'!$A285, Scores!$F$2:$F$910, 0))</f>
        <v>Original</v>
      </c>
      <c r="I285" s="4">
        <f>INDEX(Scores!$E$2:$E$910, MATCH('Next Gen'!$A285, Scores!$F$2:$F$910, 0))</f>
        <v>45870</v>
      </c>
    </row>
    <row r="286" spans="1:9">
      <c r="A286" s="1">
        <v>194</v>
      </c>
      <c r="B286" s="1" t="s">
        <v>5</v>
      </c>
      <c r="C286" s="1">
        <v>9</v>
      </c>
      <c r="D286" s="1">
        <v>9</v>
      </c>
      <c r="E286" s="1">
        <v>4</v>
      </c>
      <c r="F286" s="1">
        <f>SUMIF(Scores!$F$2:$F$910, 'Next Gen'!$A286, INDEX(Scores!$I$2:$Q$910, 0, MATCH($B286, Scores!$I$1:$Q$1, 0)))</f>
        <v>7</v>
      </c>
      <c r="G286" s="1" t="str">
        <f>INDEX(Scores!$B$2:$B$910, MATCH('Next Gen'!$A286, Scores!$F$2:$F$910, 0))</f>
        <v>mid</v>
      </c>
      <c r="H286" s="1" t="str">
        <f>INDEX(Scores!$D$2:$D$910, MATCH('Next Gen'!$A286, Scores!$F$2:$F$910, 0))</f>
        <v>Original</v>
      </c>
      <c r="I286" s="4">
        <f>INDEX(Scores!$E$2:$E$910, MATCH('Next Gen'!$A286, Scores!$F$2:$F$910, 0))</f>
        <v>45870</v>
      </c>
    </row>
    <row r="287" spans="1:9">
      <c r="A287" s="1">
        <v>195</v>
      </c>
      <c r="B287" s="1" t="s">
        <v>4</v>
      </c>
      <c r="C287" s="1">
        <v>9</v>
      </c>
      <c r="D287" s="1">
        <v>9</v>
      </c>
      <c r="E287" s="1">
        <v>3</v>
      </c>
      <c r="F287" s="1">
        <f>SUMIF(Scores!$F$2:$F$910, 'Next Gen'!$A287, INDEX(Scores!$I$2:$Q$910, 0, MATCH($B287, Scores!$I$1:$Q$1, 0)))</f>
        <v>6</v>
      </c>
      <c r="G287" s="1" t="str">
        <f>INDEX(Scores!$B$2:$B$910, MATCH('Next Gen'!$A287, Scores!$F$2:$F$910, 0))</f>
        <v>mid</v>
      </c>
      <c r="H287" s="1" t="str">
        <f>INDEX(Scores!$D$2:$D$910, MATCH('Next Gen'!$A287, Scores!$F$2:$F$910, 0))</f>
        <v>Original</v>
      </c>
      <c r="I287" s="4">
        <f>INDEX(Scores!$E$2:$E$910, MATCH('Next Gen'!$A287, Scores!$F$2:$F$910, 0))</f>
        <v>45873</v>
      </c>
    </row>
    <row r="288" spans="1:9">
      <c r="A288" s="1">
        <v>195</v>
      </c>
      <c r="B288" s="1" t="s">
        <v>5</v>
      </c>
      <c r="C288" s="1">
        <v>9</v>
      </c>
      <c r="D288" s="1">
        <v>8</v>
      </c>
      <c r="E288" s="1">
        <v>3</v>
      </c>
      <c r="F288" s="1">
        <f>SUMIF(Scores!$F$2:$F$910, 'Next Gen'!$A288, INDEX(Scores!$I$2:$Q$910, 0, MATCH($B288, Scores!$I$1:$Q$1, 0)))</f>
        <v>5</v>
      </c>
      <c r="G288" s="1" t="str">
        <f>INDEX(Scores!$B$2:$B$910, MATCH('Next Gen'!$A288, Scores!$F$2:$F$910, 0))</f>
        <v>mid</v>
      </c>
      <c r="H288" s="1" t="str">
        <f>INDEX(Scores!$D$2:$D$910, MATCH('Next Gen'!$A288, Scores!$F$2:$F$910, 0))</f>
        <v>Original</v>
      </c>
      <c r="I288" s="4">
        <f>INDEX(Scores!$E$2:$E$910, MATCH('Next Gen'!$A288, Scores!$F$2:$F$910, 0))</f>
        <v>45873</v>
      </c>
    </row>
    <row r="289" spans="1:9">
      <c r="A289" s="1">
        <v>196</v>
      </c>
      <c r="B289" s="1" t="s">
        <v>4</v>
      </c>
      <c r="C289" s="1">
        <v>9</v>
      </c>
      <c r="D289" s="1">
        <v>9</v>
      </c>
      <c r="E289" s="1">
        <v>6</v>
      </c>
      <c r="F289" s="1">
        <f>SUMIF(Scores!$F$2:$F$910, 'Next Gen'!$A289, INDEX(Scores!$I$2:$Q$910, 0, MATCH($B289, Scores!$I$1:$Q$1, 0)))</f>
        <v>13</v>
      </c>
      <c r="G289" s="1" t="str">
        <f>INDEX(Scores!$B$2:$B$910, MATCH('Next Gen'!$A289, Scores!$F$2:$F$910, 0))</f>
        <v>mid</v>
      </c>
      <c r="H289" s="1" t="str">
        <f>INDEX(Scores!$D$2:$D$910, MATCH('Next Gen'!$A289, Scores!$F$2:$F$910, 0))</f>
        <v>Original</v>
      </c>
      <c r="I289" s="4">
        <f>INDEX(Scores!$E$2:$E$910, MATCH('Next Gen'!$A289, Scores!$F$2:$F$910, 0))</f>
        <v>45873</v>
      </c>
    </row>
    <row r="290" spans="1:9">
      <c r="A290" s="1">
        <v>196</v>
      </c>
      <c r="B290" s="1" t="s">
        <v>5</v>
      </c>
      <c r="C290" s="1">
        <v>9</v>
      </c>
      <c r="D290" s="1">
        <v>6</v>
      </c>
      <c r="E290" s="1">
        <v>3</v>
      </c>
      <c r="F290" s="1">
        <f>SUMIF(Scores!$F$2:$F$910, 'Next Gen'!$A290, INDEX(Scores!$I$2:$Q$910, 0, MATCH($B290, Scores!$I$1:$Q$1, 0)))</f>
        <v>3</v>
      </c>
      <c r="G290" s="1" t="str">
        <f>INDEX(Scores!$B$2:$B$910, MATCH('Next Gen'!$A290, Scores!$F$2:$F$910, 0))</f>
        <v>mid</v>
      </c>
      <c r="H290" s="1" t="str">
        <f>INDEX(Scores!$D$2:$D$910, MATCH('Next Gen'!$A290, Scores!$F$2:$F$910, 0))</f>
        <v>Original</v>
      </c>
      <c r="I290" s="4">
        <f>INDEX(Scores!$E$2:$E$910, MATCH('Next Gen'!$A290, Scores!$F$2:$F$910, 0))</f>
        <v>45873</v>
      </c>
    </row>
    <row r="291" spans="1:9">
      <c r="A291" s="1">
        <v>197</v>
      </c>
      <c r="B291" s="1" t="s">
        <v>4</v>
      </c>
      <c r="C291" s="1">
        <v>9</v>
      </c>
      <c r="D291" s="1">
        <v>9</v>
      </c>
      <c r="E291" s="1">
        <v>8</v>
      </c>
      <c r="F291" s="1">
        <f>SUMIF(Scores!$F$2:$F$910, 'Next Gen'!$A291, INDEX(Scores!$I$2:$Q$910, 0, MATCH($B291, Scores!$I$1:$Q$1, 0)))</f>
        <v>18</v>
      </c>
      <c r="G291" s="1" t="str">
        <f>INDEX(Scores!$B$2:$B$910, MATCH('Next Gen'!$A291, Scores!$F$2:$F$910, 0))</f>
        <v>mid</v>
      </c>
      <c r="H291" s="1" t="str">
        <f>INDEX(Scores!$D$2:$D$910, MATCH('Next Gen'!$A291, Scores!$F$2:$F$910, 0))</f>
        <v>Original</v>
      </c>
      <c r="I291" s="4">
        <f>INDEX(Scores!$E$2:$E$910, MATCH('Next Gen'!$A291, Scores!$F$2:$F$910, 0))</f>
        <v>45875</v>
      </c>
    </row>
    <row r="292" spans="1:9">
      <c r="A292" s="1">
        <v>197</v>
      </c>
      <c r="B292" s="1" t="s">
        <v>5</v>
      </c>
      <c r="C292" s="1">
        <v>9</v>
      </c>
      <c r="D292" s="1">
        <v>9</v>
      </c>
      <c r="E292" s="1">
        <v>6</v>
      </c>
      <c r="F292" s="1">
        <f>SUMIF(Scores!$F$2:$F$910, 'Next Gen'!$A292, INDEX(Scores!$I$2:$Q$910, 0, MATCH($B292, Scores!$I$1:$Q$1, 0)))</f>
        <v>11</v>
      </c>
      <c r="G292" s="1" t="str">
        <f>INDEX(Scores!$B$2:$B$910, MATCH('Next Gen'!$A292, Scores!$F$2:$F$910, 0))</f>
        <v>mid</v>
      </c>
      <c r="H292" s="1" t="str">
        <f>INDEX(Scores!$D$2:$D$910, MATCH('Next Gen'!$A292, Scores!$F$2:$F$910, 0))</f>
        <v>Original</v>
      </c>
      <c r="I292" s="4">
        <f>INDEX(Scores!$E$2:$E$910, MATCH('Next Gen'!$A292, Scores!$F$2:$F$910, 0))</f>
        <v>45875</v>
      </c>
    </row>
    <row r="293" spans="1:9">
      <c r="A293" s="1">
        <v>198</v>
      </c>
      <c r="B293" s="1" t="s">
        <v>5</v>
      </c>
      <c r="C293" s="1">
        <v>9</v>
      </c>
      <c r="D293" s="1">
        <v>9</v>
      </c>
      <c r="E293" s="1">
        <v>7</v>
      </c>
      <c r="F293" s="1">
        <f>SUMIF(Scores!$F$2:$F$910, 'Next Gen'!$A293, INDEX(Scores!$I$2:$Q$910, 0, MATCH($B293, Scores!$I$1:$Q$1, 0)))</f>
        <v>16</v>
      </c>
      <c r="G293" s="1" t="str">
        <f>INDEX(Scores!$B$2:$B$910, MATCH('Next Gen'!$A294, Scores!$F$2:$F$910, 0))</f>
        <v>mid</v>
      </c>
      <c r="H293" s="1" t="str">
        <f>INDEX(Scores!$D$2:$D$910, MATCH('Next Gen'!$A293, Scores!$F$2:$F$910, 0))</f>
        <v>Original</v>
      </c>
      <c r="I293" s="4">
        <f>INDEX(Scores!$E$2:$E$910, MATCH('Next Gen'!$A294, Scores!$F$2:$F$910, 0))</f>
        <v>45875</v>
      </c>
    </row>
    <row r="294" spans="1:9">
      <c r="A294" s="1">
        <v>198</v>
      </c>
      <c r="B294" s="1" t="s">
        <v>4</v>
      </c>
      <c r="C294" s="1">
        <v>9</v>
      </c>
      <c r="D294" s="1">
        <v>9</v>
      </c>
      <c r="E294" s="1">
        <v>6</v>
      </c>
      <c r="F294" s="1">
        <f>SUMIF(Scores!$F$2:$F$910, 'Next Gen'!$A294, INDEX(Scores!$I$2:$Q$910, 0, MATCH($B294, Scores!$I$1:$Q$1, 0)))</f>
        <v>9</v>
      </c>
      <c r="G294" s="1" t="str">
        <f>INDEX(Scores!$B$2:$B$910, MATCH('Next Gen'!$A293, Scores!$F$2:$F$910, 0))</f>
        <v>mid</v>
      </c>
      <c r="H294" s="1" t="str">
        <f>INDEX(Scores!$D$2:$D$910, MATCH('Next Gen'!$A294, Scores!$F$2:$F$910, 0))</f>
        <v>Original</v>
      </c>
      <c r="I294" s="4">
        <f>INDEX(Scores!$E$2:$E$910, MATCH('Next Gen'!$A293, Scores!$F$2:$F$910, 0))</f>
        <v>45875</v>
      </c>
    </row>
    <row r="295" spans="1:9">
      <c r="A295" s="1">
        <v>199</v>
      </c>
      <c r="B295" s="1" t="s">
        <v>5</v>
      </c>
      <c r="C295" s="1">
        <v>9</v>
      </c>
      <c r="D295" s="1">
        <v>5</v>
      </c>
      <c r="E295" s="1">
        <v>5</v>
      </c>
      <c r="F295" s="1">
        <f>SUMIF(Scores!$F$2:$F$910, 'Next Gen'!$A295, INDEX(Scores!$I$2:$Q$910, 0, MATCH($B295, Scores!$I$1:$Q$1, 0)))</f>
        <v>7</v>
      </c>
      <c r="G295" s="1" t="str">
        <f>INDEX(Scores!$B$2:$B$910, MATCH('Next Gen'!$A296, Scores!$F$2:$F$910, 0))</f>
        <v>mid</v>
      </c>
      <c r="H295" s="1" t="str">
        <f>INDEX(Scores!$D$2:$D$910, MATCH('Next Gen'!$A295, Scores!$F$2:$F$910, 0))</f>
        <v>Original</v>
      </c>
      <c r="I295" s="4">
        <f>INDEX(Scores!$E$2:$E$910, MATCH('Next Gen'!$A296, Scores!$F$2:$F$910, 0))</f>
        <v>45875</v>
      </c>
    </row>
    <row r="296" spans="1:9">
      <c r="A296" s="1">
        <v>199</v>
      </c>
      <c r="B296" s="1" t="s">
        <v>4</v>
      </c>
      <c r="C296" s="1">
        <v>9</v>
      </c>
      <c r="D296" s="1">
        <v>9</v>
      </c>
      <c r="E296" s="1">
        <v>3</v>
      </c>
      <c r="F296" s="1">
        <f>SUMIF(Scores!$F$2:$F$910, 'Next Gen'!$A296, INDEX(Scores!$I$2:$Q$910, 0, MATCH($B296, Scores!$I$1:$Q$1, 0)))</f>
        <v>9</v>
      </c>
      <c r="G296" s="1" t="str">
        <f>INDEX(Scores!$B$2:$B$910, MATCH('Next Gen'!$A295, Scores!$F$2:$F$910, 0))</f>
        <v>mid</v>
      </c>
      <c r="H296" s="1" t="str">
        <f>INDEX(Scores!$D$2:$D$910, MATCH('Next Gen'!$A296, Scores!$F$2:$F$910, 0))</f>
        <v>Original</v>
      </c>
      <c r="I296" s="4">
        <f>INDEX(Scores!$E$2:$E$910, MATCH('Next Gen'!$A295, Scores!$F$2:$F$910, 0))</f>
        <v>45875</v>
      </c>
    </row>
    <row r="297" spans="1:9">
      <c r="A297" s="1">
        <v>200</v>
      </c>
      <c r="B297" s="1" t="s">
        <v>5</v>
      </c>
      <c r="C297" s="1">
        <v>9</v>
      </c>
      <c r="D297" s="1">
        <v>8</v>
      </c>
      <c r="E297" s="1">
        <v>4</v>
      </c>
      <c r="F297" s="1">
        <f>SUMIF(Scores!$F$2:$F$910, 'Next Gen'!$A297, INDEX(Scores!$I$2:$Q$910, 0, MATCH($B297, Scores!$I$1:$Q$1, 0)))</f>
        <v>7</v>
      </c>
      <c r="G297" s="1" t="str">
        <f>INDEX(Scores!$B$2:$B$910, MATCH('Next Gen'!$A298, Scores!$F$2:$F$910, 0))</f>
        <v>mid</v>
      </c>
      <c r="H297" s="1" t="str">
        <f>INDEX(Scores!$D$2:$D$910, MATCH('Next Gen'!$A297, Scores!$F$2:$F$910, 0))</f>
        <v>Original</v>
      </c>
      <c r="I297" s="4">
        <f>INDEX(Scores!$E$2:$E$910, MATCH('Next Gen'!$A298, Scores!$F$2:$F$910, 0))</f>
        <v>45876</v>
      </c>
    </row>
    <row r="298" spans="1:9">
      <c r="A298" s="1">
        <v>200</v>
      </c>
      <c r="B298" s="1" t="s">
        <v>4</v>
      </c>
      <c r="C298" s="1">
        <v>9</v>
      </c>
      <c r="D298" s="1">
        <v>9</v>
      </c>
      <c r="E298" s="1">
        <v>6</v>
      </c>
      <c r="F298" s="1">
        <f>SUMIF(Scores!$F$2:$F$910, 'Next Gen'!$A298, INDEX(Scores!$I$2:$Q$910, 0, MATCH($B298, Scores!$I$1:$Q$1, 0)))</f>
        <v>14</v>
      </c>
      <c r="G298" s="1" t="str">
        <f>INDEX(Scores!$B$2:$B$910, MATCH('Next Gen'!$A297, Scores!$F$2:$F$910, 0))</f>
        <v>mid</v>
      </c>
      <c r="H298" s="1" t="str">
        <f>INDEX(Scores!$D$2:$D$910, MATCH('Next Gen'!$A298, Scores!$F$2:$F$910, 0))</f>
        <v>Original</v>
      </c>
      <c r="I298" s="4">
        <f>INDEX(Scores!$E$2:$E$910, MATCH('Next Gen'!$A297, Scores!$F$2:$F$910, 0))</f>
        <v>45876</v>
      </c>
    </row>
    <row r="299" spans="1:9">
      <c r="A299" s="1">
        <v>201</v>
      </c>
      <c r="B299" s="1" t="s">
        <v>5</v>
      </c>
      <c r="C299" s="1">
        <v>9</v>
      </c>
      <c r="D299" s="1">
        <v>7</v>
      </c>
      <c r="E299" s="1">
        <v>3</v>
      </c>
      <c r="F299" s="1">
        <f>SUMIF(Scores!$F$2:$F$910, 'Next Gen'!$A299, INDEX(Scores!$I$2:$Q$910, 0, MATCH($B299, Scores!$I$1:$Q$1, 0)))</f>
        <v>6</v>
      </c>
      <c r="G299" s="1">
        <f>INDEX(Scores!$B$2:$B$910, MATCH('Next Gen'!$A299, Scores!$F$2:$F$910, 0))</f>
        <v>256</v>
      </c>
      <c r="H299" s="1" t="str">
        <f>INDEX(Scores!$D$2:$D$910, MATCH('Next Gen'!$A299, Scores!$F$2:$F$910, 0))</f>
        <v>Original</v>
      </c>
      <c r="I299" s="4">
        <f>INDEX(Scores!$E$2:$E$910, MATCH('Next Gen'!$A299, Scores!$F$2:$F$910, 0))</f>
        <v>45880</v>
      </c>
    </row>
    <row r="300" spans="1:9">
      <c r="A300" s="1">
        <v>201</v>
      </c>
      <c r="B300" s="1" t="s">
        <v>4</v>
      </c>
      <c r="C300" s="1">
        <v>9</v>
      </c>
      <c r="D300" s="1">
        <v>9</v>
      </c>
      <c r="E300" s="1">
        <v>3</v>
      </c>
      <c r="F300" s="1">
        <f>SUMIF(Scores!$F$2:$F$910, 'Next Gen'!$A300, INDEX(Scores!$I$2:$Q$910, 0, MATCH($B300, Scores!$I$1:$Q$1, 0)))</f>
        <v>9</v>
      </c>
      <c r="G300" s="1">
        <f>INDEX(Scores!$B$2:$B$910, MATCH('Next Gen'!$A300, Scores!$F$2:$F$910, 0))</f>
        <v>256</v>
      </c>
      <c r="H300" s="1" t="str">
        <f>INDEX(Scores!$D$2:$D$910, MATCH('Next Gen'!$A300, Scores!$F$2:$F$910, 0))</f>
        <v>Original</v>
      </c>
      <c r="I300" s="4">
        <f>INDEX(Scores!$E$2:$E$910, MATCH('Next Gen'!$A300, Scores!$F$2:$F$910, 0))</f>
        <v>45880</v>
      </c>
    </row>
    <row r="301" spans="1:9">
      <c r="A301" s="1">
        <v>202</v>
      </c>
      <c r="B301" s="1" t="s">
        <v>4</v>
      </c>
      <c r="C301" s="1">
        <v>9</v>
      </c>
      <c r="D301" s="1">
        <v>9</v>
      </c>
      <c r="E301" s="1">
        <v>6</v>
      </c>
      <c r="F301" s="1">
        <f>SUMIF(Scores!$F$2:$F$910, 'Next Gen'!$A301, INDEX(Scores!$I$2:$Q$910, 0, MATCH($B301, Scores!$I$1:$Q$1, 0)))</f>
        <v>19</v>
      </c>
      <c r="G301" s="1">
        <f>INDEX(Scores!$B$2:$B$910, MATCH('Next Gen'!$A301, Scores!$F$2:$F$910, 0))</f>
        <v>256</v>
      </c>
      <c r="H301" s="1" t="str">
        <f>INDEX(Scores!$D$2:$D$910, MATCH('Next Gen'!$A301, Scores!$F$2:$F$910, 0))</f>
        <v>Original</v>
      </c>
      <c r="I301" s="4">
        <f>INDEX(Scores!$E$2:$E$910, MATCH('Next Gen'!$A301, Scores!$F$2:$F$910, 0))</f>
        <v>45881</v>
      </c>
    </row>
    <row r="302" spans="1:9">
      <c r="A302" s="1">
        <v>202</v>
      </c>
      <c r="B302" s="1" t="s">
        <v>5</v>
      </c>
      <c r="C302" s="1">
        <v>9</v>
      </c>
      <c r="D302" s="1">
        <v>9</v>
      </c>
      <c r="E302" s="1">
        <v>8</v>
      </c>
      <c r="F302" s="1">
        <f>SUMIF(Scores!$F$2:$F$910, 'Next Gen'!$A302, INDEX(Scores!$I$2:$Q$910, 0, MATCH($B302, Scores!$I$1:$Q$1, 0)))</f>
        <v>12</v>
      </c>
      <c r="G302" s="1">
        <f>INDEX(Scores!$B$2:$B$910, MATCH('Next Gen'!$A302, Scores!$F$2:$F$910, 0))</f>
        <v>256</v>
      </c>
      <c r="H302" s="1" t="str">
        <f>INDEX(Scores!$D$2:$D$910, MATCH('Next Gen'!$A302, Scores!$F$2:$F$910, 0))</f>
        <v>Original</v>
      </c>
      <c r="I302" s="4">
        <f>INDEX(Scores!$E$2:$E$910, MATCH('Next Gen'!$A302, Scores!$F$2:$F$910, 0))</f>
        <v>45881</v>
      </c>
    </row>
    <row r="303" spans="1:9">
      <c r="A303" s="1">
        <v>202</v>
      </c>
      <c r="B303" s="1" t="s">
        <v>7</v>
      </c>
      <c r="C303" s="1">
        <v>9</v>
      </c>
      <c r="D303" s="1">
        <v>6</v>
      </c>
      <c r="E303" s="1">
        <v>4</v>
      </c>
      <c r="F303" s="1">
        <f>SUMIF(Scores!$F$2:$F$910, 'Next Gen'!$A303, INDEX(Scores!$I$2:$Q$910, 0, MATCH($B303, Scores!$I$1:$Q$1, 0)))</f>
        <v>4</v>
      </c>
      <c r="G303" s="1">
        <f>INDEX(Scores!$B$2:$B$910, MATCH('Next Gen'!$A303, Scores!$F$2:$F$910, 0))</f>
        <v>256</v>
      </c>
      <c r="H303" s="1" t="str">
        <f>INDEX(Scores!$D$2:$D$910, MATCH('Next Gen'!$A303, Scores!$F$2:$F$910, 0))</f>
        <v>Original</v>
      </c>
      <c r="I303" s="4">
        <f>INDEX(Scores!$E$2:$E$910, MATCH('Next Gen'!$A303, Scores!$F$2:$F$910, 0))</f>
        <v>45881</v>
      </c>
    </row>
    <row r="304" spans="1:9">
      <c r="A304" s="1">
        <v>203</v>
      </c>
      <c r="B304" s="1" t="s">
        <v>4</v>
      </c>
      <c r="C304" s="1">
        <v>9</v>
      </c>
      <c r="D304" s="1">
        <v>9</v>
      </c>
      <c r="E304" s="1">
        <v>8</v>
      </c>
      <c r="F304" s="1">
        <f>SUMIF(Scores!$F$2:$F$910, 'Next Gen'!$A304, INDEX(Scores!$I$2:$Q$910, 0, MATCH($B304, Scores!$I$1:$Q$1, 0)))</f>
        <v>18</v>
      </c>
      <c r="G304" s="1">
        <f>INDEX(Scores!$B$2:$B$910, MATCH('Next Gen'!$A304, Scores!$F$2:$F$910, 0))</f>
        <v>256</v>
      </c>
      <c r="H304" s="1" t="str">
        <f>INDEX(Scores!$D$2:$D$910, MATCH('Next Gen'!$A304, Scores!$F$2:$F$910, 0))</f>
        <v>Original</v>
      </c>
      <c r="I304" s="4">
        <f>INDEX(Scores!$E$2:$E$910, MATCH('Next Gen'!$A304, Scores!$F$2:$F$910, 0))</f>
        <v>45881</v>
      </c>
    </row>
    <row r="305" spans="1:9">
      <c r="A305" s="1">
        <v>203</v>
      </c>
      <c r="B305" s="1" t="s">
        <v>5</v>
      </c>
      <c r="C305" s="1">
        <v>9</v>
      </c>
      <c r="D305" s="1">
        <v>9</v>
      </c>
      <c r="E305" s="1">
        <v>7</v>
      </c>
      <c r="F305" s="1">
        <f>SUMIF(Scores!$F$2:$F$910, 'Next Gen'!$A305, INDEX(Scores!$I$2:$Q$910, 0, MATCH($B305, Scores!$I$1:$Q$1, 0)))</f>
        <v>13</v>
      </c>
      <c r="G305" s="1">
        <f>INDEX(Scores!$B$2:$B$910, MATCH('Next Gen'!$A305, Scores!$F$2:$F$910, 0))</f>
        <v>256</v>
      </c>
      <c r="H305" s="1" t="str">
        <f>INDEX(Scores!$D$2:$D$910, MATCH('Next Gen'!$A305, Scores!$F$2:$F$910, 0))</f>
        <v>Original</v>
      </c>
      <c r="I305" s="4">
        <f>INDEX(Scores!$E$2:$E$910, MATCH('Next Gen'!$A305, Scores!$F$2:$F$910, 0))</f>
        <v>45881</v>
      </c>
    </row>
    <row r="306" spans="1:9">
      <c r="A306" s="1">
        <v>203</v>
      </c>
      <c r="B306" s="1" t="s">
        <v>23</v>
      </c>
      <c r="C306" s="1">
        <v>9</v>
      </c>
      <c r="D306" s="1">
        <v>6</v>
      </c>
      <c r="E306" s="1">
        <v>2</v>
      </c>
      <c r="F306" s="1">
        <f>SUMIF(Scores!$F$2:$F$910, 'Next Gen'!$A306, INDEX(Scores!$I$2:$Q$910, 0, MATCH($B306, Scores!$I$1:$Q$1, 0)))</f>
        <v>1</v>
      </c>
      <c r="G306" s="1">
        <f>INDEX(Scores!$B$2:$B$910, MATCH('Next Gen'!$A306, Scores!$F$2:$F$910, 0))</f>
        <v>256</v>
      </c>
      <c r="H306" s="1" t="str">
        <f>INDEX(Scores!$D$2:$D$910, MATCH('Next Gen'!$A306, Scores!$F$2:$F$910, 0))</f>
        <v>Original</v>
      </c>
      <c r="I306" s="4">
        <f>INDEX(Scores!$E$2:$E$910, MATCH('Next Gen'!$A306, Scores!$F$2:$F$910, 0))</f>
        <v>45881</v>
      </c>
    </row>
    <row r="307" spans="1:9">
      <c r="A307" s="1">
        <v>204</v>
      </c>
      <c r="B307" s="1" t="s">
        <v>4</v>
      </c>
      <c r="C307" s="1">
        <v>12</v>
      </c>
      <c r="D307" s="1">
        <v>12</v>
      </c>
      <c r="E307" s="1">
        <v>8</v>
      </c>
      <c r="F307" s="1">
        <f>SUMIF(Scores!$F$2:$F$910, 'Next Gen'!$A307, INDEX(Scores!$I$2:$Q$910, 0, MATCH($B307, Scores!$I$1:$Q$1, 0)))</f>
        <v>18</v>
      </c>
      <c r="G307" s="1">
        <f>INDEX(Scores!$B$2:$B$910, MATCH('Next Gen'!$A307, Scores!$F$2:$F$910, 0))</f>
        <v>256</v>
      </c>
      <c r="H307" s="1" t="str">
        <f>INDEX(Scores!$D$2:$D$910, MATCH('Next Gen'!$A307, Scores!$F$2:$F$910, 0))</f>
        <v>Original</v>
      </c>
      <c r="I307" s="4">
        <f>INDEX(Scores!$E$2:$E$910, MATCH('Next Gen'!$A307, Scores!$F$2:$F$910, 0))</f>
        <v>45882</v>
      </c>
    </row>
    <row r="308" spans="1:9">
      <c r="A308" s="1">
        <v>204</v>
      </c>
      <c r="B308" s="1" t="s">
        <v>5</v>
      </c>
      <c r="C308" s="1">
        <v>12</v>
      </c>
      <c r="D308" s="1">
        <v>10</v>
      </c>
      <c r="E308" s="1">
        <v>9</v>
      </c>
      <c r="F308" s="1">
        <f>SUMIF(Scores!$F$2:$F$910, 'Next Gen'!$A308, INDEX(Scores!$I$2:$Q$910, 0, MATCH($B308, Scores!$I$1:$Q$1, 0)))</f>
        <v>14</v>
      </c>
      <c r="G308" s="1">
        <f>INDEX(Scores!$B$2:$B$910, MATCH('Next Gen'!$A308, Scores!$F$2:$F$910, 0))</f>
        <v>256</v>
      </c>
      <c r="H308" s="1" t="str">
        <f>INDEX(Scores!$D$2:$D$910, MATCH('Next Gen'!$A308, Scores!$F$2:$F$910, 0))</f>
        <v>Original</v>
      </c>
      <c r="I308" s="4">
        <f>INDEX(Scores!$E$2:$E$910, MATCH('Next Gen'!$A308, Scores!$F$2:$F$910, 0))</f>
        <v>45882</v>
      </c>
    </row>
    <row r="309" spans="1:9">
      <c r="A309" s="1">
        <v>205</v>
      </c>
      <c r="B309" s="1" t="s">
        <v>4</v>
      </c>
      <c r="C309" s="1">
        <v>9</v>
      </c>
      <c r="D309" s="1">
        <v>7</v>
      </c>
      <c r="E309" s="1">
        <v>4</v>
      </c>
      <c r="F309" s="1">
        <f>SUMIF(Scores!$F$2:$F$910, 'Next Gen'!$A309, INDEX(Scores!$I$2:$Q$910, 0, MATCH($B309, Scores!$I$1:$Q$1, 0)))</f>
        <v>8</v>
      </c>
      <c r="G309" s="1">
        <f>INDEX(Scores!$B$2:$B$910, MATCH('Next Gen'!$A309, Scores!$F$2:$F$910, 0))</f>
        <v>256</v>
      </c>
      <c r="H309" s="1" t="str">
        <f>INDEX(Scores!$D$2:$D$910, MATCH('Next Gen'!$A309, Scores!$F$2:$F$910, 0))</f>
        <v>Original</v>
      </c>
      <c r="I309" s="4">
        <f>INDEX(Scores!$E$2:$E$910, MATCH('Next Gen'!$A309, Scores!$F$2:$F$910, 0))</f>
        <v>45883</v>
      </c>
    </row>
    <row r="310" spans="1:9">
      <c r="A310" s="1">
        <v>205</v>
      </c>
      <c r="B310" s="1" t="s">
        <v>5</v>
      </c>
      <c r="C310" s="1">
        <v>9</v>
      </c>
      <c r="D310" s="1">
        <v>6</v>
      </c>
      <c r="E310" s="1">
        <v>5</v>
      </c>
      <c r="F310" s="1">
        <f>SUMIF(Scores!$F$2:$F$910, 'Next Gen'!$A310, INDEX(Scores!$I$2:$Q$910, 0, MATCH($B310, Scores!$I$1:$Q$1, 0)))</f>
        <v>9</v>
      </c>
      <c r="G310" s="1">
        <f>INDEX(Scores!$B$2:$B$910, MATCH('Next Gen'!$A310, Scores!$F$2:$F$910, 0))</f>
        <v>256</v>
      </c>
      <c r="H310" s="1" t="str">
        <f>INDEX(Scores!$D$2:$D$910, MATCH('Next Gen'!$A310, Scores!$F$2:$F$910, 0))</f>
        <v>Original</v>
      </c>
      <c r="I310" s="4">
        <f>INDEX(Scores!$E$2:$E$910, MATCH('Next Gen'!$A310, Scores!$F$2:$F$910, 0))</f>
        <v>45883</v>
      </c>
    </row>
    <row r="311" spans="1:9">
      <c r="A311" s="1">
        <v>206</v>
      </c>
      <c r="B311" s="1" t="s">
        <v>4</v>
      </c>
      <c r="C311" s="1">
        <v>9</v>
      </c>
      <c r="D311" s="1">
        <v>8</v>
      </c>
      <c r="E311" s="1">
        <v>5</v>
      </c>
      <c r="F311" s="1">
        <f>SUMIF(Scores!$F$2:$F$910, 'Next Gen'!$A311, INDEX(Scores!$I$2:$Q$910, 0, MATCH($B311, Scores!$I$1:$Q$1, 0)))</f>
        <v>8</v>
      </c>
      <c r="G311" s="1">
        <f>INDEX(Scores!$B$2:$B$910, MATCH('Next Gen'!$A311, Scores!$F$2:$F$910, 0))</f>
        <v>256</v>
      </c>
      <c r="H311" s="1" t="str">
        <f>INDEX(Scores!$D$2:$D$910, MATCH('Next Gen'!$A311, Scores!$F$2:$F$910, 0))</f>
        <v>Original</v>
      </c>
      <c r="I311" s="4">
        <f>INDEX(Scores!$E$2:$E$910, MATCH('Next Gen'!$A311, Scores!$F$2:$F$910, 0))</f>
        <v>45887</v>
      </c>
    </row>
    <row r="312" spans="1:9">
      <c r="A312" s="1">
        <v>206</v>
      </c>
      <c r="B312" s="1" t="s">
        <v>5</v>
      </c>
      <c r="C312" s="1">
        <v>9</v>
      </c>
      <c r="D312" s="1">
        <v>6</v>
      </c>
      <c r="E312" s="1">
        <v>2</v>
      </c>
      <c r="F312" s="1">
        <f>SUMIF(Scores!$F$2:$F$910, 'Next Gen'!$A312, INDEX(Scores!$I$2:$Q$910, 0, MATCH($B312, Scores!$I$1:$Q$1, 0)))</f>
        <v>3</v>
      </c>
      <c r="G312" s="1">
        <f>INDEX(Scores!$B$2:$B$910, MATCH('Next Gen'!$A312, Scores!$F$2:$F$910, 0))</f>
        <v>256</v>
      </c>
      <c r="H312" s="1" t="str">
        <f>INDEX(Scores!$D$2:$D$910, MATCH('Next Gen'!$A312, Scores!$F$2:$F$910, 0))</f>
        <v>Original</v>
      </c>
      <c r="I312" s="4">
        <f>INDEX(Scores!$E$2:$E$910, MATCH('Next Gen'!$A312, Scores!$F$2:$F$910, 0))</f>
        <v>45887</v>
      </c>
    </row>
    <row r="313" spans="1:9">
      <c r="A313" s="1">
        <v>207</v>
      </c>
      <c r="B313" s="1" t="s">
        <v>4</v>
      </c>
      <c r="C313" s="1">
        <v>9</v>
      </c>
      <c r="D313" s="1">
        <v>8</v>
      </c>
      <c r="E313" s="1">
        <v>5</v>
      </c>
      <c r="F313" s="1">
        <f>SUMIF(Scores!$F$2:$F$910, 'Next Gen'!$A313, INDEX(Scores!$I$2:$Q$910, 0, MATCH($B313, Scores!$I$1:$Q$1, 0)))</f>
        <v>12</v>
      </c>
      <c r="G313" s="1">
        <f>INDEX(Scores!$B$2:$B$910, MATCH('Next Gen'!$A313, Scores!$F$2:$F$910, 0))</f>
        <v>256</v>
      </c>
      <c r="H313" s="1" t="str">
        <f>INDEX(Scores!$D$2:$D$910, MATCH('Next Gen'!$A313, Scores!$F$2:$F$910, 0))</f>
        <v>Original</v>
      </c>
      <c r="I313" s="4">
        <f>INDEX(Scores!$E$2:$E$910, MATCH('Next Gen'!$A313, Scores!$F$2:$F$910, 0))</f>
        <v>45888</v>
      </c>
    </row>
    <row r="314" spans="1:9">
      <c r="A314" s="1">
        <v>207</v>
      </c>
      <c r="B314" s="1" t="s">
        <v>5</v>
      </c>
      <c r="C314" s="1">
        <v>9</v>
      </c>
      <c r="D314" s="1">
        <v>8</v>
      </c>
      <c r="E314" s="1">
        <v>5</v>
      </c>
      <c r="F314" s="1">
        <f>SUMIF(Scores!$F$2:$F$910, 'Next Gen'!$A314, INDEX(Scores!$I$2:$Q$910, 0, MATCH($B314, Scores!$I$1:$Q$1, 0)))</f>
        <v>9</v>
      </c>
      <c r="G314" s="1">
        <f>INDEX(Scores!$B$2:$B$910, MATCH('Next Gen'!$A314, Scores!$F$2:$F$910, 0))</f>
        <v>256</v>
      </c>
      <c r="H314" s="1" t="str">
        <f>INDEX(Scores!$D$2:$D$910, MATCH('Next Gen'!$A314, Scores!$F$2:$F$910, 0))</f>
        <v>Original</v>
      </c>
      <c r="I314" s="4">
        <f>INDEX(Scores!$E$2:$E$910, MATCH('Next Gen'!$A314, Scores!$F$2:$F$910, 0))</f>
        <v>45888</v>
      </c>
    </row>
    <row r="315" spans="1:9">
      <c r="A315" s="1">
        <v>208</v>
      </c>
      <c r="B315" s="1" t="s">
        <v>4</v>
      </c>
      <c r="C315" s="1">
        <v>12</v>
      </c>
      <c r="D315" s="1">
        <v>12</v>
      </c>
      <c r="E315" s="1">
        <v>5</v>
      </c>
      <c r="F315" s="1">
        <f>SUMIF(Scores!$F$2:$F$910, 'Next Gen'!$A315, INDEX(Scores!$I$2:$Q$910, 0, MATCH($B315, Scores!$I$1:$Q$1, 0)))</f>
        <v>10</v>
      </c>
      <c r="G315" s="1">
        <f>INDEX(Scores!$B$2:$B$910, MATCH('Next Gen'!$A315, Scores!$F$2:$F$910, 0))</f>
        <v>256</v>
      </c>
      <c r="H315" s="1" t="str">
        <f>INDEX(Scores!$D$2:$D$910, MATCH('Next Gen'!$A315, Scores!$F$2:$F$910, 0))</f>
        <v>Original</v>
      </c>
      <c r="I315" s="4">
        <f>INDEX(Scores!$E$2:$E$910, MATCH('Next Gen'!$A315, Scores!$F$2:$F$910, 0))</f>
        <v>45889</v>
      </c>
    </row>
    <row r="316" spans="1:9">
      <c r="A316" s="1">
        <v>208</v>
      </c>
      <c r="B316" s="1" t="s">
        <v>5</v>
      </c>
      <c r="C316" s="1">
        <v>12</v>
      </c>
      <c r="D316" s="1">
        <v>8</v>
      </c>
      <c r="E316" s="1">
        <v>8</v>
      </c>
      <c r="F316" s="1">
        <f>SUMIF(Scores!$F$2:$F$910, 'Next Gen'!$A316, INDEX(Scores!$I$2:$Q$910, 0, MATCH($B316, Scores!$I$1:$Q$1, 0)))</f>
        <v>12</v>
      </c>
      <c r="G316" s="1">
        <f>INDEX(Scores!$B$2:$B$910, MATCH('Next Gen'!$A316, Scores!$F$2:$F$910, 0))</f>
        <v>256</v>
      </c>
      <c r="H316" s="1" t="str">
        <f>INDEX(Scores!$D$2:$D$910, MATCH('Next Gen'!$A316, Scores!$F$2:$F$910, 0))</f>
        <v>Original</v>
      </c>
      <c r="I316" s="4">
        <f>INDEX(Scores!$E$2:$E$910, MATCH('Next Gen'!$A316, Scores!$F$2:$F$910, 0))</f>
        <v>45889</v>
      </c>
    </row>
    <row r="317" spans="1:9">
      <c r="A317" s="1">
        <v>209</v>
      </c>
      <c r="B317" s="1" t="s">
        <v>4</v>
      </c>
      <c r="C317" s="1">
        <v>9</v>
      </c>
      <c r="D317" s="1">
        <v>8</v>
      </c>
      <c r="E317" s="1">
        <v>6</v>
      </c>
      <c r="F317" s="1">
        <f>SUMIF(Scores!$F$2:$F$910, 'Next Gen'!$A317, INDEX(Scores!$I$2:$Q$910, 0, MATCH($B317, Scores!$I$1:$Q$1, 0)))</f>
        <v>10</v>
      </c>
      <c r="G317" s="1">
        <f>INDEX(Scores!$B$2:$B$910, MATCH('Next Gen'!$A317, Scores!$F$2:$F$910, 0))</f>
        <v>256</v>
      </c>
      <c r="H317" s="1" t="str">
        <f>INDEX(Scores!$D$2:$D$910, MATCH('Next Gen'!$A317, Scores!$F$2:$F$910, 0))</f>
        <v>Original</v>
      </c>
      <c r="I317" s="4">
        <f>INDEX(Scores!$E$2:$E$910, MATCH('Next Gen'!$A317, Scores!$F$2:$F$910, 0))</f>
        <v>45890</v>
      </c>
    </row>
    <row r="318" spans="1:9">
      <c r="A318" s="1">
        <v>209</v>
      </c>
      <c r="B318" s="1" t="s">
        <v>5</v>
      </c>
      <c r="C318" s="1">
        <v>9</v>
      </c>
      <c r="D318" s="1">
        <v>8</v>
      </c>
      <c r="E318" s="1">
        <v>4</v>
      </c>
      <c r="F318" s="1">
        <f>SUMIF(Scores!$F$2:$F$910, 'Next Gen'!$A318, INDEX(Scores!$I$2:$Q$910, 0, MATCH($B318, Scores!$I$1:$Q$1, 0)))</f>
        <v>9</v>
      </c>
      <c r="G318" s="1">
        <f>INDEX(Scores!$B$2:$B$910, MATCH('Next Gen'!$A318, Scores!$F$2:$F$910, 0))</f>
        <v>256</v>
      </c>
      <c r="H318" s="1" t="str">
        <f>INDEX(Scores!$D$2:$D$910, MATCH('Next Gen'!$A318, Scores!$F$2:$F$910, 0))</f>
        <v>Original</v>
      </c>
      <c r="I318" s="4">
        <f>INDEX(Scores!$E$2:$E$910, MATCH('Next Gen'!$A318, Scores!$F$2:$F$910, 0))</f>
        <v>45890</v>
      </c>
    </row>
    <row r="319" spans="1:9">
      <c r="A319" s="1">
        <v>210</v>
      </c>
      <c r="B319" s="1" t="s">
        <v>4</v>
      </c>
      <c r="C319" s="1">
        <v>9</v>
      </c>
      <c r="D319" s="1">
        <v>9</v>
      </c>
      <c r="E319" s="1">
        <v>5</v>
      </c>
      <c r="F319" s="1">
        <f>SUMIF(Scores!$F$2:$F$910, 'Next Gen'!$A319, INDEX(Scores!$I$2:$Q$910, 0, MATCH($B319, Scores!$I$1:$Q$1, 0)))</f>
        <v>15</v>
      </c>
      <c r="G319" s="1">
        <f>INDEX(Scores!$B$2:$B$910, MATCH('Next Gen'!$A319, Scores!$F$2:$F$910, 0))</f>
        <v>256</v>
      </c>
      <c r="H319" s="1" t="str">
        <f>INDEX(Scores!$D$2:$D$910, MATCH('Next Gen'!$A319, Scores!$F$2:$F$910, 0))</f>
        <v>Original</v>
      </c>
      <c r="I319" s="4">
        <f>INDEX(Scores!$E$2:$E$910, MATCH('Next Gen'!$A319, Scores!$F$2:$F$910, 0))</f>
        <v>45894</v>
      </c>
    </row>
    <row r="320" spans="1:9">
      <c r="A320" s="1">
        <v>210</v>
      </c>
      <c r="B320" s="1" t="s">
        <v>5</v>
      </c>
      <c r="C320" s="1">
        <v>9</v>
      </c>
      <c r="D320" s="1">
        <v>8</v>
      </c>
      <c r="E320" s="1">
        <v>7</v>
      </c>
      <c r="F320" s="1">
        <f>SUMIF(Scores!$F$2:$F$910, 'Next Gen'!$A320, INDEX(Scores!$I$2:$Q$910, 0, MATCH($B320, Scores!$I$1:$Q$1, 0)))</f>
        <v>11</v>
      </c>
      <c r="G320" s="1">
        <f>INDEX(Scores!$B$2:$B$910, MATCH('Next Gen'!$A320, Scores!$F$2:$F$910, 0))</f>
        <v>256</v>
      </c>
      <c r="H320" s="1" t="str">
        <f>INDEX(Scores!$D$2:$D$910, MATCH('Next Gen'!$A320, Scores!$F$2:$F$910, 0))</f>
        <v>Original</v>
      </c>
      <c r="I320" s="4">
        <f>INDEX(Scores!$E$2:$E$910, MATCH('Next Gen'!$A320, Scores!$F$2:$F$910, 0))</f>
        <v>45894</v>
      </c>
    </row>
    <row r="321" spans="1:9">
      <c r="A321" s="1">
        <v>211</v>
      </c>
      <c r="B321" s="1" t="s">
        <v>4</v>
      </c>
      <c r="C321" s="1">
        <v>9</v>
      </c>
      <c r="D321" s="1">
        <v>9</v>
      </c>
      <c r="E321" s="1">
        <v>7</v>
      </c>
      <c r="F321" s="1">
        <f>SUMIF(Scores!$F$2:$F$910, 'Next Gen'!$A321, INDEX(Scores!$I$2:$Q$910, 0, MATCH($B321, Scores!$I$1:$Q$1, 0)))</f>
        <v>17</v>
      </c>
      <c r="G321" s="1">
        <f>INDEX(Scores!$B$2:$B$910, MATCH('Next Gen'!$A321, Scores!$F$2:$F$910, 0))</f>
        <v>256</v>
      </c>
      <c r="H321" s="1" t="str">
        <f>INDEX(Scores!$D$2:$D$910, MATCH('Next Gen'!$A321, Scores!$F$2:$F$910, 0))</f>
        <v>Original</v>
      </c>
      <c r="I321" s="4">
        <f>INDEX(Scores!$E$2:$E$910, MATCH('Next Gen'!$A321, Scores!$F$2:$F$910, 0))</f>
        <v>45896</v>
      </c>
    </row>
    <row r="322" spans="1:9">
      <c r="A322" s="1">
        <v>211</v>
      </c>
      <c r="B322" s="1" t="s">
        <v>5</v>
      </c>
      <c r="C322" s="1">
        <v>9</v>
      </c>
      <c r="D322" s="1">
        <v>8</v>
      </c>
      <c r="E322" s="1">
        <v>7</v>
      </c>
      <c r="F322" s="1">
        <f>SUMIF(Scores!$F$2:$F$910, 'Next Gen'!$A322, INDEX(Scores!$I$2:$Q$910, 0, MATCH($B322, Scores!$I$1:$Q$1, 0)))</f>
        <v>11</v>
      </c>
      <c r="G322" s="1">
        <f>INDEX(Scores!$B$2:$B$910, MATCH('Next Gen'!$A322, Scores!$F$2:$F$910, 0))</f>
        <v>256</v>
      </c>
      <c r="H322" s="1" t="str">
        <f>INDEX(Scores!$D$2:$D$910, MATCH('Next Gen'!$A322, Scores!$F$2:$F$910, 0))</f>
        <v>Original</v>
      </c>
      <c r="I322" s="4">
        <f>INDEX(Scores!$E$2:$E$910, MATCH('Next Gen'!$A322, Scores!$F$2:$F$910, 0))</f>
        <v>45896</v>
      </c>
    </row>
    <row r="323" spans="1:9">
      <c r="A323" s="1">
        <v>211</v>
      </c>
      <c r="B323" s="1" t="s">
        <v>23</v>
      </c>
      <c r="C323" s="1">
        <v>9</v>
      </c>
      <c r="D323" s="1">
        <v>4</v>
      </c>
      <c r="E323" s="1">
        <v>4</v>
      </c>
      <c r="F323" s="1">
        <f>SUMIF(Scores!$F$2:$F$910, 'Next Gen'!$A323, INDEX(Scores!$I$2:$Q$910, 0, MATCH($B323, Scores!$I$1:$Q$1, 0)))</f>
        <v>10</v>
      </c>
      <c r="G323" s="1">
        <f>INDEX(Scores!$B$2:$B$910, MATCH('Next Gen'!$A323, Scores!$F$2:$F$910, 0))</f>
        <v>256</v>
      </c>
      <c r="H323" s="1" t="str">
        <f>INDEX(Scores!$D$2:$D$910, MATCH('Next Gen'!$A323, Scores!$F$2:$F$910, 0))</f>
        <v>Original</v>
      </c>
      <c r="I323" s="4">
        <f>INDEX(Scores!$E$2:$E$910, MATCH('Next Gen'!$A323, Scores!$F$2:$F$910, 0))</f>
        <v>45896</v>
      </c>
    </row>
    <row r="324" spans="1:9">
      <c r="A324" s="1">
        <v>212</v>
      </c>
      <c r="B324" s="1" t="s">
        <v>4</v>
      </c>
      <c r="C324" s="1">
        <v>9</v>
      </c>
      <c r="D324" s="1">
        <v>9</v>
      </c>
      <c r="E324" s="1">
        <v>7</v>
      </c>
      <c r="F324" s="1">
        <f>SUMIF(Scores!$F$2:$F$910, 'Next Gen'!$A324, INDEX(Scores!$I$2:$Q$910, 0, MATCH($B324, Scores!$I$1:$Q$1, 0)))</f>
        <v>15</v>
      </c>
      <c r="G324" s="1">
        <f>INDEX(Scores!$B$2:$B$910, MATCH('Next Gen'!$A324, Scores!$F$2:$F$910, 0))</f>
        <v>256</v>
      </c>
      <c r="H324" s="1" t="str">
        <f>INDEX(Scores!$D$2:$D$910, MATCH('Next Gen'!$A324, Scores!$F$2:$F$910, 0))</f>
        <v>Original</v>
      </c>
      <c r="I324" s="4">
        <f>INDEX(Scores!$E$2:$E$910, MATCH('Next Gen'!$A324, Scores!$F$2:$F$910, 0))</f>
        <v>45897</v>
      </c>
    </row>
    <row r="325" spans="1:9">
      <c r="A325" s="1">
        <v>212</v>
      </c>
      <c r="B325" s="1" t="s">
        <v>5</v>
      </c>
      <c r="C325" s="1">
        <v>9</v>
      </c>
      <c r="D325" s="1">
        <v>8</v>
      </c>
      <c r="E325" s="1">
        <v>7</v>
      </c>
      <c r="F325" s="1">
        <f>SUMIF(Scores!$F$2:$F$910, 'Next Gen'!$A325, INDEX(Scores!$I$2:$Q$910, 0, MATCH($B325, Scores!$I$1:$Q$1, 0)))</f>
        <v>9</v>
      </c>
      <c r="G325" s="1">
        <f>INDEX(Scores!$B$2:$B$910, MATCH('Next Gen'!$A325, Scores!$F$2:$F$910, 0))</f>
        <v>256</v>
      </c>
      <c r="H325" s="1" t="str">
        <f>INDEX(Scores!$D$2:$D$910, MATCH('Next Gen'!$A325, Scores!$F$2:$F$910, 0))</f>
        <v>Original</v>
      </c>
      <c r="I325" s="4">
        <f>INDEX(Scores!$E$2:$E$910, MATCH('Next Gen'!$A325, Scores!$F$2:$F$910, 0))</f>
        <v>45897</v>
      </c>
    </row>
    <row r="326" spans="1:9">
      <c r="A326" s="1">
        <v>213</v>
      </c>
      <c r="B326" s="1" t="s">
        <v>4</v>
      </c>
      <c r="C326" s="1">
        <v>9</v>
      </c>
      <c r="D326" s="1">
        <v>9</v>
      </c>
      <c r="E326" s="1">
        <v>6</v>
      </c>
      <c r="F326" s="1">
        <f>SUMIF(Scores!$F$2:$F$910, 'Next Gen'!$A326, INDEX(Scores!$I$2:$Q$910, 0, MATCH($B326, Scores!$I$1:$Q$1, 0)))</f>
        <v>14</v>
      </c>
      <c r="G326" s="1">
        <f>INDEX(Scores!$B$2:$B$910, MATCH('Next Gen'!$A326, Scores!$F$2:$F$910, 0))</f>
        <v>256</v>
      </c>
      <c r="H326" s="1" t="str">
        <f>INDEX(Scores!$D$2:$D$910, MATCH('Next Gen'!$A326, Scores!$F$2:$F$910, 0))</f>
        <v>Original</v>
      </c>
      <c r="I326" s="4">
        <f>INDEX(Scores!$E$2:$E$910, MATCH('Next Gen'!$A326, Scores!$F$2:$F$910, 0))</f>
        <v>45898</v>
      </c>
    </row>
    <row r="327" spans="1:9">
      <c r="A327" s="1">
        <v>213</v>
      </c>
      <c r="B327" s="1" t="s">
        <v>5</v>
      </c>
      <c r="C327" s="1">
        <v>9</v>
      </c>
      <c r="D327" s="1">
        <v>7</v>
      </c>
      <c r="E327" s="1">
        <v>5</v>
      </c>
      <c r="F327" s="1">
        <f>SUMIF(Scores!$F$2:$F$910, 'Next Gen'!$A327, INDEX(Scores!$I$2:$Q$910, 0, MATCH($B327, Scores!$I$1:$Q$1, 0)))</f>
        <v>9</v>
      </c>
      <c r="G327" s="1">
        <f>INDEX(Scores!$B$2:$B$910, MATCH('Next Gen'!$A327, Scores!$F$2:$F$910, 0))</f>
        <v>256</v>
      </c>
      <c r="H327" s="1" t="str">
        <f>INDEX(Scores!$D$2:$D$910, MATCH('Next Gen'!$A327, Scores!$F$2:$F$910, 0))</f>
        <v>Original</v>
      </c>
      <c r="I327" s="4">
        <f>INDEX(Scores!$E$2:$E$910, MATCH('Next Gen'!$A327, Scores!$F$2:$F$910, 0))</f>
        <v>45898</v>
      </c>
    </row>
    <row r="328" spans="1:9">
      <c r="A328" s="1">
        <v>213</v>
      </c>
      <c r="B328" s="1" t="s">
        <v>6</v>
      </c>
      <c r="C328" s="1">
        <v>9</v>
      </c>
      <c r="D328" s="1">
        <v>5</v>
      </c>
      <c r="E328" s="1">
        <v>4</v>
      </c>
      <c r="F328" s="1">
        <f>SUMIF(Scores!$F$2:$F$910, 'Next Gen'!$A328, INDEX(Scores!$I$2:$Q$910, 0, MATCH($B328, Scores!$I$1:$Q$1, 0)))</f>
        <v>8</v>
      </c>
      <c r="G328" s="1">
        <f>INDEX(Scores!$B$2:$B$910, MATCH('Next Gen'!$A328, Scores!$F$2:$F$910, 0))</f>
        <v>256</v>
      </c>
      <c r="H328" s="1" t="str">
        <f>INDEX(Scores!$D$2:$D$910, MATCH('Next Gen'!$A328, Scores!$F$2:$F$910, 0))</f>
        <v>Original</v>
      </c>
      <c r="I328" s="4">
        <f>INDEX(Scores!$E$2:$E$910, MATCH('Next Gen'!$A328, Scores!$F$2:$F$910, 0))</f>
        <v>45898</v>
      </c>
    </row>
    <row r="329" spans="1:9">
      <c r="A329" s="1">
        <v>214</v>
      </c>
      <c r="B329" s="1" t="s">
        <v>4</v>
      </c>
      <c r="C329" s="1">
        <v>9</v>
      </c>
      <c r="D329" s="1">
        <v>9</v>
      </c>
      <c r="E329" s="1">
        <v>4</v>
      </c>
      <c r="F329" s="1">
        <f>SUMIF(Scores!$F$2:$F$910, 'Next Gen'!$A329, INDEX(Scores!$I$2:$Q$910, 0, MATCH($B329, Scores!$I$1:$Q$1, 0)))</f>
        <v>8</v>
      </c>
      <c r="G329" s="1">
        <f>INDEX(Scores!$B$2:$B$910, MATCH('Next Gen'!$A329, Scores!$F$2:$F$910, 0))</f>
        <v>256</v>
      </c>
      <c r="H329" s="1" t="str">
        <f>INDEX(Scores!$D$2:$D$910, MATCH('Next Gen'!$A329, Scores!$F$2:$F$910, 0))</f>
        <v>Original</v>
      </c>
      <c r="I329" s="4">
        <f>INDEX(Scores!$E$2:$E$910, MATCH('Next Gen'!$A329, Scores!$F$2:$F$910, 0))</f>
        <v>45902</v>
      </c>
    </row>
    <row r="330" spans="1:9">
      <c r="A330" s="1">
        <v>214</v>
      </c>
      <c r="B330" s="1" t="s">
        <v>5</v>
      </c>
      <c r="C330" s="1">
        <v>9</v>
      </c>
      <c r="D330" s="1">
        <v>8</v>
      </c>
      <c r="E330" s="1">
        <v>6</v>
      </c>
      <c r="F330" s="1">
        <f>SUMIF(Scores!$F$2:$F$910, 'Next Gen'!$A330, INDEX(Scores!$I$2:$Q$910, 0, MATCH($B330, Scores!$I$1:$Q$1, 0)))</f>
        <v>9</v>
      </c>
      <c r="G330" s="1">
        <f>INDEX(Scores!$B$2:$B$910, MATCH('Next Gen'!$A330, Scores!$F$2:$F$910, 0))</f>
        <v>256</v>
      </c>
      <c r="H330" s="1" t="str">
        <f>INDEX(Scores!$D$2:$D$910, MATCH('Next Gen'!$A330, Scores!$F$2:$F$910, 0))</f>
        <v>Original</v>
      </c>
      <c r="I330" s="4">
        <f>INDEX(Scores!$E$2:$E$910, MATCH('Next Gen'!$A330, Scores!$F$2:$F$910, 0))</f>
        <v>45902</v>
      </c>
    </row>
    <row r="331" spans="1:9">
      <c r="A331" s="1">
        <v>215</v>
      </c>
      <c r="B331" s="1" t="s">
        <v>4</v>
      </c>
      <c r="C331" s="1">
        <v>9</v>
      </c>
      <c r="D331" s="1">
        <v>9</v>
      </c>
      <c r="E331" s="1">
        <v>6</v>
      </c>
      <c r="F331" s="1">
        <f>SUMIF(Scores!$F$2:$F$910, 'Next Gen'!$A331, INDEX(Scores!$I$2:$Q$910, 0, MATCH($B331, Scores!$I$1:$Q$1, 0)))</f>
        <v>14</v>
      </c>
      <c r="G331" s="1">
        <f>INDEX(Scores!$B$2:$B$910, MATCH('Next Gen'!$A331, Scores!$F$2:$F$910, 0))</f>
        <v>256</v>
      </c>
      <c r="H331" s="1" t="str">
        <f>INDEX(Scores!$D$2:$D$910, MATCH('Next Gen'!$A331, Scores!$F$2:$F$910, 0))</f>
        <v>Original</v>
      </c>
      <c r="I331" s="4">
        <f>INDEX(Scores!$E$2:$E$910, MATCH('Next Gen'!$A331, Scores!$F$2:$F$910, 0))</f>
        <v>45903</v>
      </c>
    </row>
    <row r="332" spans="1:9">
      <c r="A332" s="1">
        <v>215</v>
      </c>
      <c r="B332" s="1" t="s">
        <v>5</v>
      </c>
      <c r="C332" s="1">
        <v>9</v>
      </c>
      <c r="D332" s="1">
        <v>6</v>
      </c>
      <c r="E332" s="1">
        <v>5</v>
      </c>
      <c r="F332" s="1">
        <f>SUMIF(Scores!$F$2:$F$910, 'Next Gen'!$A332, INDEX(Scores!$I$2:$Q$910, 0, MATCH($B332, Scores!$I$1:$Q$1, 0)))</f>
        <v>8</v>
      </c>
      <c r="G332" s="1">
        <f>INDEX(Scores!$B$2:$B$910, MATCH('Next Gen'!$A332, Scores!$F$2:$F$910, 0))</f>
        <v>256</v>
      </c>
      <c r="H332" s="1" t="str">
        <f>INDEX(Scores!$D$2:$D$910, MATCH('Next Gen'!$A332, Scores!$F$2:$F$910, 0))</f>
        <v>Original</v>
      </c>
      <c r="I332" s="4">
        <f>INDEX(Scores!$E$2:$E$910, MATCH('Next Gen'!$A332, Scores!$F$2:$F$910, 0))</f>
        <v>45903</v>
      </c>
    </row>
    <row r="333" spans="1:9">
      <c r="A333" s="1">
        <v>216</v>
      </c>
      <c r="B333" s="1" t="s">
        <v>4</v>
      </c>
      <c r="C333" s="1">
        <v>9</v>
      </c>
      <c r="D333" s="1">
        <v>9</v>
      </c>
      <c r="E333" s="1">
        <v>7</v>
      </c>
      <c r="F333" s="1">
        <f>SUMIF(Scores!$F$2:$F$910, 'Next Gen'!$A333, INDEX(Scores!$I$2:$Q$910, 0, MATCH($B333, Scores!$I$1:$Q$1, 0)))</f>
        <v>17</v>
      </c>
      <c r="G333" s="1">
        <f>INDEX(Scores!$B$2:$B$910, MATCH('Next Gen'!$A333, Scores!$F$2:$F$910, 0))</f>
        <v>256</v>
      </c>
      <c r="H333" s="1" t="str">
        <f>INDEX(Scores!$D$2:$D$910, MATCH('Next Gen'!$A333, Scores!$F$2:$F$910, 0))</f>
        <v>Original</v>
      </c>
      <c r="I333" s="4">
        <f>INDEX(Scores!$E$2:$E$910, MATCH('Next Gen'!$A333, Scores!$F$2:$F$910, 0))</f>
        <v>45904</v>
      </c>
    </row>
    <row r="334" spans="1:9">
      <c r="A334" s="1">
        <v>216</v>
      </c>
      <c r="B334" s="1" t="s">
        <v>5</v>
      </c>
      <c r="C334" s="1">
        <v>9</v>
      </c>
      <c r="D334" s="1">
        <v>9</v>
      </c>
      <c r="E334" s="1">
        <v>5</v>
      </c>
      <c r="F334" s="1">
        <f>SUMIF(Scores!$F$2:$F$910, 'Next Gen'!$A334, INDEX(Scores!$I$2:$Q$910, 0, MATCH($B334, Scores!$I$1:$Q$1, 0)))</f>
        <v>10</v>
      </c>
      <c r="G334" s="1">
        <f>INDEX(Scores!$B$2:$B$910, MATCH('Next Gen'!$A334, Scores!$F$2:$F$910, 0))</f>
        <v>256</v>
      </c>
      <c r="H334" s="1" t="str">
        <f>INDEX(Scores!$D$2:$D$910, MATCH('Next Gen'!$A334, Scores!$F$2:$F$910, 0))</f>
        <v>Original</v>
      </c>
      <c r="I334" s="4">
        <f>INDEX(Scores!$E$2:$E$910, MATCH('Next Gen'!$A334, Scores!$F$2:$F$910, 0))</f>
        <v>45904</v>
      </c>
    </row>
    <row r="335" spans="1:9">
      <c r="A335" s="1">
        <v>217</v>
      </c>
      <c r="B335" s="1" t="s">
        <v>4</v>
      </c>
      <c r="C335" s="1">
        <v>9</v>
      </c>
      <c r="D335" s="1">
        <v>9</v>
      </c>
      <c r="E335" s="1">
        <v>6</v>
      </c>
      <c r="F335" s="1">
        <f>SUMIF(Scores!$F$2:$F$910, 'Next Gen'!$A335, INDEX(Scores!$I$2:$Q$910, 0, MATCH($B335, Scores!$I$1:$Q$1, 0)))</f>
        <v>12</v>
      </c>
      <c r="G335" s="1">
        <f>INDEX(Scores!$B$2:$B$910, MATCH('Next Gen'!$A335, Scores!$F$2:$F$910, 0))</f>
        <v>256</v>
      </c>
      <c r="H335" s="1" t="str">
        <f>INDEX(Scores!$D$2:$D$910, MATCH('Next Gen'!$A335, Scores!$F$2:$F$910, 0))</f>
        <v>Original</v>
      </c>
      <c r="I335" s="4">
        <f>INDEX(Scores!$E$2:$E$910, MATCH('Next Gen'!$A335, Scores!$F$2:$F$910, 0))</f>
        <v>45910</v>
      </c>
    </row>
    <row r="336" spans="1:9">
      <c r="A336" s="1">
        <v>217</v>
      </c>
      <c r="B336" s="1" t="s">
        <v>5</v>
      </c>
      <c r="C336" s="1">
        <v>9</v>
      </c>
      <c r="D336" s="1">
        <v>7</v>
      </c>
      <c r="E336" s="1">
        <v>5</v>
      </c>
      <c r="F336" s="1">
        <f>SUMIF(Scores!$F$2:$F$910, 'Next Gen'!$A336, INDEX(Scores!$I$2:$Q$910, 0, MATCH($B336, Scores!$I$1:$Q$1, 0)))</f>
        <v>6</v>
      </c>
      <c r="G336" s="1">
        <f>INDEX(Scores!$B$2:$B$910, MATCH('Next Gen'!$A336, Scores!$F$2:$F$910, 0))</f>
        <v>256</v>
      </c>
      <c r="H336" s="1" t="str">
        <f>INDEX(Scores!$D$2:$D$910, MATCH('Next Gen'!$A336, Scores!$F$2:$F$910, 0))</f>
        <v>Original</v>
      </c>
      <c r="I336" s="4">
        <f>INDEX(Scores!$E$2:$E$910, MATCH('Next Gen'!$A336, Scores!$F$2:$F$910, 0))</f>
        <v>45910</v>
      </c>
    </row>
    <row r="337" spans="1:9">
      <c r="A337" s="1">
        <v>218</v>
      </c>
      <c r="B337" s="1" t="s">
        <v>4</v>
      </c>
      <c r="C337" s="1">
        <v>9</v>
      </c>
      <c r="D337" s="1">
        <v>9</v>
      </c>
      <c r="E337" s="1">
        <v>4</v>
      </c>
      <c r="F337" s="1">
        <f>SUMIF(Scores!$F$2:$F$910, 'Next Gen'!$A337, INDEX(Scores!$I$2:$Q$910, 0, MATCH($B337, Scores!$I$1:$Q$1, 0)))</f>
        <v>8</v>
      </c>
      <c r="G337" s="1">
        <f>INDEX(Scores!$B$2:$B$910, MATCH('Next Gen'!$A337, Scores!$F$2:$F$910, 0))</f>
        <v>256</v>
      </c>
      <c r="H337" s="1" t="str">
        <f>INDEX(Scores!$D$2:$D$910, MATCH('Next Gen'!$A337, Scores!$F$2:$F$910, 0))</f>
        <v>Original</v>
      </c>
      <c r="I337" s="4">
        <f>INDEX(Scores!$E$2:$E$910, MATCH('Next Gen'!$A337, Scores!$F$2:$F$910, 0))</f>
        <v>45911</v>
      </c>
    </row>
    <row r="338" spans="1:9">
      <c r="A338" s="1">
        <v>218</v>
      </c>
      <c r="B338" s="1" t="s">
        <v>5</v>
      </c>
      <c r="C338" s="1">
        <v>9</v>
      </c>
      <c r="D338" s="1">
        <v>7</v>
      </c>
      <c r="E338" s="1">
        <v>6</v>
      </c>
      <c r="F338" s="1">
        <f>SUMIF(Scores!$F$2:$F$910, 'Next Gen'!$A338, INDEX(Scores!$I$2:$Q$910, 0, MATCH($B338, Scores!$I$1:$Q$1, 0)))</f>
        <v>10</v>
      </c>
      <c r="G338" s="1">
        <f>INDEX(Scores!$B$2:$B$910, MATCH('Next Gen'!$A338, Scores!$F$2:$F$910, 0))</f>
        <v>256</v>
      </c>
      <c r="H338" s="1" t="str">
        <f>INDEX(Scores!$D$2:$D$910, MATCH('Next Gen'!$A338, Scores!$F$2:$F$910, 0))</f>
        <v>Original</v>
      </c>
      <c r="I338" s="4">
        <f>INDEX(Scores!$E$2:$E$910, MATCH('Next Gen'!$A338, Scores!$F$2:$F$910, 0))</f>
        <v>45911</v>
      </c>
    </row>
    <row r="339" spans="1:9">
      <c r="A339" s="1">
        <v>219</v>
      </c>
      <c r="B339" s="1" t="s">
        <v>4</v>
      </c>
      <c r="C339" s="1">
        <v>9</v>
      </c>
      <c r="D339" s="1">
        <v>9</v>
      </c>
      <c r="E339" s="1">
        <v>7</v>
      </c>
      <c r="F339" s="1">
        <f>SUMIF(Scores!$F$2:$F$910, 'Next Gen'!$A339, INDEX(Scores!$I$2:$Q$910, 0, MATCH($B339, Scores!$I$1:$Q$1, 0)))</f>
        <v>16</v>
      </c>
      <c r="G339" s="1">
        <f>INDEX(Scores!$B$2:$B$910, MATCH('Next Gen'!$A339, Scores!$F$2:$F$910, 0))</f>
        <v>256</v>
      </c>
      <c r="H339" s="1" t="str">
        <f>INDEX(Scores!$D$2:$D$910, MATCH('Next Gen'!$A339, Scores!$F$2:$F$910, 0))</f>
        <v>Original</v>
      </c>
      <c r="I339" s="4">
        <f>INDEX(Scores!$E$2:$E$910, MATCH('Next Gen'!$A339, Scores!$F$2:$F$910, 0))</f>
        <v>45915</v>
      </c>
    </row>
    <row r="340" spans="1:9">
      <c r="A340" s="1">
        <v>219</v>
      </c>
      <c r="B340" s="1" t="s">
        <v>5</v>
      </c>
      <c r="C340" s="1">
        <v>9</v>
      </c>
      <c r="D340" s="1">
        <v>8</v>
      </c>
      <c r="E340" s="1">
        <v>7</v>
      </c>
      <c r="F340" s="1">
        <f>SUMIF(Scores!$F$2:$F$910, 'Next Gen'!$A340, INDEX(Scores!$I$2:$Q$910, 0, MATCH($B340, Scores!$I$1:$Q$1, 0)))</f>
        <v>10</v>
      </c>
      <c r="G340" s="1">
        <f>INDEX(Scores!$B$2:$B$910, MATCH('Next Gen'!$A340, Scores!$F$2:$F$910, 0))</f>
        <v>256</v>
      </c>
      <c r="H340" s="1" t="str">
        <f>INDEX(Scores!$D$2:$D$910, MATCH('Next Gen'!$A340, Scores!$F$2:$F$910, 0))</f>
        <v>Original</v>
      </c>
      <c r="I340" s="4">
        <f>INDEX(Scores!$E$2:$E$910, MATCH('Next Gen'!$A340, Scores!$F$2:$F$910, 0))</f>
        <v>45915</v>
      </c>
    </row>
    <row r="341" spans="1:9">
      <c r="A341" s="1">
        <v>220</v>
      </c>
      <c r="B341" s="1" t="s">
        <v>4</v>
      </c>
      <c r="C341" s="1">
        <v>9</v>
      </c>
      <c r="D341" s="1">
        <v>9</v>
      </c>
      <c r="E341" s="1">
        <v>4</v>
      </c>
      <c r="F341" s="1">
        <f>SUMIF(Scores!$F$2:$F$910, 'Next Gen'!$A341, INDEX(Scores!$I$2:$Q$910, 0, MATCH($B341, Scores!$I$1:$Q$1, 0)))</f>
        <v>8</v>
      </c>
      <c r="G341" s="1">
        <f>INDEX(Scores!$B$2:$B$910, MATCH('Next Gen'!$A341, Scores!$F$2:$F$910, 0))</f>
        <v>256</v>
      </c>
      <c r="H341" s="1" t="str">
        <f>INDEX(Scores!$D$2:$D$910, MATCH('Next Gen'!$A341, Scores!$F$2:$F$910, 0))</f>
        <v>Original</v>
      </c>
      <c r="I341" s="4">
        <f>INDEX(Scores!$E$2:$E$910, MATCH('Next Gen'!$A341, Scores!$F$2:$F$910, 0))</f>
        <v>45916</v>
      </c>
    </row>
    <row r="342" spans="1:9">
      <c r="A342" s="1">
        <v>220</v>
      </c>
      <c r="B342" s="1" t="s">
        <v>5</v>
      </c>
      <c r="C342" s="1">
        <v>9</v>
      </c>
      <c r="D342" s="1">
        <v>7</v>
      </c>
      <c r="E342" s="1">
        <v>5</v>
      </c>
      <c r="F342" s="1">
        <f>SUMIF(Scores!$F$2:$F$910, 'Next Gen'!$A342, INDEX(Scores!$I$2:$Q$910, 0, MATCH($B342, Scores!$I$1:$Q$1, 0)))</f>
        <v>10</v>
      </c>
      <c r="G342" s="1">
        <f>INDEX(Scores!$B$2:$B$910, MATCH('Next Gen'!$A342, Scores!$F$2:$F$910, 0))</f>
        <v>256</v>
      </c>
      <c r="H342" s="1" t="str">
        <f>INDEX(Scores!$D$2:$D$910, MATCH('Next Gen'!$A342, Scores!$F$2:$F$910, 0))</f>
        <v>Original</v>
      </c>
      <c r="I342" s="4">
        <f>INDEX(Scores!$E$2:$E$910, MATCH('Next Gen'!$A342, Scores!$F$2:$F$910, 0))</f>
        <v>45916</v>
      </c>
    </row>
    <row r="343" spans="1:9">
      <c r="A343" s="1">
        <v>221</v>
      </c>
      <c r="B343" s="1" t="s">
        <v>4</v>
      </c>
      <c r="C343" s="1">
        <v>9</v>
      </c>
      <c r="D343" s="1">
        <v>8</v>
      </c>
      <c r="E343" s="1">
        <v>6</v>
      </c>
      <c r="F343" s="1">
        <f>SUMIF(Scores!$F$2:$F$910, 'Next Gen'!$A343, INDEX(Scores!$I$2:$Q$910, 0, MATCH($B343, Scores!$I$1:$Q$1, 0)))</f>
        <v>8</v>
      </c>
      <c r="G343" s="1">
        <f>INDEX(Scores!$B$2:$B$910, MATCH('Next Gen'!$A343, Scores!$F$2:$F$910, 0))</f>
        <v>256</v>
      </c>
      <c r="H343" s="1" t="str">
        <f>INDEX(Scores!$D$2:$D$910, MATCH('Next Gen'!$A343, Scores!$F$2:$F$910, 0))</f>
        <v>Original</v>
      </c>
      <c r="I343" s="4">
        <f>INDEX(Scores!$E$2:$E$910, MATCH('Next Gen'!$A343, Scores!$F$2:$F$910, 0))</f>
        <v>45917</v>
      </c>
    </row>
    <row r="344" spans="1:9">
      <c r="A344" s="1">
        <v>221</v>
      </c>
      <c r="B344" s="1" t="s">
        <v>5</v>
      </c>
      <c r="C344" s="1">
        <v>9</v>
      </c>
      <c r="D344" s="1">
        <v>7</v>
      </c>
      <c r="E344" s="1">
        <v>4</v>
      </c>
      <c r="F344" s="1">
        <f>SUMIF(Scores!$F$2:$F$910, 'Next Gen'!$A344, INDEX(Scores!$I$2:$Q$910, 0, MATCH($B344, Scores!$I$1:$Q$1, 0)))</f>
        <v>6</v>
      </c>
      <c r="G344" s="1">
        <f>INDEX(Scores!$B$2:$B$910, MATCH('Next Gen'!$A344, Scores!$F$2:$F$910, 0))</f>
        <v>256</v>
      </c>
      <c r="H344" s="1" t="str">
        <f>INDEX(Scores!$D$2:$D$910, MATCH('Next Gen'!$A344, Scores!$F$2:$F$910, 0))</f>
        <v>Original</v>
      </c>
      <c r="I344" s="4">
        <f>INDEX(Scores!$E$2:$E$910, MATCH('Next Gen'!$A344, Scores!$F$2:$F$910, 0))</f>
        <v>45917</v>
      </c>
    </row>
    <row r="345" spans="1:9">
      <c r="A345" s="1">
        <v>222</v>
      </c>
      <c r="B345" s="1" t="s">
        <v>4</v>
      </c>
      <c r="C345" s="1">
        <v>9</v>
      </c>
      <c r="D345" s="1">
        <v>9</v>
      </c>
      <c r="E345" s="1">
        <v>9</v>
      </c>
      <c r="F345" s="1">
        <f>SUMIF(Scores!$F$2:$F$910, 'Next Gen'!$A345, INDEX(Scores!$I$2:$Q$910, 0, MATCH($B345, Scores!$I$1:$Q$1, 0)))</f>
        <v>14</v>
      </c>
      <c r="G345" s="1">
        <f>INDEX(Scores!$B$2:$B$910, MATCH('Next Gen'!$A345, Scores!$F$2:$F$910, 0))</f>
        <v>256</v>
      </c>
      <c r="H345" s="1" t="str">
        <f>INDEX(Scores!$D$2:$D$910, MATCH('Next Gen'!$A345, Scores!$F$2:$F$910, 0))</f>
        <v>Original</v>
      </c>
      <c r="I345" s="4">
        <f>INDEX(Scores!$E$2:$E$910, MATCH('Next Gen'!$A345, Scores!$F$2:$F$910, 0))</f>
        <v>45918</v>
      </c>
    </row>
    <row r="346" spans="1:9">
      <c r="A346" s="1">
        <v>222</v>
      </c>
      <c r="B346" s="1" t="s">
        <v>5</v>
      </c>
      <c r="C346" s="1">
        <v>9</v>
      </c>
      <c r="D346" s="1">
        <v>7</v>
      </c>
      <c r="E346" s="1">
        <v>7</v>
      </c>
      <c r="F346" s="1">
        <f>SUMIF(Scores!$F$2:$F$910, 'Next Gen'!$A346, INDEX(Scores!$I$2:$Q$910, 0, MATCH($B346, Scores!$I$1:$Q$1, 0)))</f>
        <v>12</v>
      </c>
      <c r="G346" s="1">
        <f>INDEX(Scores!$B$2:$B$910, MATCH('Next Gen'!$A346, Scores!$F$2:$F$910, 0))</f>
        <v>256</v>
      </c>
      <c r="H346" s="1" t="str">
        <f>INDEX(Scores!$D$2:$D$910, MATCH('Next Gen'!$A346, Scores!$F$2:$F$910, 0))</f>
        <v>Original</v>
      </c>
      <c r="I346" s="4">
        <f>INDEX(Scores!$E$2:$E$910, MATCH('Next Gen'!$A346, Scores!$F$2:$F$910, 0))</f>
        <v>45918</v>
      </c>
    </row>
    <row r="347" spans="1:9">
      <c r="A347" s="1">
        <v>223</v>
      </c>
      <c r="B347" s="1" t="s">
        <v>4</v>
      </c>
      <c r="C347" s="1">
        <v>9</v>
      </c>
      <c r="D347" s="1">
        <v>9</v>
      </c>
      <c r="E347" s="1">
        <v>5</v>
      </c>
      <c r="F347" s="1">
        <f>SUMIF(Scores!$F$2:$F$910, 'Next Gen'!$A347, INDEX(Scores!$I$2:$Q$910, 0, MATCH($B347, Scores!$I$1:$Q$1, 0)))</f>
        <v>12</v>
      </c>
      <c r="G347" s="1">
        <f>INDEX(Scores!$B$2:$B$910, MATCH('Next Gen'!$A347, Scores!$F$2:$F$910, 0))</f>
        <v>256</v>
      </c>
      <c r="H347" s="1" t="str">
        <f>INDEX(Scores!$D$2:$D$910, MATCH('Next Gen'!$A347, Scores!$F$2:$F$910, 0))</f>
        <v>Original</v>
      </c>
      <c r="I347" s="4">
        <f>INDEX(Scores!$E$2:$E$910, MATCH('Next Gen'!$A347, Scores!$F$2:$F$910, 0))</f>
        <v>45919</v>
      </c>
    </row>
    <row r="348" spans="1:9">
      <c r="A348" s="1">
        <v>223</v>
      </c>
      <c r="B348" s="1" t="s">
        <v>5</v>
      </c>
      <c r="C348" s="1">
        <v>9</v>
      </c>
      <c r="D348" s="1">
        <v>8</v>
      </c>
      <c r="E348" s="1">
        <v>4</v>
      </c>
      <c r="F348" s="1">
        <f>SUMIF(Scores!$F$2:$F$910, 'Next Gen'!$A348, INDEX(Scores!$I$2:$Q$910, 0, MATCH($B348, Scores!$I$1:$Q$1, 0)))</f>
        <v>11</v>
      </c>
      <c r="G348" s="1">
        <f>INDEX(Scores!$B$2:$B$910, MATCH('Next Gen'!$A348, Scores!$F$2:$F$910, 0))</f>
        <v>256</v>
      </c>
      <c r="H348" s="1" t="str">
        <f>INDEX(Scores!$D$2:$D$910, MATCH('Next Gen'!$A348, Scores!$F$2:$F$910, 0))</f>
        <v>Original</v>
      </c>
      <c r="I348" s="4">
        <f>INDEX(Scores!$E$2:$E$910, MATCH('Next Gen'!$A348, Scores!$F$2:$F$910, 0))</f>
        <v>45919</v>
      </c>
    </row>
    <row r="349" spans="1:9">
      <c r="A349" s="1">
        <v>224</v>
      </c>
      <c r="B349" s="1" t="s">
        <v>4</v>
      </c>
      <c r="C349" s="1">
        <v>9</v>
      </c>
      <c r="D349" s="1">
        <v>9</v>
      </c>
      <c r="E349" s="1">
        <v>8</v>
      </c>
      <c r="F349" s="1">
        <f>SUMIF(Scores!$F$2:$F$910, 'Next Gen'!$A349, INDEX(Scores!$I$2:$Q$910, 0, MATCH($B349, Scores!$I$1:$Q$1, 0)))</f>
        <v>14</v>
      </c>
      <c r="G349" s="1">
        <f>INDEX(Scores!$B$2:$B$910, MATCH('Next Gen'!$A349, Scores!$F$2:$F$910, 0))</f>
        <v>256</v>
      </c>
      <c r="H349" s="1" t="str">
        <f>INDEX(Scores!$D$2:$D$910, MATCH('Next Gen'!$A349, Scores!$F$2:$F$910, 0))</f>
        <v>Original</v>
      </c>
      <c r="I349" s="4">
        <f>INDEX(Scores!$E$2:$E$910, MATCH('Next Gen'!$A349, Scores!$F$2:$F$910, 0))</f>
        <v>45923</v>
      </c>
    </row>
    <row r="350" spans="1:9">
      <c r="A350" s="1">
        <v>224</v>
      </c>
      <c r="B350" s="1" t="s">
        <v>5</v>
      </c>
      <c r="C350" s="1">
        <v>9</v>
      </c>
      <c r="D350" s="1">
        <v>6</v>
      </c>
      <c r="E350" s="1">
        <v>5</v>
      </c>
      <c r="F350" s="1">
        <f>SUMIF(Scores!$F$2:$F$910, 'Next Gen'!$A350, INDEX(Scores!$I$2:$Q$910, 0, MATCH($B350, Scores!$I$1:$Q$1, 0)))</f>
        <v>8</v>
      </c>
      <c r="G350" s="1">
        <f>INDEX(Scores!$B$2:$B$910, MATCH('Next Gen'!$A350, Scores!$F$2:$F$910, 0))</f>
        <v>256</v>
      </c>
      <c r="H350" s="1" t="str">
        <f>INDEX(Scores!$D$2:$D$910, MATCH('Next Gen'!$A350, Scores!$F$2:$F$910, 0))</f>
        <v>Original</v>
      </c>
      <c r="I350" s="4">
        <f>INDEX(Scores!$E$2:$E$910, MATCH('Next Gen'!$A350, Scores!$F$2:$F$910, 0))</f>
        <v>45923</v>
      </c>
    </row>
    <row r="351" spans="1:9">
      <c r="A351" s="1">
        <v>225</v>
      </c>
      <c r="B351" s="1" t="s">
        <v>4</v>
      </c>
      <c r="C351" s="1">
        <v>9</v>
      </c>
      <c r="D351" s="1">
        <v>11</v>
      </c>
      <c r="E351" s="1">
        <v>5</v>
      </c>
      <c r="F351" s="1">
        <f>SUMIF(Scores!$F$2:$F$910, 'Next Gen'!$A351, INDEX(Scores!$I$2:$Q$910, 0, MATCH($B351, Scores!$I$1:$Q$1, 0)))</f>
        <v>7</v>
      </c>
      <c r="G351" s="1">
        <f>INDEX(Scores!$B$2:$B$910, MATCH('Next Gen'!$A351, Scores!$F$2:$F$910, 0))</f>
        <v>256</v>
      </c>
      <c r="H351" s="1" t="str">
        <f>INDEX(Scores!$D$2:$D$910, MATCH('Next Gen'!$A351, Scores!$F$2:$F$910, 0))</f>
        <v>Original</v>
      </c>
      <c r="I351" s="4">
        <f>INDEX(Scores!$E$2:$E$910, MATCH('Next Gen'!$A351, Scores!$F$2:$F$910, 0))</f>
        <v>45924</v>
      </c>
    </row>
    <row r="352" spans="1:9">
      <c r="A352" s="1">
        <v>225</v>
      </c>
      <c r="B352" s="1" t="s">
        <v>5</v>
      </c>
      <c r="C352" s="1">
        <v>9</v>
      </c>
      <c r="D352" s="1">
        <v>8</v>
      </c>
      <c r="E352" s="1">
        <v>6</v>
      </c>
      <c r="F352" s="1">
        <f>SUMIF(Scores!$F$2:$F$910, 'Next Gen'!$A352, INDEX(Scores!$I$2:$Q$910, 0, MATCH($B352, Scores!$I$1:$Q$1, 0)))</f>
        <v>10</v>
      </c>
      <c r="G352" s="1">
        <f>INDEX(Scores!$B$2:$B$910, MATCH('Next Gen'!$A352, Scores!$F$2:$F$910, 0))</f>
        <v>256</v>
      </c>
      <c r="H352" s="1" t="str">
        <f>INDEX(Scores!$D$2:$D$910, MATCH('Next Gen'!$A352, Scores!$F$2:$F$910, 0))</f>
        <v>Original</v>
      </c>
      <c r="I352" s="4">
        <f>INDEX(Scores!$E$2:$E$910, MATCH('Next Gen'!$A352, Scores!$F$2:$F$910, 0))</f>
        <v>45924</v>
      </c>
    </row>
    <row r="353" spans="1:9">
      <c r="A353" s="1">
        <v>226</v>
      </c>
      <c r="B353" s="1" t="s">
        <v>78</v>
      </c>
      <c r="C353" s="1">
        <v>9</v>
      </c>
      <c r="D353" s="1">
        <v>6</v>
      </c>
      <c r="E353" s="1">
        <v>3</v>
      </c>
      <c r="F353" s="1">
        <f>SUMIF(Scores!$F$2:$F$910, 'Next Gen'!$A353, INDEX(Scores!$I$2:$Q$910, 0, MATCH($B353, Scores!$I$1:$Q$1, 0)))</f>
        <v>3</v>
      </c>
      <c r="G353" s="1">
        <f>INDEX(Scores!$B$2:$B$910, MATCH('Next Gen'!$A353, Scores!$F$2:$F$910, 0))</f>
        <v>256</v>
      </c>
      <c r="H353" s="1" t="str">
        <f>INDEX(Scores!$D$2:$D$910, MATCH('Next Gen'!$A353, Scores!$F$2:$F$910, 0))</f>
        <v>Original</v>
      </c>
      <c r="I353" s="4">
        <f>INDEX(Scores!$E$2:$E$910, MATCH('Next Gen'!$A353, Scores!$F$2:$F$910, 0))</f>
        <v>45926</v>
      </c>
    </row>
    <row r="354" spans="1:9">
      <c r="A354" s="1">
        <v>226</v>
      </c>
      <c r="B354" s="1" t="s">
        <v>4</v>
      </c>
      <c r="C354" s="1">
        <v>9</v>
      </c>
      <c r="D354" s="1">
        <v>9</v>
      </c>
      <c r="E354" s="1">
        <v>4</v>
      </c>
      <c r="F354" s="1">
        <f>SUMIF(Scores!$F$2:$F$910, 'Next Gen'!$A354, INDEX(Scores!$I$2:$Q$910, 0, MATCH($B354, Scores!$I$1:$Q$1, 0)))</f>
        <v>5</v>
      </c>
      <c r="G354" s="1">
        <f>INDEX(Scores!$B$2:$B$910, MATCH('Next Gen'!$A354, Scores!$F$2:$F$910, 0))</f>
        <v>256</v>
      </c>
      <c r="H354" s="1" t="str">
        <f>INDEX(Scores!$D$2:$D$910, MATCH('Next Gen'!$A354, Scores!$F$2:$F$910, 0))</f>
        <v>Original</v>
      </c>
      <c r="I354" s="4">
        <f>INDEX(Scores!$E$2:$E$910, MATCH('Next Gen'!$A354, Scores!$F$2:$F$910, 0))</f>
        <v>45926</v>
      </c>
    </row>
    <row r="355" spans="1:9">
      <c r="A355" s="1">
        <v>226</v>
      </c>
      <c r="B355" s="1" t="s">
        <v>5</v>
      </c>
      <c r="C355" s="1">
        <v>9</v>
      </c>
      <c r="D355" s="1">
        <v>5</v>
      </c>
      <c r="E355" s="1">
        <v>5</v>
      </c>
      <c r="F355" s="1">
        <f>SUMIF(Scores!$F$2:$F$910, 'Next Gen'!$A355, INDEX(Scores!$I$2:$Q$910, 0, MATCH($B355, Scores!$I$1:$Q$1, 0)))</f>
        <v>12</v>
      </c>
      <c r="G355" s="1">
        <f>INDEX(Scores!$B$2:$B$910, MATCH('Next Gen'!$A355, Scores!$F$2:$F$910, 0))</f>
        <v>256</v>
      </c>
      <c r="H355" s="1" t="str">
        <f>INDEX(Scores!$D$2:$D$910, MATCH('Next Gen'!$A355, Scores!$F$2:$F$910, 0))</f>
        <v>Original</v>
      </c>
      <c r="I355" s="4">
        <f>INDEX(Scores!$E$2:$E$910, MATCH('Next Gen'!$A355, Scores!$F$2:$F$910, 0))</f>
        <v>45926</v>
      </c>
    </row>
    <row r="356" spans="1:9">
      <c r="A356" s="1">
        <v>227</v>
      </c>
      <c r="B356" s="1" t="s">
        <v>4</v>
      </c>
      <c r="C356" s="1">
        <v>9</v>
      </c>
      <c r="D356" s="1">
        <v>8</v>
      </c>
      <c r="E356" s="1">
        <v>4</v>
      </c>
      <c r="F356" s="1">
        <f>SUMIF(Scores!$F$2:$F$910, 'Next Gen'!$A356, INDEX(Scores!$I$2:$Q$910, 0, MATCH($B356, Scores!$I$1:$Q$1, 0)))</f>
        <v>11</v>
      </c>
      <c r="G356" s="1">
        <f>INDEX(Scores!$B$2:$B$910, MATCH('Next Gen'!$A356, Scores!$F$2:$F$910, 0))</f>
        <v>256</v>
      </c>
      <c r="H356" s="1" t="str">
        <f>INDEX(Scores!$D$2:$D$910, MATCH('Next Gen'!$A356, Scores!$F$2:$F$910, 0))</f>
        <v>Original</v>
      </c>
      <c r="I356" s="4">
        <f>INDEX(Scores!$E$2:$E$910, MATCH('Next Gen'!$A356, Scores!$F$2:$F$910, 0))</f>
        <v>45929</v>
      </c>
    </row>
    <row r="357" spans="1:9">
      <c r="A357" s="1">
        <v>227</v>
      </c>
      <c r="B357" s="1" t="s">
        <v>5</v>
      </c>
      <c r="C357" s="1">
        <v>9</v>
      </c>
      <c r="D357" s="1">
        <v>7</v>
      </c>
      <c r="E357" s="1">
        <v>6</v>
      </c>
      <c r="F357" s="1">
        <f>SUMIF(Scores!$F$2:$F$910, 'Next Gen'!$A357, INDEX(Scores!$I$2:$Q$910, 0, MATCH($B357, Scores!$I$1:$Q$1, 0)))</f>
        <v>12</v>
      </c>
      <c r="G357" s="1">
        <f>INDEX(Scores!$B$2:$B$910, MATCH('Next Gen'!$A357, Scores!$F$2:$F$910, 0))</f>
        <v>256</v>
      </c>
      <c r="H357" s="1" t="str">
        <f>INDEX(Scores!$D$2:$D$910, MATCH('Next Gen'!$A357, Scores!$F$2:$F$910, 0))</f>
        <v>Original</v>
      </c>
      <c r="I357" s="4">
        <f>INDEX(Scores!$E$2:$E$910, MATCH('Next Gen'!$A357, Scores!$F$2:$F$910, 0))</f>
        <v>45929</v>
      </c>
    </row>
    <row r="358" spans="1:9">
      <c r="A358" s="1">
        <v>228</v>
      </c>
      <c r="B358" s="1" t="s">
        <v>4</v>
      </c>
      <c r="C358" s="1">
        <v>9</v>
      </c>
      <c r="D358" s="1">
        <v>8</v>
      </c>
      <c r="E358" s="1">
        <v>7</v>
      </c>
      <c r="F358" s="1">
        <f>SUMIF(Scores!$F$2:$F$910, 'Next Gen'!$A358, INDEX(Scores!$I$2:$Q$910, 0, MATCH($B358, Scores!$I$1:$Q$1, 0)))</f>
        <v>15</v>
      </c>
      <c r="G358" s="1">
        <f>INDEX(Scores!$B$2:$B$910, MATCH('Next Gen'!$A358, Scores!$F$2:$F$910, 0))</f>
        <v>256</v>
      </c>
      <c r="H358" s="1" t="str">
        <f>INDEX(Scores!$D$2:$D$910, MATCH('Next Gen'!$A358, Scores!$F$2:$F$910, 0))</f>
        <v>Original</v>
      </c>
      <c r="I358" s="4">
        <f>INDEX(Scores!$E$2:$E$910, MATCH('Next Gen'!$A358, Scores!$F$2:$F$910, 0))</f>
        <v>45930</v>
      </c>
    </row>
    <row r="359" spans="1:9">
      <c r="A359" s="1">
        <v>228</v>
      </c>
      <c r="B359" s="1" t="s">
        <v>5</v>
      </c>
      <c r="C359" s="1">
        <v>9</v>
      </c>
      <c r="D359" s="1">
        <v>7</v>
      </c>
      <c r="E359" s="1">
        <v>6</v>
      </c>
      <c r="F359" s="1">
        <f>SUMIF(Scores!$F$2:$F$910, 'Next Gen'!$A359, INDEX(Scores!$I$2:$Q$910, 0, MATCH($B359, Scores!$I$1:$Q$1, 0)))</f>
        <v>11</v>
      </c>
      <c r="G359" s="1">
        <f>INDEX(Scores!$B$2:$B$910, MATCH('Next Gen'!$A359, Scores!$F$2:$F$910, 0))</f>
        <v>256</v>
      </c>
      <c r="H359" s="1" t="str">
        <f>INDEX(Scores!$D$2:$D$910, MATCH('Next Gen'!$A359, Scores!$F$2:$F$910, 0))</f>
        <v>Original</v>
      </c>
      <c r="I359" s="4">
        <f>INDEX(Scores!$E$2:$E$910, MATCH('Next Gen'!$A359, Scores!$F$2:$F$910, 0))</f>
        <v>45930</v>
      </c>
    </row>
    <row r="360" spans="1:9">
      <c r="A360" s="1">
        <v>229</v>
      </c>
      <c r="B360" s="1" t="s">
        <v>4</v>
      </c>
      <c r="C360" s="1">
        <v>9</v>
      </c>
      <c r="D360" s="1">
        <v>9</v>
      </c>
      <c r="E360" s="1">
        <v>5</v>
      </c>
      <c r="F360" s="1">
        <f>SUMIF(Scores!$F$2:$F$910, 'Next Gen'!$A360, INDEX(Scores!$I$2:$Q$910, 0, MATCH($B360, Scores!$I$1:$Q$1, 0)))</f>
        <v>15</v>
      </c>
      <c r="G360" s="1">
        <f>INDEX(Scores!$B$2:$B$910, MATCH('Next Gen'!$A360, Scores!$F$2:$F$910, 0))</f>
        <v>256</v>
      </c>
      <c r="H360" s="1" t="str">
        <f>INDEX(Scores!$D$2:$D$910, MATCH('Next Gen'!$A360, Scores!$F$2:$F$910, 0))</f>
        <v>Original</v>
      </c>
      <c r="I360" s="4">
        <f>INDEX(Scores!$E$2:$E$910, MATCH('Next Gen'!$A360, Scores!$F$2:$F$910, 0))</f>
        <v>45931</v>
      </c>
    </row>
    <row r="361" spans="1:9">
      <c r="A361" s="1">
        <v>229</v>
      </c>
      <c r="B361" s="1" t="s">
        <v>5</v>
      </c>
      <c r="C361" s="1">
        <v>9</v>
      </c>
      <c r="D361" s="1">
        <v>5</v>
      </c>
      <c r="E361" s="1">
        <v>4</v>
      </c>
      <c r="F361" s="1">
        <f>SUMIF(Scores!$F$2:$F$910, 'Next Gen'!$A361, INDEX(Scores!$I$2:$Q$910, 0, MATCH($B361, Scores!$I$1:$Q$1, 0)))</f>
        <v>10</v>
      </c>
      <c r="G361" s="1">
        <f>INDEX(Scores!$B$2:$B$910, MATCH('Next Gen'!$A361, Scores!$F$2:$F$910, 0))</f>
        <v>256</v>
      </c>
      <c r="H361" s="1" t="str">
        <f>INDEX(Scores!$D$2:$D$910, MATCH('Next Gen'!$A361, Scores!$F$2:$F$910, 0))</f>
        <v>Original</v>
      </c>
      <c r="I361" s="4">
        <f>INDEX(Scores!$E$2:$E$910, MATCH('Next Gen'!$A361, Scores!$F$2:$F$910, 0))</f>
        <v>45931</v>
      </c>
    </row>
    <row r="362" spans="1:9">
      <c r="A362" s="1">
        <v>230</v>
      </c>
      <c r="B362" s="1" t="s">
        <v>4</v>
      </c>
      <c r="C362" s="1">
        <v>9</v>
      </c>
      <c r="D362" s="1">
        <v>9</v>
      </c>
      <c r="E362" s="1">
        <v>4</v>
      </c>
      <c r="F362" s="1">
        <f>SUMIF(Scores!$F$2:$F$910, 'Next Gen'!$A362, INDEX(Scores!$I$2:$Q$910, 0, MATCH($B362, Scores!$I$1:$Q$1, 0)))</f>
        <v>9</v>
      </c>
      <c r="G362" s="1">
        <f>INDEX(Scores!$B$2:$B$910, MATCH('Next Gen'!$A362, Scores!$F$2:$F$910, 0))</f>
        <v>256</v>
      </c>
      <c r="H362" s="1" t="str">
        <f>INDEX(Scores!$D$2:$D$910, MATCH('Next Gen'!$A362, Scores!$F$2:$F$910, 0))</f>
        <v>Original</v>
      </c>
      <c r="I362" s="4">
        <f>INDEX(Scores!$E$2:$E$910, MATCH('Next Gen'!$A362, Scores!$F$2:$F$910, 0))</f>
        <v>45938</v>
      </c>
    </row>
    <row r="363" spans="1:9">
      <c r="A363" s="1">
        <v>230</v>
      </c>
      <c r="B363" s="1" t="s">
        <v>5</v>
      </c>
      <c r="C363" s="1">
        <v>9</v>
      </c>
      <c r="D363" s="1">
        <v>8</v>
      </c>
      <c r="E363" s="1">
        <v>6</v>
      </c>
      <c r="F363" s="1">
        <f>SUMIF(Scores!$F$2:$F$910, 'Next Gen'!$A363, INDEX(Scores!$I$2:$Q$910, 0, MATCH($B363, Scores!$I$1:$Q$1, 0)))</f>
        <v>10</v>
      </c>
      <c r="G363" s="1">
        <f>INDEX(Scores!$B$2:$B$910, MATCH('Next Gen'!$A363, Scores!$F$2:$F$910, 0))</f>
        <v>256</v>
      </c>
      <c r="H363" s="1" t="str">
        <f>INDEX(Scores!$D$2:$D$910, MATCH('Next Gen'!$A363, Scores!$F$2:$F$910, 0))</f>
        <v>Original</v>
      </c>
      <c r="I363" s="4">
        <f>INDEX(Scores!$E$2:$E$910, MATCH('Next Gen'!$A363, Scores!$F$2:$F$910, 0))</f>
        <v>45938</v>
      </c>
    </row>
    <row r="364" spans="1:9">
      <c r="A364" s="1">
        <v>231</v>
      </c>
      <c r="B364" s="1" t="s">
        <v>4</v>
      </c>
      <c r="C364" s="1">
        <v>9</v>
      </c>
      <c r="D364" s="1">
        <v>9</v>
      </c>
      <c r="E364" s="1">
        <v>8</v>
      </c>
      <c r="F364" s="1">
        <f>SUMIF(Scores!$F$2:$F$910, 'Next Gen'!$A364, INDEX(Scores!$I$2:$Q$910, 0, MATCH($B364, Scores!$I$1:$Q$1, 0)))</f>
        <v>16</v>
      </c>
      <c r="G364" s="1">
        <f>INDEX(Scores!$B$2:$B$910, MATCH('Next Gen'!$A364, Scores!$F$2:$F$910, 0))</f>
        <v>256</v>
      </c>
      <c r="H364" s="1" t="str">
        <f>INDEX(Scores!$D$2:$D$910, MATCH('Next Gen'!$A364, Scores!$F$2:$F$910, 0))</f>
        <v>Original</v>
      </c>
      <c r="I364" s="4">
        <f>INDEX(Scores!$E$2:$E$910, MATCH('Next Gen'!$A364, Scores!$F$2:$F$910, 0))</f>
        <v>45940</v>
      </c>
    </row>
    <row r="365" spans="1:9">
      <c r="A365" s="1">
        <v>231</v>
      </c>
      <c r="B365" s="1" t="s">
        <v>5</v>
      </c>
      <c r="C365" s="1">
        <v>9</v>
      </c>
      <c r="D365" s="1">
        <v>7</v>
      </c>
      <c r="E365" s="1">
        <v>4</v>
      </c>
      <c r="F365" s="1">
        <f>SUMIF(Scores!$F$2:$F$910, 'Next Gen'!$A365, INDEX(Scores!$I$2:$Q$910, 0, MATCH($B365, Scores!$I$1:$Q$1, 0)))</f>
        <v>7</v>
      </c>
      <c r="G365" s="1">
        <f>INDEX(Scores!$B$2:$B$910, MATCH('Next Gen'!$A365, Scores!$F$2:$F$910, 0))</f>
        <v>256</v>
      </c>
      <c r="H365" s="1" t="str">
        <f>INDEX(Scores!$D$2:$D$910, MATCH('Next Gen'!$A365, Scores!$F$2:$F$910, 0))</f>
        <v>Original</v>
      </c>
      <c r="I365" s="4">
        <f>INDEX(Scores!$E$2:$E$910, MATCH('Next Gen'!$A365, Scores!$F$2:$F$910, 0))</f>
        <v>45940</v>
      </c>
    </row>
    <row r="366" spans="1:9">
      <c r="A366" s="1">
        <v>232</v>
      </c>
      <c r="B366" s="1" t="s">
        <v>4</v>
      </c>
      <c r="C366" s="1">
        <v>9</v>
      </c>
      <c r="D366" s="1">
        <v>9</v>
      </c>
      <c r="E366" s="1">
        <v>5</v>
      </c>
      <c r="F366" s="1">
        <f>SUMIF(Scores!$F$2:$F$910, 'Next Gen'!$A366, INDEX(Scores!$I$2:$Q$910, 0, MATCH($B366, Scores!$I$1:$Q$1, 0)))</f>
        <v>11</v>
      </c>
      <c r="G366" s="1">
        <f>INDEX(Scores!$B$2:$B$910, MATCH('Next Gen'!$A366, Scores!$F$2:$F$910, 0))</f>
        <v>256</v>
      </c>
      <c r="H366" s="1" t="str">
        <f>INDEX(Scores!$D$2:$D$910, MATCH('Next Gen'!$A366, Scores!$F$2:$F$910, 0))</f>
        <v>Original</v>
      </c>
      <c r="I366" s="4">
        <f>INDEX(Scores!$E$2:$E$910, MATCH('Next Gen'!$A366, Scores!$F$2:$F$910, 0))</f>
        <v>45943</v>
      </c>
    </row>
    <row r="367" spans="1:9">
      <c r="A367" s="1">
        <v>232</v>
      </c>
      <c r="B367" s="1" t="s">
        <v>5</v>
      </c>
      <c r="C367" s="1">
        <v>9</v>
      </c>
      <c r="D367" s="1">
        <v>8</v>
      </c>
      <c r="E367" s="1">
        <v>7</v>
      </c>
      <c r="F367" s="1">
        <f>SUMIF(Scores!$F$2:$F$910, 'Next Gen'!$A367, INDEX(Scores!$I$2:$Q$910, 0, MATCH($B367, Scores!$I$1:$Q$1, 0)))</f>
        <v>6</v>
      </c>
      <c r="G367" s="1">
        <f>INDEX(Scores!$B$2:$B$910, MATCH('Next Gen'!$A367, Scores!$F$2:$F$910, 0))</f>
        <v>256</v>
      </c>
      <c r="H367" s="1" t="str">
        <f>INDEX(Scores!$D$2:$D$910, MATCH('Next Gen'!$A367, Scores!$F$2:$F$910, 0))</f>
        <v>Original</v>
      </c>
      <c r="I367" s="4">
        <f>INDEX(Scores!$E$2:$E$910, MATCH('Next Gen'!$A367, Scores!$F$2:$F$910, 0))</f>
        <v>45943</v>
      </c>
    </row>
    <row r="368" spans="1:9">
      <c r="A368" s="1">
        <v>233</v>
      </c>
      <c r="B368" s="1" t="s">
        <v>4</v>
      </c>
      <c r="C368" s="1">
        <v>9</v>
      </c>
      <c r="D368" s="1">
        <v>9</v>
      </c>
      <c r="E368" s="1">
        <v>4</v>
      </c>
      <c r="F368" s="1">
        <f>SUMIF(Scores!$F$2:$F$910, 'Next Gen'!$A368, INDEX(Scores!$I$2:$Q$910, 0, MATCH($B368, Scores!$I$1:$Q$1, 0)))</f>
        <v>7</v>
      </c>
      <c r="G368" s="1">
        <f>INDEX(Scores!$B$2:$B$910, MATCH('Next Gen'!$A368, Scores!$F$2:$F$910, 0))</f>
        <v>256</v>
      </c>
      <c r="H368" s="1" t="str">
        <f>INDEX(Scores!$D$2:$D$910, MATCH('Next Gen'!$A368, Scores!$F$2:$F$910, 0))</f>
        <v>Original</v>
      </c>
      <c r="I368" s="4">
        <f>INDEX(Scores!$E$2:$E$910, MATCH('Next Gen'!$A368, Scores!$F$2:$F$910, 0))</f>
        <v>45952</v>
      </c>
    </row>
    <row r="369" spans="1:9">
      <c r="A369" s="1">
        <v>233</v>
      </c>
      <c r="B369" s="1" t="s">
        <v>5</v>
      </c>
      <c r="C369" s="1">
        <v>9</v>
      </c>
      <c r="D369" s="1">
        <v>7</v>
      </c>
      <c r="E369" s="1">
        <v>6</v>
      </c>
      <c r="F369" s="1">
        <f>SUMIF(Scores!$F$2:$F$910, 'Next Gen'!$A369, INDEX(Scores!$I$2:$Q$910, 0, MATCH($B369, Scores!$I$1:$Q$1, 0)))</f>
        <v>9</v>
      </c>
      <c r="G369" s="1">
        <f>INDEX(Scores!$B$2:$B$910, MATCH('Next Gen'!$A369, Scores!$F$2:$F$910, 0))</f>
        <v>256</v>
      </c>
      <c r="H369" s="1" t="str">
        <f>INDEX(Scores!$D$2:$D$910, MATCH('Next Gen'!$A369, Scores!$F$2:$F$910, 0))</f>
        <v>Original</v>
      </c>
      <c r="I369" s="4">
        <f>INDEX(Scores!$E$2:$E$910, MATCH('Next Gen'!$A369, Scores!$F$2:$F$910, 0))</f>
        <v>45952</v>
      </c>
    </row>
    <row r="370" spans="1:9">
      <c r="A370" s="1">
        <v>233</v>
      </c>
      <c r="B370" s="1" t="s">
        <v>6</v>
      </c>
      <c r="C370" s="1">
        <v>9</v>
      </c>
      <c r="D370" s="1">
        <v>7</v>
      </c>
      <c r="E370" s="1">
        <v>4</v>
      </c>
      <c r="F370" s="1">
        <f>SUMIF(Scores!$F$2:$F$910, 'Next Gen'!$A370, INDEX(Scores!$I$2:$Q$910, 0, MATCH($B370, Scores!$I$1:$Q$1, 0)))</f>
        <v>8</v>
      </c>
      <c r="G370" s="1">
        <f>INDEX(Scores!$B$2:$B$910, MATCH('Next Gen'!$A370, Scores!$F$2:$F$910, 0))</f>
        <v>256</v>
      </c>
      <c r="H370" s="1" t="str">
        <f>INDEX(Scores!$D$2:$D$910, MATCH('Next Gen'!$A370, Scores!$F$2:$F$910, 0))</f>
        <v>Original</v>
      </c>
      <c r="I370" s="4">
        <f>INDEX(Scores!$E$2:$E$910, MATCH('Next Gen'!$A370, Scores!$F$2:$F$910, 0))</f>
        <v>45952</v>
      </c>
    </row>
    <row r="371" spans="1:9">
      <c r="A371" s="1">
        <v>234</v>
      </c>
      <c r="B371" s="1" t="s">
        <v>4</v>
      </c>
      <c r="C371" s="1">
        <v>9</v>
      </c>
      <c r="D371" s="1">
        <v>9</v>
      </c>
      <c r="E371" s="1">
        <v>6</v>
      </c>
      <c r="F371" s="1">
        <f>SUMIF(Scores!$F$2:$F$910, 'Next Gen'!$A371, INDEX(Scores!$I$2:$Q$910, 0, MATCH($B371, Scores!$I$1:$Q$1, 0)))</f>
        <v>10</v>
      </c>
      <c r="G371" s="1">
        <f>INDEX(Scores!$B$2:$B$910, MATCH('Next Gen'!$A371, Scores!$F$2:$F$910, 0))</f>
        <v>256</v>
      </c>
      <c r="H371" s="1" t="str">
        <f>INDEX(Scores!$D$2:$D$910, MATCH('Next Gen'!$A371, Scores!$F$2:$F$910, 0))</f>
        <v>Original</v>
      </c>
      <c r="I371" s="4">
        <f>INDEX(Scores!$E$2:$E$910, MATCH('Next Gen'!$A371, Scores!$F$2:$F$910, 0))</f>
        <v>45953</v>
      </c>
    </row>
    <row r="372" spans="1:9">
      <c r="A372" s="1">
        <v>234</v>
      </c>
      <c r="B372" s="1" t="s">
        <v>5</v>
      </c>
      <c r="C372" s="1">
        <v>9</v>
      </c>
      <c r="D372" s="1">
        <v>8</v>
      </c>
      <c r="E372" s="1">
        <v>6</v>
      </c>
      <c r="F372" s="1">
        <f>SUMIF(Scores!$F$2:$F$910, 'Next Gen'!$A372, INDEX(Scores!$I$2:$Q$910, 0, MATCH($B372, Scores!$I$1:$Q$1, 0)))</f>
        <v>13</v>
      </c>
      <c r="G372" s="1">
        <f>INDEX(Scores!$B$2:$B$910, MATCH('Next Gen'!$A372, Scores!$F$2:$F$910, 0))</f>
        <v>256</v>
      </c>
      <c r="H372" s="1" t="str">
        <f>INDEX(Scores!$D$2:$D$910, MATCH('Next Gen'!$A372, Scores!$F$2:$F$910, 0))</f>
        <v>Original</v>
      </c>
      <c r="I372" s="4">
        <f>INDEX(Scores!$E$2:$E$910, MATCH('Next Gen'!$A372, Scores!$F$2:$F$910, 0))</f>
        <v>45953</v>
      </c>
    </row>
    <row r="373" spans="1:9">
      <c r="A373" s="1">
        <v>235</v>
      </c>
      <c r="B373" s="1" t="s">
        <v>4</v>
      </c>
      <c r="C373" s="1">
        <v>9</v>
      </c>
      <c r="D373" s="1">
        <v>9</v>
      </c>
      <c r="E373" s="1">
        <v>5</v>
      </c>
      <c r="F373" s="1">
        <f>SUMIF(Scores!$F$2:$F$910, 'Next Gen'!$A373, INDEX(Scores!$I$2:$Q$910, 0, MATCH($B373, Scores!$I$1:$Q$1, 0)))</f>
        <v>11</v>
      </c>
      <c r="G373" s="1">
        <f>INDEX(Scores!$B$2:$B$910, MATCH('Next Gen'!$A373, Scores!$F$2:$F$910, 0))</f>
        <v>256</v>
      </c>
      <c r="H373" s="1" t="str">
        <f>INDEX(Scores!$D$2:$D$910, MATCH('Next Gen'!$A373, Scores!$F$2:$F$910, 0))</f>
        <v>Original</v>
      </c>
      <c r="I373" s="4">
        <f>INDEX(Scores!$E$2:$E$910, MATCH('Next Gen'!$A373, Scores!$F$2:$F$910, 0))</f>
        <v>45954</v>
      </c>
    </row>
    <row r="374" spans="1:9">
      <c r="A374" s="1">
        <v>235</v>
      </c>
      <c r="B374" s="1" t="s">
        <v>5</v>
      </c>
      <c r="C374" s="1">
        <v>9</v>
      </c>
      <c r="D374" s="1">
        <v>9</v>
      </c>
      <c r="E374" s="1">
        <v>6</v>
      </c>
      <c r="F374" s="1">
        <f>SUMIF(Scores!$F$2:$F$910, 'Next Gen'!$A374, INDEX(Scores!$I$2:$Q$910, 0, MATCH($B374, Scores!$I$1:$Q$1, 0)))</f>
        <v>9</v>
      </c>
      <c r="G374" s="1">
        <f>INDEX(Scores!$B$2:$B$910, MATCH('Next Gen'!$A374, Scores!$F$2:$F$910, 0))</f>
        <v>256</v>
      </c>
      <c r="H374" s="1" t="str">
        <f>INDEX(Scores!$D$2:$D$910, MATCH('Next Gen'!$A374, Scores!$F$2:$F$910, 0))</f>
        <v>Original</v>
      </c>
      <c r="I374" s="4">
        <f>INDEX(Scores!$E$2:$E$910, MATCH('Next Gen'!$A374, Scores!$F$2:$F$910, 0))</f>
        <v>45954</v>
      </c>
    </row>
    <row r="375" spans="1:9">
      <c r="A375" s="1">
        <v>235</v>
      </c>
      <c r="B375" s="1" t="s">
        <v>6</v>
      </c>
      <c r="C375" s="1">
        <v>9</v>
      </c>
      <c r="D375" s="1">
        <v>4</v>
      </c>
      <c r="E375" s="1">
        <v>3</v>
      </c>
      <c r="F375" s="1">
        <f>SUMIF(Scores!$F$2:$F$910, 'Next Gen'!$A375, INDEX(Scores!$I$2:$Q$910, 0, MATCH($B375, Scores!$I$1:$Q$1, 0)))</f>
        <v>5</v>
      </c>
      <c r="G375" s="1">
        <f>INDEX(Scores!$B$2:$B$910, MATCH('Next Gen'!$A375, Scores!$F$2:$F$910, 0))</f>
        <v>256</v>
      </c>
      <c r="H375" s="1" t="str">
        <f>INDEX(Scores!$D$2:$D$910, MATCH('Next Gen'!$A375, Scores!$F$2:$F$910, 0))</f>
        <v>Original</v>
      </c>
      <c r="I375" s="4">
        <f>INDEX(Scores!$E$2:$E$910, MATCH('Next Gen'!$A375, Scores!$F$2:$F$910, 0))</f>
        <v>45954</v>
      </c>
    </row>
    <row r="376" spans="1:9">
      <c r="A376" s="1">
        <v>236</v>
      </c>
      <c r="B376" s="1" t="s">
        <v>5</v>
      </c>
      <c r="C376" s="1">
        <v>15</v>
      </c>
      <c r="D376" s="1">
        <v>12</v>
      </c>
      <c r="E376" s="1">
        <v>8</v>
      </c>
      <c r="F376" s="1">
        <f>SUMIF(Scores!$F$2:$F$910, 'Next Gen'!$A376, INDEX(Scores!$I$2:$Q$910, 0, MATCH($B376, Scores!$I$1:$Q$1, 0)))</f>
        <v>14</v>
      </c>
      <c r="G376" s="1">
        <f>INDEX(Scores!$B$2:$B$910, MATCH('Next Gen'!$A376, Scores!$F$2:$F$910, 0))</f>
        <v>256</v>
      </c>
      <c r="H376" s="1" t="str">
        <f>INDEX(Scores!$D$2:$D$910, MATCH('Next Gen'!$A376, Scores!$F$2:$F$910, 0))</f>
        <v>Original</v>
      </c>
      <c r="I376" s="4">
        <f>INDEX(Scores!$E$2:$E$910, MATCH('Next Gen'!$A376, Scores!$F$2:$F$910, 0))</f>
        <v>45958</v>
      </c>
    </row>
    <row r="377" spans="1:9">
      <c r="A377" s="1">
        <v>236</v>
      </c>
      <c r="B377" s="1" t="s">
        <v>4</v>
      </c>
      <c r="C377" s="1">
        <v>15</v>
      </c>
      <c r="D377" s="1">
        <v>14</v>
      </c>
      <c r="E377" s="1">
        <v>7</v>
      </c>
      <c r="F377" s="1">
        <f>SUMIF(Scores!$F$2:$F$910, 'Next Gen'!$A377, INDEX(Scores!$I$2:$Q$910, 0, MATCH($B377, Scores!$I$1:$Q$1, 0)))</f>
        <v>15</v>
      </c>
      <c r="G377" s="1">
        <f>INDEX(Scores!$B$2:$B$910, MATCH('Next Gen'!$A377, Scores!$F$2:$F$910, 0))</f>
        <v>256</v>
      </c>
      <c r="H377" s="1" t="str">
        <f>INDEX(Scores!$D$2:$D$910, MATCH('Next Gen'!$A377, Scores!$F$2:$F$910, 0))</f>
        <v>Original</v>
      </c>
      <c r="I377" s="4">
        <f>INDEX(Scores!$E$2:$E$910, MATCH('Next Gen'!$A377, Scores!$F$2:$F$910, 0))</f>
        <v>45958</v>
      </c>
    </row>
    <row r="378" spans="1:9">
      <c r="A378" s="1">
        <v>237</v>
      </c>
      <c r="B378" s="1" t="s">
        <v>5</v>
      </c>
      <c r="C378" s="1">
        <v>9</v>
      </c>
      <c r="D378" s="1">
        <v>9</v>
      </c>
      <c r="E378" s="1">
        <v>7</v>
      </c>
      <c r="F378" s="1">
        <f>SUMIF(Scores!$F$2:$F$910, 'Next Gen'!$A378, INDEX(Scores!$I$2:$Q$910, 0, MATCH($B378, Scores!$I$1:$Q$1, 0)))</f>
        <v>18</v>
      </c>
      <c r="G378" s="1">
        <f>INDEX(Scores!$B$2:$B$910, MATCH('Next Gen'!$A378, Scores!$F$2:$F$910, 0))</f>
        <v>256</v>
      </c>
      <c r="H378" s="1" t="str">
        <f>INDEX(Scores!$D$2:$D$910, MATCH('Next Gen'!$A378, Scores!$F$2:$F$910, 0))</f>
        <v>Original</v>
      </c>
      <c r="I378" s="4">
        <f>INDEX(Scores!$E$2:$E$910, MATCH('Next Gen'!$A378, Scores!$F$2:$F$910, 0))</f>
        <v>45959</v>
      </c>
    </row>
    <row r="379" spans="1:9">
      <c r="A379" s="1">
        <v>237</v>
      </c>
      <c r="B379" s="1" t="s">
        <v>4</v>
      </c>
      <c r="C379" s="1">
        <v>9</v>
      </c>
      <c r="D379" s="1">
        <v>9</v>
      </c>
      <c r="E379" s="1">
        <v>5</v>
      </c>
      <c r="F379" s="1">
        <f>SUMIF(Scores!$F$2:$F$910, 'Next Gen'!$A379, INDEX(Scores!$I$2:$Q$910, 0, MATCH($B379, Scores!$I$1:$Q$1, 0)))</f>
        <v>10</v>
      </c>
      <c r="G379" s="1">
        <f>INDEX(Scores!$B$2:$B$910, MATCH('Next Gen'!$A379, Scores!$F$2:$F$910, 0))</f>
        <v>256</v>
      </c>
      <c r="H379" s="1" t="str">
        <f>INDEX(Scores!$D$2:$D$910, MATCH('Next Gen'!$A379, Scores!$F$2:$F$910, 0))</f>
        <v>Original</v>
      </c>
      <c r="I379" s="4">
        <f>INDEX(Scores!$E$2:$E$910, MATCH('Next Gen'!$A379, Scores!$F$2:$F$910, 0))</f>
        <v>45959</v>
      </c>
    </row>
    <row r="380" spans="1:9">
      <c r="A380" s="1">
        <v>238</v>
      </c>
      <c r="B380" s="1" t="s">
        <v>5</v>
      </c>
      <c r="C380" s="1">
        <v>9</v>
      </c>
      <c r="D380" s="1">
        <v>7</v>
      </c>
      <c r="E380" s="1">
        <v>5</v>
      </c>
      <c r="F380" s="1">
        <f>SUMIF(Scores!$F$2:$F$910, 'Next Gen'!$A380, INDEX(Scores!$I$2:$Q$910, 0, MATCH($B380, Scores!$I$1:$Q$1, 0)))</f>
        <v>12</v>
      </c>
      <c r="G380" s="1">
        <f>INDEX(Scores!$B$2:$B$910, MATCH('Next Gen'!$A380, Scores!$F$2:$F$910, 0))</f>
        <v>256</v>
      </c>
      <c r="H380" s="1" t="str">
        <f>INDEX(Scores!$D$2:$D$910, MATCH('Next Gen'!$A380, Scores!$F$2:$F$910, 0))</f>
        <v>Original</v>
      </c>
      <c r="I380" s="4">
        <f>INDEX(Scores!$E$2:$E$910, MATCH('Next Gen'!$A380, Scores!$F$2:$F$910, 0))</f>
        <v>45961</v>
      </c>
    </row>
    <row r="381" spans="1:9">
      <c r="A381" s="1">
        <v>238</v>
      </c>
      <c r="B381" s="1" t="s">
        <v>4</v>
      </c>
      <c r="C381" s="1">
        <v>9</v>
      </c>
      <c r="D381" s="1">
        <v>9</v>
      </c>
      <c r="E381" s="1">
        <v>8</v>
      </c>
      <c r="F381" s="1">
        <f>SUMIF(Scores!$F$2:$F$910, 'Next Gen'!$A381, INDEX(Scores!$I$2:$Q$910, 0, MATCH($B381, Scores!$I$1:$Q$1, 0)))</f>
        <v>19</v>
      </c>
      <c r="G381" s="1">
        <f>INDEX(Scores!$B$2:$B$910, MATCH('Next Gen'!$A381, Scores!$F$2:$F$910, 0))</f>
        <v>256</v>
      </c>
      <c r="H381" s="1" t="str">
        <f>INDEX(Scores!$D$2:$D$910, MATCH('Next Gen'!$A381, Scores!$F$2:$F$910, 0))</f>
        <v>Original</v>
      </c>
      <c r="I381" s="4">
        <f>INDEX(Scores!$E$2:$E$910, MATCH('Next Gen'!$A381, Scores!$F$2:$F$910, 0))</f>
        <v>45961</v>
      </c>
    </row>
    <row r="382" spans="1:9">
      <c r="A382" s="1">
        <v>239</v>
      </c>
      <c r="B382" s="1" t="s">
        <v>5</v>
      </c>
      <c r="C382" s="1">
        <v>9</v>
      </c>
      <c r="D382" s="1">
        <v>9</v>
      </c>
      <c r="E382" s="1">
        <v>6</v>
      </c>
      <c r="F382" s="1">
        <f>SUMIF(Scores!$F$2:$F$910, 'Next Gen'!$A382, INDEX(Scores!$I$2:$Q$910, 0, MATCH($B382, Scores!$I$1:$Q$1, 0)))</f>
        <v>8</v>
      </c>
      <c r="G382" s="1">
        <f>INDEX(Scores!$B$2:$B$910, MATCH('Next Gen'!$A382, Scores!$F$2:$F$910, 0))</f>
        <v>256</v>
      </c>
      <c r="H382" s="1" t="str">
        <f>INDEX(Scores!$D$2:$D$910, MATCH('Next Gen'!$A382, Scores!$F$2:$F$910, 0))</f>
        <v>Original</v>
      </c>
      <c r="I382" s="4">
        <f>INDEX(Scores!$E$2:$E$910, MATCH('Next Gen'!$A382, Scores!$F$2:$F$910, 0))</f>
        <v>45972</v>
      </c>
    </row>
    <row r="383" spans="1:9">
      <c r="A383" s="1">
        <v>239</v>
      </c>
      <c r="B383" s="1" t="s">
        <v>4</v>
      </c>
      <c r="C383" s="1">
        <v>9</v>
      </c>
      <c r="D383" s="1">
        <v>9</v>
      </c>
      <c r="E383" s="1">
        <v>4</v>
      </c>
      <c r="F383" s="1">
        <f>SUMIF(Scores!$F$2:$F$910, 'Next Gen'!$A383, INDEX(Scores!$I$2:$Q$910, 0, MATCH($B383, Scores!$I$1:$Q$1, 0)))</f>
        <v>9</v>
      </c>
      <c r="G383" s="1">
        <f>INDEX(Scores!$B$2:$B$910, MATCH('Next Gen'!$A383, Scores!$F$2:$F$910, 0))</f>
        <v>256</v>
      </c>
      <c r="H383" s="1" t="str">
        <f>INDEX(Scores!$D$2:$D$910, MATCH('Next Gen'!$A383, Scores!$F$2:$F$910, 0))</f>
        <v>Original</v>
      </c>
      <c r="I383" s="4">
        <f>INDEX(Scores!$E$2:$E$910, MATCH('Next Gen'!$A383, Scores!$F$2:$F$910, 0))</f>
        <v>45972</v>
      </c>
    </row>
    <row r="384" spans="1:9">
      <c r="A384" s="1">
        <v>239</v>
      </c>
      <c r="B384" s="1" t="s">
        <v>6</v>
      </c>
      <c r="C384" s="1">
        <v>9</v>
      </c>
      <c r="D384" s="1">
        <v>9</v>
      </c>
      <c r="E384" s="1">
        <v>5</v>
      </c>
      <c r="F384" s="1">
        <f>SUMIF(Scores!$F$2:$F$910, 'Next Gen'!$A384, INDEX(Scores!$I$2:$Q$910, 0, MATCH($B384, Scores!$I$1:$Q$1, 0)))</f>
        <v>13</v>
      </c>
      <c r="G384" s="1">
        <f>INDEX(Scores!$B$2:$B$910, MATCH('Next Gen'!$A384, Scores!$F$2:$F$910, 0))</f>
        <v>256</v>
      </c>
      <c r="H384" s="1" t="str">
        <f>INDEX(Scores!$D$2:$D$910, MATCH('Next Gen'!$A384, Scores!$F$2:$F$910, 0))</f>
        <v>Original</v>
      </c>
      <c r="I384" s="4">
        <f>INDEX(Scores!$E$2:$E$910, MATCH('Next Gen'!$A384, Scores!$F$2:$F$910, 0))</f>
        <v>45972</v>
      </c>
    </row>
    <row r="385" spans="1:9">
      <c r="A385" s="1">
        <v>240</v>
      </c>
      <c r="B385" s="1" t="s">
        <v>5</v>
      </c>
      <c r="C385" s="1">
        <v>9</v>
      </c>
      <c r="D385" s="1">
        <v>8</v>
      </c>
      <c r="E385" s="1">
        <v>3</v>
      </c>
      <c r="F385" s="1">
        <f>SUMIF(Scores!$F$2:$F$910, 'Next Gen'!$A385, INDEX(Scores!$I$2:$Q$910, 0, MATCH($B385, Scores!$I$1:$Q$1, 0)))</f>
        <v>7</v>
      </c>
      <c r="G385" s="1">
        <f>INDEX(Scores!$B$2:$B$910, MATCH('Next Gen'!$A385, Scores!$F$2:$F$910, 0))</f>
        <v>256</v>
      </c>
      <c r="H385" s="1" t="str">
        <f>INDEX(Scores!$D$2:$D$910, MATCH('Next Gen'!$A385, Scores!$F$2:$F$910, 0))</f>
        <v>Original</v>
      </c>
      <c r="I385" s="4">
        <f>INDEX(Scores!$E$2:$E$910, MATCH('Next Gen'!$A385, Scores!$F$2:$F$910, 0))</f>
        <v>45973</v>
      </c>
    </row>
    <row r="386" spans="1:9">
      <c r="A386" s="1">
        <v>240</v>
      </c>
      <c r="B386" s="1" t="s">
        <v>4</v>
      </c>
      <c r="C386" s="1">
        <v>9</v>
      </c>
      <c r="D386" s="1">
        <v>9</v>
      </c>
      <c r="E386" s="1">
        <v>6</v>
      </c>
      <c r="F386" s="1">
        <f>SUMIF(Scores!$F$2:$F$910, 'Next Gen'!$A386, INDEX(Scores!$I$2:$Q$910, 0, MATCH($B386, Scores!$I$1:$Q$1, 0)))</f>
        <v>14</v>
      </c>
      <c r="G386" s="1">
        <f>INDEX(Scores!$B$2:$B$910, MATCH('Next Gen'!$A386, Scores!$F$2:$F$910, 0))</f>
        <v>256</v>
      </c>
      <c r="H386" s="1" t="str">
        <f>INDEX(Scores!$D$2:$D$910, MATCH('Next Gen'!$A386, Scores!$F$2:$F$910, 0))</f>
        <v>Original</v>
      </c>
      <c r="I386" s="4">
        <f>INDEX(Scores!$E$2:$E$910, MATCH('Next Gen'!$A386, Scores!$F$2:$F$910, 0))</f>
        <v>45973</v>
      </c>
    </row>
    <row r="387" spans="1:9">
      <c r="A387" s="1">
        <v>240</v>
      </c>
      <c r="B387" s="1" t="s">
        <v>6</v>
      </c>
      <c r="C387" s="1">
        <v>9</v>
      </c>
      <c r="D387" s="1">
        <v>6</v>
      </c>
      <c r="E387" s="1">
        <v>3</v>
      </c>
      <c r="F387" s="1">
        <f>SUMIF(Scores!$F$2:$F$910, 'Next Gen'!$A387, INDEX(Scores!$I$2:$Q$910, 0, MATCH($B387, Scores!$I$1:$Q$1, 0)))</f>
        <v>6</v>
      </c>
      <c r="G387" s="1">
        <f>INDEX(Scores!$B$2:$B$910, MATCH('Next Gen'!$A387, Scores!$F$2:$F$910, 0))</f>
        <v>256</v>
      </c>
      <c r="H387" s="1" t="str">
        <f>INDEX(Scores!$D$2:$D$910, MATCH('Next Gen'!$A387, Scores!$F$2:$F$910, 0))</f>
        <v>Original</v>
      </c>
      <c r="I387" s="4">
        <f>INDEX(Scores!$E$2:$E$910, MATCH('Next Gen'!$A387, Scores!$F$2:$F$910, 0))</f>
        <v>45973</v>
      </c>
    </row>
    <row r="388" spans="1:9">
      <c r="A388" s="1">
        <v>241</v>
      </c>
      <c r="B388" s="1" t="s">
        <v>5</v>
      </c>
      <c r="C388" s="1">
        <v>9</v>
      </c>
      <c r="D388" s="1">
        <v>6</v>
      </c>
      <c r="E388" s="1">
        <v>4</v>
      </c>
      <c r="F388" s="1">
        <f>SUMIF(Scores!$F$2:$F$910, 'Next Gen'!$A388, INDEX(Scores!$I$2:$Q$910, 0, MATCH($B388, Scores!$I$1:$Q$1, 0)))</f>
        <v>6</v>
      </c>
      <c r="G388" s="1">
        <f>INDEX(Scores!$B$2:$B$910, MATCH('Next Gen'!$A388, Scores!$F$2:$F$910, 0))</f>
        <v>256</v>
      </c>
      <c r="H388" s="1" t="str">
        <f>INDEX(Scores!$D$2:$D$910, MATCH('Next Gen'!$A388, Scores!$F$2:$F$910, 0))</f>
        <v>Original</v>
      </c>
      <c r="I388" s="4">
        <f>INDEX(Scores!$E$2:$E$910, MATCH('Next Gen'!$A388, Scores!$F$2:$F$910, 0))</f>
        <v>45979</v>
      </c>
    </row>
    <row r="389" spans="1:9">
      <c r="A389" s="1">
        <v>241</v>
      </c>
      <c r="B389" s="1" t="s">
        <v>4</v>
      </c>
      <c r="C389" s="1">
        <v>9</v>
      </c>
      <c r="D389" s="1">
        <v>9</v>
      </c>
      <c r="E389" s="1">
        <v>7</v>
      </c>
      <c r="F389" s="1">
        <f>SUMIF(Scores!$F$2:$F$910, 'Next Gen'!$A389, INDEX(Scores!$I$2:$Q$910, 0, MATCH($B389, Scores!$I$1:$Q$1, 0)))</f>
        <v>19</v>
      </c>
      <c r="G389" s="1">
        <f>INDEX(Scores!$B$2:$B$910, MATCH('Next Gen'!$A389, Scores!$F$2:$F$910, 0))</f>
        <v>256</v>
      </c>
      <c r="H389" s="1" t="str">
        <f>INDEX(Scores!$D$2:$D$910, MATCH('Next Gen'!$A389, Scores!$F$2:$F$910, 0))</f>
        <v>Original</v>
      </c>
      <c r="I389" s="4">
        <f>INDEX(Scores!$E$2:$E$910, MATCH('Next Gen'!$A389, Scores!$F$2:$F$910, 0))</f>
        <v>45979</v>
      </c>
    </row>
    <row r="390" spans="1:9">
      <c r="A390" s="1">
        <v>241</v>
      </c>
      <c r="B390" s="1" t="s">
        <v>23</v>
      </c>
      <c r="C390" s="1">
        <v>9</v>
      </c>
      <c r="D390" s="1">
        <v>2</v>
      </c>
      <c r="E390" s="1">
        <v>2</v>
      </c>
      <c r="F390" s="1">
        <f>SUMIF(Scores!$F$2:$F$910, 'Next Gen'!$A390, INDEX(Scores!$I$2:$Q$910, 0, MATCH($B390, Scores!$I$1:$Q$1, 0)))</f>
        <v>4</v>
      </c>
      <c r="G390" s="1">
        <f>INDEX(Scores!$B$2:$B$910, MATCH('Next Gen'!$A390, Scores!$F$2:$F$910, 0))</f>
        <v>256</v>
      </c>
      <c r="H390" s="1" t="str">
        <f>INDEX(Scores!$D$2:$D$910, MATCH('Next Gen'!$A390, Scores!$F$2:$F$910, 0))</f>
        <v>Original</v>
      </c>
      <c r="I390" s="4">
        <f>INDEX(Scores!$E$2:$E$910, MATCH('Next Gen'!$A390, Scores!$F$2:$F$910, 0))</f>
        <v>45979</v>
      </c>
    </row>
    <row r="391" spans="1:9">
      <c r="A391" s="1">
        <v>241</v>
      </c>
      <c r="B391" s="1" t="s">
        <v>119</v>
      </c>
      <c r="C391" s="1">
        <v>9</v>
      </c>
      <c r="D391" s="1">
        <v>2</v>
      </c>
      <c r="E391" s="1">
        <v>2</v>
      </c>
      <c r="F391" s="1">
        <f>SUMIF(Scores!$F$2:$F$910, 'Next Gen'!$A391, INDEX(Scores!$I$2:$Q$910, 0, MATCH($B391, Scores!$I$1:$Q$1, 0)))</f>
        <v>5</v>
      </c>
      <c r="G391" s="1">
        <f>INDEX(Scores!$B$2:$B$910, MATCH('Next Gen'!$A391, Scores!$F$2:$F$910, 0))</f>
        <v>256</v>
      </c>
      <c r="H391" s="1" t="str">
        <f>INDEX(Scores!$D$2:$D$910, MATCH('Next Gen'!$A391, Scores!$F$2:$F$910, 0))</f>
        <v>Original</v>
      </c>
      <c r="I391" s="4">
        <f>INDEX(Scores!$E$2:$E$910, MATCH('Next Gen'!$A391, Scores!$F$2:$F$910, 0))</f>
        <v>45979</v>
      </c>
    </row>
    <row r="392" spans="1:9">
      <c r="A392" s="1">
        <v>242</v>
      </c>
      <c r="B392" s="1" t="s">
        <v>5</v>
      </c>
      <c r="C392" s="1">
        <v>9</v>
      </c>
      <c r="D392" s="1">
        <v>8</v>
      </c>
      <c r="E392" s="1">
        <v>4</v>
      </c>
      <c r="F392" s="1">
        <f>SUMIF(Scores!$F$2:$F$910, 'Next Gen'!$A392, INDEX(Scores!$I$2:$Q$910, 0, MATCH($B392, Scores!$I$1:$Q$1, 0)))</f>
        <v>10</v>
      </c>
      <c r="G392" s="1">
        <f>INDEX(Scores!$B$2:$B$910, MATCH('Next Gen'!$A392, Scores!$F$2:$F$910, 0))</f>
        <v>256</v>
      </c>
      <c r="H392" s="1" t="str">
        <f>INDEX(Scores!$D$2:$D$910, MATCH('Next Gen'!$A392, Scores!$F$2:$F$910, 0))</f>
        <v>Original</v>
      </c>
      <c r="I392" s="4">
        <f>INDEX(Scores!$E$2:$E$910, MATCH('Next Gen'!$A392, Scores!$F$2:$F$910, 0))</f>
        <v>45981</v>
      </c>
    </row>
    <row r="393" spans="1:9">
      <c r="A393" s="1">
        <v>242</v>
      </c>
      <c r="B393" s="1" t="s">
        <v>4</v>
      </c>
      <c r="C393" s="1">
        <v>9</v>
      </c>
      <c r="D393" s="1">
        <v>9</v>
      </c>
      <c r="E393" s="1">
        <v>7</v>
      </c>
      <c r="F393" s="1">
        <f>SUMIF(Scores!$F$2:$F$910, 'Next Gen'!$A393, INDEX(Scores!$I$2:$Q$910, 0, MATCH($B393, Scores!$I$1:$Q$1, 0)))</f>
        <v>14</v>
      </c>
      <c r="G393" s="1">
        <f>INDEX(Scores!$B$2:$B$910, MATCH('Next Gen'!$A393, Scores!$F$2:$F$910, 0))</f>
        <v>256</v>
      </c>
      <c r="H393" s="1" t="str">
        <f>INDEX(Scores!$D$2:$D$910, MATCH('Next Gen'!$A393, Scores!$F$2:$F$910, 0))</f>
        <v>Original</v>
      </c>
      <c r="I393" s="4">
        <f>INDEX(Scores!$E$2:$E$910, MATCH('Next Gen'!$A393, Scores!$F$2:$F$910, 0))</f>
        <v>45981</v>
      </c>
    </row>
    <row r="394" spans="1:9">
      <c r="A394" s="1">
        <v>243</v>
      </c>
      <c r="B394" s="1" t="s">
        <v>5</v>
      </c>
      <c r="C394" s="1">
        <v>9</v>
      </c>
      <c r="D394" s="1">
        <v>5</v>
      </c>
      <c r="E394" s="1">
        <v>5</v>
      </c>
      <c r="F394" s="1">
        <f>SUMIF(Scores!$F$2:$F$910, 'Next Gen'!$A394, INDEX(Scores!$I$2:$Q$910, 0, MATCH($B394, Scores!$I$1:$Q$1, 0)))</f>
        <v>13</v>
      </c>
      <c r="G394" s="1">
        <f>INDEX(Scores!$B$2:$B$910, MATCH('Next Gen'!$A394, Scores!$F$2:$F$910, 0))</f>
        <v>256</v>
      </c>
      <c r="H394" s="1" t="str">
        <f>INDEX(Scores!$D$2:$D$910, MATCH('Next Gen'!$A394, Scores!$F$2:$F$910, 0))</f>
        <v>Original</v>
      </c>
      <c r="I394" s="4">
        <f>INDEX(Scores!$E$2:$E$910, MATCH('Next Gen'!$A394, Scores!$F$2:$F$910, 0))</f>
        <v>45982</v>
      </c>
    </row>
    <row r="395" spans="1:9">
      <c r="A395" s="1">
        <v>243</v>
      </c>
      <c r="B395" s="1" t="s">
        <v>4</v>
      </c>
      <c r="C395" s="1">
        <v>9</v>
      </c>
      <c r="D395" s="1">
        <v>8</v>
      </c>
      <c r="E395" s="1">
        <v>4</v>
      </c>
      <c r="F395" s="1">
        <f>SUMIF(Scores!$F$2:$F$910, 'Next Gen'!$A395, INDEX(Scores!$I$2:$Q$910, 0, MATCH($B395, Scores!$I$1:$Q$1, 0)))</f>
        <v>9</v>
      </c>
      <c r="G395" s="1">
        <f>INDEX(Scores!$B$2:$B$910, MATCH('Next Gen'!$A395, Scores!$F$2:$F$910, 0))</f>
        <v>256</v>
      </c>
      <c r="H395" s="1" t="str">
        <f>INDEX(Scores!$D$2:$D$910, MATCH('Next Gen'!$A395, Scores!$F$2:$F$910, 0))</f>
        <v>Original</v>
      </c>
      <c r="I395" s="4">
        <f>INDEX(Scores!$E$2:$E$910, MATCH('Next Gen'!$A395, Scores!$F$2:$F$910, 0))</f>
        <v>45982</v>
      </c>
    </row>
    <row r="396" spans="1:9">
      <c r="A396" s="1">
        <v>244</v>
      </c>
      <c r="B396" s="1" t="s">
        <v>5</v>
      </c>
      <c r="C396" s="1">
        <v>15</v>
      </c>
      <c r="D396" s="1">
        <v>13</v>
      </c>
      <c r="E396" s="1">
        <v>11</v>
      </c>
      <c r="F396" s="1">
        <f>SUMIF(Scores!$F$2:$F$910, 'Next Gen'!$A396, INDEX(Scores!$I$2:$Q$910, 0, MATCH($B396, Scores!$I$1:$Q$1, 0)))</f>
        <v>18</v>
      </c>
      <c r="G396" s="1">
        <f>INDEX(Scores!$B$2:$B$910, MATCH('Next Gen'!$A396, Scores!$F$2:$F$910, 0))</f>
        <v>256</v>
      </c>
      <c r="H396" s="1" t="str">
        <f>INDEX(Scores!$D$2:$D$910, MATCH('Next Gen'!$A396, Scores!$F$2:$F$910, 0))</f>
        <v>Original</v>
      </c>
      <c r="I396" s="4">
        <f>INDEX(Scores!$E$2:$E$910, MATCH('Next Gen'!$A396, Scores!$F$2:$F$910, 0))</f>
        <v>45992</v>
      </c>
    </row>
    <row r="397" spans="1:9">
      <c r="A397" s="1">
        <v>244</v>
      </c>
      <c r="B397" s="1" t="s">
        <v>4</v>
      </c>
      <c r="C397" s="1">
        <v>15</v>
      </c>
      <c r="D397" s="1">
        <v>15</v>
      </c>
      <c r="E397" s="1">
        <v>7</v>
      </c>
      <c r="F397" s="1">
        <f>SUMIF(Scores!$F$2:$F$910, 'Next Gen'!$A397, INDEX(Scores!$I$2:$Q$910, 0, MATCH($B397, Scores!$I$1:$Q$1, 0)))</f>
        <v>15</v>
      </c>
      <c r="G397" s="1">
        <f>INDEX(Scores!$B$2:$B$910, MATCH('Next Gen'!$A397, Scores!$F$2:$F$910, 0))</f>
        <v>256</v>
      </c>
      <c r="H397" s="1" t="str">
        <f>INDEX(Scores!$D$2:$D$910, MATCH('Next Gen'!$A397, Scores!$F$2:$F$910, 0))</f>
        <v>Original</v>
      </c>
      <c r="I397" s="4">
        <f>INDEX(Scores!$E$2:$E$910, MATCH('Next Gen'!$A397, Scores!$F$2:$F$910, 0))</f>
        <v>45992</v>
      </c>
    </row>
    <row r="398" spans="1:9">
      <c r="A398" s="1">
        <v>245</v>
      </c>
      <c r="B398" s="1" t="s">
        <v>5</v>
      </c>
      <c r="C398" s="1">
        <v>9</v>
      </c>
      <c r="D398" s="1">
        <v>7</v>
      </c>
      <c r="E398" s="1">
        <v>5</v>
      </c>
      <c r="F398" s="1">
        <f>SUMIF(Scores!$F$2:$F$910, 'Next Gen'!$A398, INDEX(Scores!$I$2:$Q$910, 0, MATCH($B398, Scores!$I$1:$Q$1, 0)))</f>
        <v>12</v>
      </c>
      <c r="G398" s="1">
        <f>INDEX(Scores!$B$2:$B$910, MATCH('Next Gen'!$A398, Scores!$F$2:$F$910, 0))</f>
        <v>256</v>
      </c>
      <c r="H398" s="1" t="str">
        <f>INDEX(Scores!$D$2:$D$910, MATCH('Next Gen'!$A398, Scores!$F$2:$F$910, 0))</f>
        <v>Original</v>
      </c>
      <c r="I398" s="4">
        <f>INDEX(Scores!$E$2:$E$910, MATCH('Next Gen'!$A398, Scores!$F$2:$F$910, 0))</f>
        <v>45993</v>
      </c>
    </row>
    <row r="399" spans="1:9">
      <c r="A399" s="1">
        <v>245</v>
      </c>
      <c r="B399" s="1" t="s">
        <v>4</v>
      </c>
      <c r="C399" s="1">
        <v>9</v>
      </c>
      <c r="D399" s="1">
        <v>9</v>
      </c>
      <c r="E399" s="1">
        <v>8</v>
      </c>
      <c r="F399" s="1">
        <f>SUMIF(Scores!$F$2:$F$910, 'Next Gen'!$A399, INDEX(Scores!$I$2:$Q$910, 0, MATCH($B399, Scores!$I$1:$Q$1, 0)))</f>
        <v>14</v>
      </c>
      <c r="G399" s="1">
        <f>INDEX(Scores!$B$2:$B$910, MATCH('Next Gen'!$A399, Scores!$F$2:$F$910, 0))</f>
        <v>256</v>
      </c>
      <c r="H399" s="1" t="str">
        <f>INDEX(Scores!$D$2:$D$910, MATCH('Next Gen'!$A399, Scores!$F$2:$F$910, 0))</f>
        <v>Original</v>
      </c>
      <c r="I399" s="4">
        <f>INDEX(Scores!$E$2:$E$910, MATCH('Next Gen'!$A399, Scores!$F$2:$F$910, 0))</f>
        <v>45993</v>
      </c>
    </row>
    <row r="400" spans="1:9">
      <c r="A400" s="1">
        <v>246</v>
      </c>
      <c r="B400" s="1" t="s">
        <v>5</v>
      </c>
      <c r="C400" s="1">
        <v>9</v>
      </c>
      <c r="D400" s="1">
        <v>8</v>
      </c>
      <c r="E400" s="1">
        <v>5</v>
      </c>
      <c r="F400" s="1">
        <f>SUMIF(Scores!$F$2:$F$910, 'Next Gen'!$A400, INDEX(Scores!$I$2:$Q$910, 0, MATCH($B400, Scores!$I$1:$Q$1, 0)))</f>
        <v>11</v>
      </c>
      <c r="G400" s="1">
        <f>INDEX(Scores!$B$2:$B$910, MATCH('Next Gen'!$A400, Scores!$F$2:$F$910, 0))</f>
        <v>256</v>
      </c>
      <c r="H400" s="1" t="str">
        <f>INDEX(Scores!$D$2:$D$910, MATCH('Next Gen'!$A400, Scores!$F$2:$F$910, 0))</f>
        <v>Original</v>
      </c>
      <c r="I400" s="4">
        <f>INDEX(Scores!$E$2:$E$910, MATCH('Next Gen'!$A400, Scores!$F$2:$F$910, 0))</f>
        <v>45994</v>
      </c>
    </row>
    <row r="401" spans="1:9">
      <c r="A401" s="1">
        <v>246</v>
      </c>
      <c r="B401" s="1" t="s">
        <v>4</v>
      </c>
      <c r="C401" s="1">
        <v>9</v>
      </c>
      <c r="D401" s="1">
        <v>9</v>
      </c>
      <c r="E401" s="1">
        <v>6</v>
      </c>
      <c r="F401" s="1">
        <f>SUMIF(Scores!$F$2:$F$910, 'Next Gen'!$A401, INDEX(Scores!$I$2:$Q$910, 0, MATCH($B401, Scores!$I$1:$Q$1, 0)))</f>
        <v>13</v>
      </c>
      <c r="G401" s="1">
        <f>INDEX(Scores!$B$2:$B$910, MATCH('Next Gen'!$A401, Scores!$F$2:$F$910, 0))</f>
        <v>256</v>
      </c>
      <c r="H401" s="1" t="str">
        <f>INDEX(Scores!$D$2:$D$910, MATCH('Next Gen'!$A401, Scores!$F$2:$F$910, 0))</f>
        <v>Original</v>
      </c>
      <c r="I401" s="4">
        <f>INDEX(Scores!$E$2:$E$910, MATCH('Next Gen'!$A401, Scores!$F$2:$F$910, 0))</f>
        <v>45994</v>
      </c>
    </row>
    <row r="402" spans="1:9">
      <c r="A402" s="1">
        <v>247</v>
      </c>
      <c r="B402" s="1" t="s">
        <v>5</v>
      </c>
      <c r="C402" s="1">
        <v>9</v>
      </c>
      <c r="D402" s="1">
        <v>7</v>
      </c>
      <c r="E402" s="1">
        <v>4</v>
      </c>
      <c r="F402" s="1">
        <f>SUMIF(Scores!$F$2:$F$910, 'Next Gen'!$A402, INDEX(Scores!$I$2:$Q$910, 0, MATCH($B402, Scores!$I$1:$Q$1, 0)))</f>
        <v>6</v>
      </c>
      <c r="G402" s="1">
        <f>INDEX(Scores!$B$2:$B$910, MATCH('Next Gen'!$A402, Scores!$F$2:$F$910, 0))</f>
        <v>256</v>
      </c>
      <c r="H402" s="1" t="str">
        <f>INDEX(Scores!$D$2:$D$910, MATCH('Next Gen'!$A402, Scores!$F$2:$F$910, 0))</f>
        <v>Original</v>
      </c>
      <c r="I402" s="4">
        <f>INDEX(Scores!$E$2:$E$910, MATCH('Next Gen'!$A402, Scores!$F$2:$F$910, 0))</f>
        <v>45995</v>
      </c>
    </row>
    <row r="403" spans="1:9">
      <c r="A403" s="1">
        <v>247</v>
      </c>
      <c r="B403" s="1" t="s">
        <v>4</v>
      </c>
      <c r="C403" s="1">
        <v>9</v>
      </c>
      <c r="D403" s="1">
        <v>9</v>
      </c>
      <c r="E403" s="1">
        <v>4</v>
      </c>
      <c r="F403" s="1">
        <f>SUMIF(Scores!$F$2:$F$910, 'Next Gen'!$A403, INDEX(Scores!$I$2:$Q$910, 0, MATCH($B403, Scores!$I$1:$Q$1, 0)))</f>
        <v>7</v>
      </c>
      <c r="G403" s="1">
        <f>INDEX(Scores!$B$2:$B$910, MATCH('Next Gen'!$A403, Scores!$F$2:$F$910, 0))</f>
        <v>256</v>
      </c>
      <c r="H403" s="1" t="str">
        <f>INDEX(Scores!$D$2:$D$910, MATCH('Next Gen'!$A403, Scores!$F$2:$F$910, 0))</f>
        <v>Original</v>
      </c>
      <c r="I403" s="4">
        <f>INDEX(Scores!$E$2:$E$910, MATCH('Next Gen'!$A403, Scores!$F$2:$F$910, 0))</f>
        <v>45995</v>
      </c>
    </row>
    <row r="404" spans="1:9">
      <c r="A404" s="1">
        <v>248</v>
      </c>
      <c r="B404" s="1" t="s">
        <v>5</v>
      </c>
      <c r="C404" s="1">
        <v>9</v>
      </c>
      <c r="D404" s="1">
        <v>7</v>
      </c>
      <c r="E404" s="1">
        <v>4</v>
      </c>
      <c r="F404" s="1">
        <f>SUMIF(Scores!$F$2:$F$910, 'Next Gen'!$A404, INDEX(Scores!$I$2:$Q$910, 0, MATCH($B404, Scores!$I$1:$Q$1, 0)))</f>
        <v>6</v>
      </c>
      <c r="G404" s="1">
        <f>INDEX(Scores!$B$2:$B$910, MATCH('Next Gen'!$A404, Scores!$F$2:$F$910, 0))</f>
        <v>256</v>
      </c>
      <c r="H404" s="1" t="str">
        <f>INDEX(Scores!$D$2:$D$910, MATCH('Next Gen'!$A404, Scores!$F$2:$F$910, 0))</f>
        <v>Original</v>
      </c>
      <c r="I404" s="4">
        <f>INDEX(Scores!$E$2:$E$910, MATCH('Next Gen'!$A404, Scores!$F$2:$F$910, 0))</f>
        <v>45996</v>
      </c>
    </row>
    <row r="405" spans="1:9">
      <c r="A405" s="1">
        <v>248</v>
      </c>
      <c r="B405" s="1" t="s">
        <v>4</v>
      </c>
      <c r="C405" s="1">
        <v>9</v>
      </c>
      <c r="D405" s="1">
        <v>9</v>
      </c>
      <c r="E405" s="1">
        <v>6</v>
      </c>
      <c r="F405" s="1">
        <f>SUMIF(Scores!$F$2:$F$910, 'Next Gen'!$A405, INDEX(Scores!$I$2:$Q$910, 0, MATCH($B405, Scores!$I$1:$Q$1, 0)))</f>
        <v>15</v>
      </c>
      <c r="G405" s="1">
        <f>INDEX(Scores!$B$2:$B$910, MATCH('Next Gen'!$A405, Scores!$F$2:$F$910, 0))</f>
        <v>256</v>
      </c>
      <c r="H405" s="1" t="str">
        <f>INDEX(Scores!$D$2:$D$910, MATCH('Next Gen'!$A405, Scores!$F$2:$F$910, 0))</f>
        <v>Original</v>
      </c>
      <c r="I405" s="4">
        <f>INDEX(Scores!$E$2:$E$910, MATCH('Next Gen'!$A405, Scores!$F$2:$F$910, 0))</f>
        <v>45996</v>
      </c>
    </row>
    <row r="406" spans="1:9">
      <c r="A406" s="1">
        <v>249</v>
      </c>
      <c r="B406" s="1" t="s">
        <v>5</v>
      </c>
      <c r="C406" s="1">
        <v>9</v>
      </c>
      <c r="D406" s="1">
        <v>9</v>
      </c>
      <c r="E406" s="1">
        <v>6</v>
      </c>
      <c r="F406" s="1">
        <f>SUMIF(Scores!$F$2:$F$910, 'Next Gen'!$A406, INDEX(Scores!$I$2:$Q$910, 0, MATCH($B406, Scores!$I$1:$Q$1, 0)))</f>
        <v>15</v>
      </c>
      <c r="G406" s="1">
        <f>INDEX(Scores!$B$2:$B$910, MATCH('Next Gen'!$A406, Scores!$F$2:$F$910, 0))</f>
        <v>256</v>
      </c>
      <c r="H406" s="1" t="str">
        <f>INDEX(Scores!$D$2:$D$910, MATCH('Next Gen'!$A406, Scores!$F$2:$F$910, 0))</f>
        <v>Original</v>
      </c>
      <c r="I406" s="4">
        <f>INDEX(Scores!$E$2:$E$910, MATCH('Next Gen'!$A406, Scores!$F$2:$F$910, 0))</f>
        <v>45999</v>
      </c>
    </row>
    <row r="407" spans="1:9">
      <c r="A407" s="1">
        <v>249</v>
      </c>
      <c r="B407" s="1" t="s">
        <v>4</v>
      </c>
      <c r="C407" s="1">
        <v>9</v>
      </c>
      <c r="D407" s="1">
        <v>9</v>
      </c>
      <c r="E407" s="1">
        <v>6</v>
      </c>
      <c r="F407" s="1">
        <f>SUMIF(Scores!$F$2:$F$910, 'Next Gen'!$A407, INDEX(Scores!$I$2:$Q$910, 0, MATCH($B407, Scores!$I$1:$Q$1, 0)))</f>
        <v>12</v>
      </c>
      <c r="G407" s="1">
        <f>INDEX(Scores!$B$2:$B$910, MATCH('Next Gen'!$A407, Scores!$F$2:$F$910, 0))</f>
        <v>256</v>
      </c>
      <c r="H407" s="1" t="str">
        <f>INDEX(Scores!$D$2:$D$910, MATCH('Next Gen'!$A407, Scores!$F$2:$F$910, 0))</f>
        <v>Original</v>
      </c>
      <c r="I407" s="4">
        <f>INDEX(Scores!$E$2:$E$910, MATCH('Next Gen'!$A407, Scores!$F$2:$F$910, 0))</f>
        <v>45999</v>
      </c>
    </row>
    <row r="408" spans="1:9">
      <c r="A408" s="1">
        <v>249</v>
      </c>
      <c r="B408" s="1" t="s">
        <v>6</v>
      </c>
      <c r="C408" s="1">
        <v>9</v>
      </c>
      <c r="D408" s="1">
        <v>5</v>
      </c>
      <c r="E408" s="1">
        <v>2</v>
      </c>
      <c r="F408" s="1">
        <f>SUMIF(Scores!$F$2:$F$910, 'Next Gen'!$A408, INDEX(Scores!$I$2:$Q$910, 0, MATCH($B408, Scores!$I$1:$Q$1, 0)))</f>
        <v>2</v>
      </c>
      <c r="G408" s="1">
        <f>INDEX(Scores!$B$2:$B$910, MATCH('Next Gen'!$A408, Scores!$F$2:$F$910, 0))</f>
        <v>256</v>
      </c>
      <c r="H408" s="1" t="str">
        <f>INDEX(Scores!$D$2:$D$910, MATCH('Next Gen'!$A408, Scores!$F$2:$F$910, 0))</f>
        <v>Original</v>
      </c>
      <c r="I408" s="4">
        <f>INDEX(Scores!$E$2:$E$910, MATCH('Next Gen'!$A408, Scores!$F$2:$F$910, 0))</f>
        <v>45999</v>
      </c>
    </row>
    <row r="409" spans="1:9">
      <c r="A409" s="1">
        <v>250</v>
      </c>
      <c r="B409" s="1" t="s">
        <v>5</v>
      </c>
      <c r="C409" s="1">
        <v>12</v>
      </c>
      <c r="D409" s="1">
        <v>10</v>
      </c>
      <c r="E409" s="1">
        <v>7</v>
      </c>
      <c r="F409" s="1">
        <f>SUMIF(Scores!$F$2:$F$910, 'Next Gen'!$A409, INDEX(Scores!$I$2:$Q$910, 0, MATCH($B409, Scores!$I$1:$Q$1, 0)))</f>
        <v>16</v>
      </c>
      <c r="G409" s="1">
        <f>INDEX(Scores!$B$2:$B$910, MATCH('Next Gen'!$A409, Scores!$F$2:$F$910, 0))</f>
        <v>256</v>
      </c>
      <c r="H409" s="1" t="str">
        <f>INDEX(Scores!$D$2:$D$910, MATCH('Next Gen'!$A409, Scores!$F$2:$F$910, 0))</f>
        <v>Original</v>
      </c>
      <c r="I409" s="4">
        <f>INDEX(Scores!$E$2:$E$910, MATCH('Next Gen'!$A409, Scores!$F$2:$F$910, 0))</f>
        <v>45999</v>
      </c>
    </row>
    <row r="410" spans="1:9">
      <c r="A410" s="1">
        <v>250</v>
      </c>
      <c r="B410" s="1" t="s">
        <v>4</v>
      </c>
      <c r="C410" s="1">
        <v>12</v>
      </c>
      <c r="D410" s="1">
        <v>12</v>
      </c>
      <c r="E410" s="1">
        <v>5</v>
      </c>
      <c r="F410" s="1">
        <f>SUMIF(Scores!$F$2:$F$910, 'Next Gen'!$A410, INDEX(Scores!$I$2:$Q$910, 0, MATCH($B410, Scores!$I$1:$Q$1, 0)))</f>
        <v>13</v>
      </c>
      <c r="G410" s="1">
        <f>INDEX(Scores!$B$2:$B$910, MATCH('Next Gen'!$A410, Scores!$F$2:$F$910, 0))</f>
        <v>256</v>
      </c>
      <c r="H410" s="1" t="str">
        <f>INDEX(Scores!$D$2:$D$910, MATCH('Next Gen'!$A410, Scores!$F$2:$F$910, 0))</f>
        <v>Original</v>
      </c>
      <c r="I410" s="4">
        <f>INDEX(Scores!$E$2:$E$910, MATCH('Next Gen'!$A410, Scores!$F$2:$F$910, 0))</f>
        <v>45999</v>
      </c>
    </row>
    <row r="411" spans="1:9">
      <c r="A411" s="1">
        <v>250</v>
      </c>
      <c r="B411" s="1" t="s">
        <v>6</v>
      </c>
      <c r="C411" s="1">
        <v>9</v>
      </c>
      <c r="D411" s="1">
        <v>7</v>
      </c>
      <c r="E411" s="1">
        <v>6</v>
      </c>
      <c r="F411" s="1">
        <f>SUMIF(Scores!$F$2:$F$910, 'Next Gen'!$A411, INDEX(Scores!$I$2:$Q$910, 0, MATCH($B411, Scores!$I$1:$Q$1, 0)))</f>
        <v>7</v>
      </c>
      <c r="G411" s="1">
        <f>INDEX(Scores!$B$2:$B$910, MATCH('Next Gen'!$A411, Scores!$F$2:$F$910, 0))</f>
        <v>256</v>
      </c>
      <c r="H411" s="1" t="str">
        <f>INDEX(Scores!$D$2:$D$910, MATCH('Next Gen'!$A411, Scores!$F$2:$F$910, 0))</f>
        <v>Original</v>
      </c>
      <c r="I411" s="4">
        <f>INDEX(Scores!$E$2:$E$910, MATCH('Next Gen'!$A411, Scores!$F$2:$F$910, 0))</f>
        <v>45999</v>
      </c>
    </row>
    <row r="412" spans="1:9">
      <c r="A412" s="1">
        <v>251</v>
      </c>
      <c r="B412" s="1" t="s">
        <v>5</v>
      </c>
      <c r="C412" s="1">
        <v>9</v>
      </c>
      <c r="D412" s="1">
        <v>9</v>
      </c>
      <c r="E412" s="1">
        <v>5</v>
      </c>
      <c r="F412" s="1">
        <f>SUMIF(Scores!$F$2:$F$910, 'Next Gen'!$A412, INDEX(Scores!$I$2:$Q$910, 0, MATCH($B412, Scores!$I$1:$Q$1, 0)))</f>
        <v>11</v>
      </c>
      <c r="G412" s="1">
        <f>INDEX(Scores!$B$2:$B$910, MATCH('Next Gen'!$A412, Scores!$F$2:$F$910, 0))</f>
        <v>256</v>
      </c>
      <c r="H412" s="1" t="str">
        <f>INDEX(Scores!$D$2:$D$910, MATCH('Next Gen'!$A412, Scores!$F$2:$F$910, 0))</f>
        <v>Original</v>
      </c>
      <c r="I412" s="4">
        <f>INDEX(Scores!$E$2:$E$910, MATCH('Next Gen'!$A412, Scores!$F$2:$F$910, 0))</f>
        <v>46000</v>
      </c>
    </row>
    <row r="413" spans="1:9">
      <c r="A413" s="1">
        <v>251</v>
      </c>
      <c r="B413" s="1" t="s">
        <v>4</v>
      </c>
      <c r="C413" s="1">
        <v>9</v>
      </c>
      <c r="D413" s="1">
        <v>6</v>
      </c>
      <c r="E413" s="1">
        <v>6</v>
      </c>
      <c r="F413" s="1">
        <f>SUMIF(Scores!$F$2:$F$910, 'Next Gen'!$A413, INDEX(Scores!$I$2:$Q$910, 0, MATCH($B413, Scores!$I$1:$Q$1, 0)))</f>
        <v>13</v>
      </c>
      <c r="G413" s="1">
        <f>INDEX(Scores!$B$2:$B$910, MATCH('Next Gen'!$A413, Scores!$F$2:$F$910, 0))</f>
        <v>256</v>
      </c>
      <c r="H413" s="1" t="str">
        <f>INDEX(Scores!$D$2:$D$910, MATCH('Next Gen'!$A413, Scores!$F$2:$F$910, 0))</f>
        <v>Original</v>
      </c>
      <c r="I413" s="4">
        <f>INDEX(Scores!$E$2:$E$910, MATCH('Next Gen'!$A413, Scores!$F$2:$F$910, 0))</f>
        <v>46000</v>
      </c>
    </row>
    <row r="414" spans="1:9">
      <c r="A414" s="1">
        <v>253</v>
      </c>
      <c r="B414" s="1" t="s">
        <v>4</v>
      </c>
      <c r="C414" s="1">
        <v>9</v>
      </c>
      <c r="D414" s="1">
        <v>9</v>
      </c>
      <c r="E414" s="1">
        <v>7</v>
      </c>
      <c r="F414" s="1">
        <f>SUMIF(Scores!$F$2:$F$910, 'Next Gen'!$A414, INDEX(Scores!$I$2:$Q$910, 0, MATCH($B414, Scores!$I$1:$Q$1, 0)))</f>
        <v>19</v>
      </c>
      <c r="G414" s="1">
        <f>INDEX(Scores!$B$2:$B$910, MATCH('Next Gen'!$A414, Scores!$F$2:$F$910, 0))</f>
        <v>256</v>
      </c>
      <c r="H414" s="1" t="str">
        <f>INDEX(Scores!$D$2:$D$910, MATCH('Next Gen'!$A414, Scores!$F$2:$F$910, 0))</f>
        <v>Original</v>
      </c>
      <c r="I414" s="4">
        <f>INDEX(Scores!$E$2:$E$910, MATCH('Next Gen'!$A414, Scores!$F$2:$F$910, 0))</f>
        <v>46034</v>
      </c>
    </row>
    <row r="415" spans="1:9">
      <c r="A415" s="1">
        <v>253</v>
      </c>
      <c r="B415" s="1" t="s">
        <v>5</v>
      </c>
      <c r="C415" s="1">
        <v>9</v>
      </c>
      <c r="D415" s="1">
        <v>7</v>
      </c>
      <c r="E415" s="1">
        <v>6</v>
      </c>
      <c r="F415" s="1">
        <f>SUMIF(Scores!$F$2:$F$910, 'Next Gen'!$A415, INDEX(Scores!$I$2:$Q$910, 0, MATCH($B415, Scores!$I$1:$Q$1, 0)))</f>
        <v>12</v>
      </c>
      <c r="G415" s="1">
        <f>INDEX(Scores!$B$2:$B$910, MATCH('Next Gen'!$A415, Scores!$F$2:$F$910, 0))</f>
        <v>256</v>
      </c>
      <c r="H415" s="1" t="str">
        <f>INDEX(Scores!$D$2:$D$910, MATCH('Next Gen'!$A415, Scores!$F$2:$F$910, 0))</f>
        <v>Original</v>
      </c>
      <c r="I415" s="4">
        <f>INDEX(Scores!$E$2:$E$910, MATCH('Next Gen'!$A415, Scores!$F$2:$F$910, 0))</f>
        <v>46034</v>
      </c>
    </row>
    <row r="416" spans="1:9">
      <c r="A416" s="1">
        <v>254</v>
      </c>
      <c r="B416" s="1" t="s">
        <v>4</v>
      </c>
      <c r="C416" s="1">
        <v>9</v>
      </c>
      <c r="D416" s="1">
        <v>9</v>
      </c>
      <c r="E416" s="1">
        <v>3</v>
      </c>
      <c r="F416" s="1">
        <f>SUMIF(Scores!$F$2:$F$910, 'Next Gen'!$A416, INDEX(Scores!$I$2:$Q$910, 0, MATCH($B416, Scores!$I$1:$Q$1, 0)))</f>
        <v>7</v>
      </c>
      <c r="G416" s="1">
        <f>INDEX(Scores!$B$2:$B$910, MATCH('Next Gen'!$A416, Scores!$F$2:$F$910, 0))</f>
        <v>256</v>
      </c>
      <c r="H416" s="1" t="str">
        <f>INDEX(Scores!$D$2:$D$910, MATCH('Next Gen'!$A416, Scores!$F$2:$F$910, 0))</f>
        <v>Original</v>
      </c>
      <c r="I416" s="4">
        <f>INDEX(Scores!$E$2:$E$910, MATCH('Next Gen'!$A416, Scores!$F$2:$F$910, 0))</f>
        <v>46035</v>
      </c>
    </row>
    <row r="417" spans="1:9">
      <c r="A417" s="1">
        <v>254</v>
      </c>
      <c r="B417" s="1" t="s">
        <v>5</v>
      </c>
      <c r="C417" s="1">
        <v>9</v>
      </c>
      <c r="D417" s="1">
        <v>8</v>
      </c>
      <c r="E417" s="1">
        <v>4</v>
      </c>
      <c r="F417" s="1">
        <f>SUMIF(Scores!$F$2:$F$910, 'Next Gen'!$A417, INDEX(Scores!$I$2:$Q$910, 0, MATCH($B417, Scores!$I$1:$Q$1, 0)))</f>
        <v>8</v>
      </c>
      <c r="G417" s="1">
        <f>INDEX(Scores!$B$2:$B$910, MATCH('Next Gen'!$A417, Scores!$F$2:$F$910, 0))</f>
        <v>256</v>
      </c>
      <c r="H417" s="1" t="str">
        <f>INDEX(Scores!$D$2:$D$910, MATCH('Next Gen'!$A417, Scores!$F$2:$F$910, 0))</f>
        <v>Original</v>
      </c>
      <c r="I417" s="4">
        <f>INDEX(Scores!$E$2:$E$910, MATCH('Next Gen'!$A417, Scores!$F$2:$F$910, 0))</f>
        <v>46035</v>
      </c>
    </row>
    <row r="418" spans="1:9">
      <c r="A418" s="1">
        <v>255</v>
      </c>
      <c r="B418" s="1" t="s">
        <v>5</v>
      </c>
      <c r="C418" s="1">
        <v>9</v>
      </c>
      <c r="D418" s="1">
        <v>6</v>
      </c>
      <c r="E418" s="1">
        <v>5</v>
      </c>
      <c r="F418" s="1">
        <f>SUMIF(Scores!$F$2:$F$910, 'Next Gen'!$A418, INDEX(Scores!$I$2:$Q$910, 0, MATCH($B418, Scores!$I$1:$Q$1, 0)))</f>
        <v>9</v>
      </c>
      <c r="G418" s="1">
        <f>INDEX(Scores!$B$2:$B$910, MATCH('Next Gen'!$A418, Scores!$F$2:$F$910, 0))</f>
        <v>256</v>
      </c>
      <c r="H418" s="1" t="str">
        <f>INDEX(Scores!$D$2:$D$910, MATCH('Next Gen'!$A418, Scores!$F$2:$F$910, 0))</f>
        <v>Original</v>
      </c>
      <c r="I418" s="4">
        <f>INDEX(Scores!$E$2:$E$910, MATCH('Next Gen'!$A418, Scores!$F$2:$F$910, 0))</f>
        <v>46036</v>
      </c>
    </row>
    <row r="419" spans="1:9">
      <c r="A419" s="1">
        <v>255</v>
      </c>
      <c r="B419" s="1" t="s">
        <v>4</v>
      </c>
      <c r="C419" s="1">
        <v>9</v>
      </c>
      <c r="D419" s="1">
        <v>9</v>
      </c>
      <c r="E419" s="1">
        <v>6</v>
      </c>
      <c r="F419" s="1">
        <f>SUMIF(Scores!$F$2:$F$910, 'Next Gen'!$A419, INDEX(Scores!$I$2:$Q$910, 0, MATCH($B419, Scores!$I$1:$Q$1, 0)))</f>
        <v>18</v>
      </c>
      <c r="G419" s="1">
        <f>INDEX(Scores!$B$2:$B$910, MATCH('Next Gen'!$A419, Scores!$F$2:$F$910, 0))</f>
        <v>256</v>
      </c>
      <c r="H419" s="1" t="str">
        <f>INDEX(Scores!$D$2:$D$910, MATCH('Next Gen'!$A419, Scores!$F$2:$F$910, 0))</f>
        <v>Original</v>
      </c>
      <c r="I419" s="4">
        <f>INDEX(Scores!$E$2:$E$910, MATCH('Next Gen'!$A419, Scores!$F$2:$F$910, 0))</f>
        <v>46036</v>
      </c>
    </row>
    <row r="420" spans="1:9">
      <c r="A420" s="1">
        <v>256</v>
      </c>
      <c r="B420" s="1" t="s">
        <v>5</v>
      </c>
      <c r="C420" s="1">
        <v>12</v>
      </c>
      <c r="D420" s="1">
        <v>12</v>
      </c>
      <c r="E420" s="1">
        <v>10</v>
      </c>
      <c r="F420" s="1">
        <f>SUMIF(Scores!$F$2:$F$910, 'Next Gen'!$A420, INDEX(Scores!$I$2:$Q$910, 0, MATCH($B420, Scores!$I$1:$Q$1, 0)))</f>
        <v>19</v>
      </c>
      <c r="G420" s="1">
        <f>INDEX(Scores!$B$2:$B$910, MATCH('Next Gen'!$A420, Scores!$F$2:$F$910, 0))</f>
        <v>256</v>
      </c>
      <c r="H420" s="1" t="str">
        <f>INDEX(Scores!$D$2:$D$910, MATCH('Next Gen'!$A420, Scores!$F$2:$F$910, 0))</f>
        <v>Original</v>
      </c>
      <c r="I420" s="4">
        <f>INDEX(Scores!$E$2:$E$910, MATCH('Next Gen'!$A420, Scores!$F$2:$F$910, 0))</f>
        <v>46044</v>
      </c>
    </row>
    <row r="421" spans="1:9">
      <c r="A421" s="1">
        <v>256</v>
      </c>
      <c r="B421" s="1" t="s">
        <v>4</v>
      </c>
      <c r="C421" s="1">
        <v>12</v>
      </c>
      <c r="D421" s="1">
        <v>12</v>
      </c>
      <c r="E421" s="1">
        <v>5</v>
      </c>
      <c r="F421" s="1">
        <f>SUMIF(Scores!$F$2:$F$910, 'Next Gen'!$A421, INDEX(Scores!$I$2:$Q$910, 0, MATCH($B421, Scores!$I$1:$Q$1, 0)))</f>
        <v>12</v>
      </c>
      <c r="G421" s="1">
        <f>INDEX(Scores!$B$2:$B$910, MATCH('Next Gen'!$A421, Scores!$F$2:$F$910, 0))</f>
        <v>256</v>
      </c>
      <c r="H421" s="1" t="str">
        <f>INDEX(Scores!$D$2:$D$910, MATCH('Next Gen'!$A421, Scores!$F$2:$F$910, 0))</f>
        <v>Original</v>
      </c>
      <c r="I421" s="4">
        <f>INDEX(Scores!$E$2:$E$910, MATCH('Next Gen'!$A421, Scores!$F$2:$F$910, 0))</f>
        <v>46044</v>
      </c>
    </row>
    <row r="422" spans="1:9">
      <c r="A422" s="1">
        <v>257</v>
      </c>
      <c r="B422" s="1" t="s">
        <v>5</v>
      </c>
      <c r="C422" s="1">
        <v>9</v>
      </c>
      <c r="D422" s="1">
        <v>9</v>
      </c>
      <c r="E422" s="1">
        <v>6</v>
      </c>
      <c r="F422" s="1">
        <f>SUMIF(Scores!$F$2:$F$910, 'Next Gen'!$A422, INDEX(Scores!$I$2:$Q$910, 0, MATCH($B422, Scores!$I$1:$Q$1, 0)))</f>
        <v>8</v>
      </c>
      <c r="G422" s="1">
        <f>INDEX(Scores!$B$2:$B$910, MATCH('Next Gen'!$A422, Scores!$F$2:$F$910, 0))</f>
        <v>256</v>
      </c>
      <c r="H422" s="1" t="str">
        <f>INDEX(Scores!$D$2:$D$910, MATCH('Next Gen'!$A422, Scores!$F$2:$F$910, 0))</f>
        <v>Original</v>
      </c>
      <c r="I422" s="4">
        <f>INDEX(Scores!$E$2:$E$910, MATCH('Next Gen'!$A422, Scores!$F$2:$F$910, 0))</f>
        <v>46051</v>
      </c>
    </row>
    <row r="423" spans="1:9">
      <c r="A423" s="1">
        <v>257</v>
      </c>
      <c r="B423" s="1" t="s">
        <v>4</v>
      </c>
      <c r="C423" s="1">
        <v>9</v>
      </c>
      <c r="D423" s="1">
        <v>9</v>
      </c>
      <c r="E423" s="1">
        <v>6</v>
      </c>
      <c r="F423" s="1">
        <f>SUMIF(Scores!$F$2:$F$910, 'Next Gen'!$A423, INDEX(Scores!$I$2:$Q$910, 0, MATCH($B423, Scores!$I$1:$Q$1, 0)))</f>
        <v>11</v>
      </c>
      <c r="G423" s="1">
        <f>INDEX(Scores!$B$2:$B$910, MATCH('Next Gen'!$A423, Scores!$F$2:$F$910, 0))</f>
        <v>256</v>
      </c>
      <c r="H423" s="1" t="str">
        <f>INDEX(Scores!$D$2:$D$910, MATCH('Next Gen'!$A423, Scores!$F$2:$F$910, 0))</f>
        <v>Original</v>
      </c>
      <c r="I423" s="4">
        <f>INDEX(Scores!$E$2:$E$910, MATCH('Next Gen'!$A423, Scores!$F$2:$F$910, 0))</f>
        <v>46051</v>
      </c>
    </row>
    <row r="424" spans="1:9">
      <c r="A424" s="1">
        <v>258</v>
      </c>
      <c r="B424" s="1" t="s">
        <v>5</v>
      </c>
      <c r="C424" s="1">
        <v>9</v>
      </c>
      <c r="D424" s="1">
        <v>6</v>
      </c>
      <c r="E424" s="1">
        <v>4</v>
      </c>
      <c r="F424" s="1">
        <f>SUMIF(Scores!$F$2:$F$910, 'Next Gen'!$A424, INDEX(Scores!$I$2:$Q$910, 0, MATCH($B424, Scores!$I$1:$Q$1, 0)))</f>
        <v>6</v>
      </c>
      <c r="G424" s="1">
        <f>INDEX(Scores!$B$2:$B$910, MATCH('Next Gen'!$A424, Scores!$F$2:$F$910, 0))</f>
        <v>256</v>
      </c>
      <c r="H424" s="1" t="str">
        <f>INDEX(Scores!$D$2:$D$910, MATCH('Next Gen'!$A424, Scores!$F$2:$F$910, 0))</f>
        <v>Original</v>
      </c>
      <c r="I424" s="4">
        <f>INDEX(Scores!$E$2:$E$910, MATCH('Next Gen'!$A424, Scores!$F$2:$F$910, 0))</f>
        <v>46055</v>
      </c>
    </row>
    <row r="425" spans="1:9">
      <c r="A425" s="1">
        <v>258</v>
      </c>
      <c r="B425" s="1" t="s">
        <v>4</v>
      </c>
      <c r="C425" s="1">
        <v>9</v>
      </c>
      <c r="D425" s="1">
        <v>9</v>
      </c>
      <c r="E425" s="1">
        <v>4</v>
      </c>
      <c r="F425" s="1">
        <f>SUMIF(Scores!$F$2:$F$910, 'Next Gen'!$A425, INDEX(Scores!$I$2:$Q$910, 0, MATCH($B425, Scores!$I$1:$Q$1, 0)))</f>
        <v>11</v>
      </c>
      <c r="G425" s="1">
        <f>INDEX(Scores!$B$2:$B$910, MATCH('Next Gen'!$A425, Scores!$F$2:$F$910, 0))</f>
        <v>256</v>
      </c>
      <c r="H425" s="1" t="str">
        <f>INDEX(Scores!$D$2:$D$910, MATCH('Next Gen'!$A425, Scores!$F$2:$F$910, 0))</f>
        <v>Original</v>
      </c>
      <c r="I425" s="4">
        <f>INDEX(Scores!$E$2:$E$910, MATCH('Next Gen'!$A425, Scores!$F$2:$F$910, 0))</f>
        <v>46055</v>
      </c>
    </row>
    <row r="426" spans="1:9">
      <c r="A426" s="1">
        <v>259</v>
      </c>
      <c r="B426" s="1" t="s">
        <v>5</v>
      </c>
      <c r="C426" s="1">
        <v>9</v>
      </c>
      <c r="D426" s="1">
        <v>7</v>
      </c>
      <c r="E426" s="1">
        <v>5</v>
      </c>
      <c r="F426" s="1">
        <f>SUMIF(Scores!$F$2:$F$910, 'Next Gen'!$A426, INDEX(Scores!$I$2:$Q$910, 0, MATCH($B426, Scores!$I$1:$Q$1, 0)))</f>
        <v>11</v>
      </c>
      <c r="G426" s="1">
        <f>INDEX(Scores!$B$2:$B$910, MATCH('Next Gen'!$A426, Scores!$F$2:$F$910, 0))</f>
        <v>256</v>
      </c>
      <c r="H426" s="1" t="str">
        <f>INDEX(Scores!$D$2:$D$910, MATCH('Next Gen'!$A426, Scores!$F$2:$F$910, 0))</f>
        <v>Original</v>
      </c>
      <c r="I426" s="4">
        <f>INDEX(Scores!$E$2:$E$910, MATCH('Next Gen'!$A426, Scores!$F$2:$F$910, 0))</f>
        <v>46056</v>
      </c>
    </row>
    <row r="427" spans="1:9">
      <c r="A427" s="1">
        <v>259</v>
      </c>
      <c r="B427" s="1" t="s">
        <v>4</v>
      </c>
      <c r="C427" s="1">
        <v>9</v>
      </c>
      <c r="D427" s="1">
        <v>8</v>
      </c>
      <c r="E427" s="1">
        <v>6</v>
      </c>
      <c r="F427" s="1">
        <f>SUMIF(Scores!$F$2:$F$910, 'Next Gen'!$A427, INDEX(Scores!$I$2:$Q$910, 0, MATCH($B427, Scores!$I$1:$Q$1, 0)))</f>
        <v>13</v>
      </c>
      <c r="G427" s="1">
        <f>INDEX(Scores!$B$2:$B$910, MATCH('Next Gen'!$A427, Scores!$F$2:$F$910, 0))</f>
        <v>256</v>
      </c>
      <c r="H427" s="1" t="str">
        <f>INDEX(Scores!$D$2:$D$910, MATCH('Next Gen'!$A427, Scores!$F$2:$F$910, 0))</f>
        <v>Original</v>
      </c>
      <c r="I427" s="4">
        <f>INDEX(Scores!$E$2:$E$910, MATCH('Next Gen'!$A427, Scores!$F$2:$F$910, 0))</f>
        <v>46056</v>
      </c>
    </row>
    <row r="428" spans="1:9">
      <c r="A428" s="1">
        <v>260</v>
      </c>
      <c r="B428" s="1" t="s">
        <v>5</v>
      </c>
      <c r="C428" s="1">
        <v>12</v>
      </c>
      <c r="D428" s="1">
        <v>10</v>
      </c>
      <c r="E428" s="1">
        <v>8</v>
      </c>
      <c r="F428" s="1">
        <f>SUMIF(Scores!$F$2:$F$910, 'Next Gen'!$A428, INDEX(Scores!$I$2:$Q$910, 0, MATCH($B428, Scores!$I$1:$Q$1, 0)))</f>
        <v>15</v>
      </c>
      <c r="G428" s="1">
        <f>INDEX(Scores!$B$2:$B$910, MATCH('Next Gen'!$A428, Scores!$F$2:$F$910, 0))</f>
        <v>256</v>
      </c>
      <c r="H428" s="1" t="str">
        <f>INDEX(Scores!$D$2:$D$910, MATCH('Next Gen'!$A428, Scores!$F$2:$F$910, 0))</f>
        <v>Original</v>
      </c>
      <c r="I428" s="4">
        <f>INDEX(Scores!$E$2:$E$910, MATCH('Next Gen'!$A428, Scores!$F$2:$F$910, 0))</f>
        <v>46058</v>
      </c>
    </row>
    <row r="429" spans="1:9">
      <c r="A429" s="1">
        <v>260</v>
      </c>
      <c r="B429" s="1" t="s">
        <v>4</v>
      </c>
      <c r="C429" s="1">
        <v>12</v>
      </c>
      <c r="D429" s="1">
        <v>12</v>
      </c>
      <c r="E429" s="1">
        <v>8</v>
      </c>
      <c r="F429" s="1">
        <f>SUMIF(Scores!$F$2:$F$910, 'Next Gen'!$A429, INDEX(Scores!$I$2:$Q$910, 0, MATCH($B429, Scores!$I$1:$Q$1, 0)))</f>
        <v>20</v>
      </c>
      <c r="G429" s="1">
        <f>INDEX(Scores!$B$2:$B$910, MATCH('Next Gen'!$A429, Scores!$F$2:$F$910, 0))</f>
        <v>256</v>
      </c>
      <c r="H429" s="1" t="str">
        <f>INDEX(Scores!$D$2:$D$910, MATCH('Next Gen'!$A429, Scores!$F$2:$F$910, 0))</f>
        <v>Original</v>
      </c>
      <c r="I429" s="4">
        <f>INDEX(Scores!$E$2:$E$910, MATCH('Next Gen'!$A429, Scores!$F$2:$F$910, 0))</f>
        <v>46058</v>
      </c>
    </row>
    <row r="430" spans="1:9">
      <c r="A430" s="1">
        <v>261</v>
      </c>
      <c r="B430" s="1" t="s">
        <v>5</v>
      </c>
      <c r="C430" s="1">
        <v>9</v>
      </c>
      <c r="D430" s="1">
        <v>8</v>
      </c>
      <c r="E430" s="1">
        <v>3</v>
      </c>
      <c r="F430" s="1">
        <f>SUMIF(Scores!$F$2:$F$910, 'Next Gen'!$A430, INDEX(Scores!$I$2:$Q$910, 0, MATCH($B430, Scores!$I$1:$Q$1, 0)))</f>
        <v>5</v>
      </c>
      <c r="G430" s="1">
        <f>INDEX(Scores!$B$2:$B$910, MATCH('Next Gen'!$A430, Scores!$F$2:$F$910, 0))</f>
        <v>256</v>
      </c>
      <c r="H430" s="1" t="str">
        <f>INDEX(Scores!$D$2:$D$910, MATCH('Next Gen'!$A430, Scores!$F$2:$F$910, 0))</f>
        <v>Original</v>
      </c>
      <c r="I430" s="4">
        <f>INDEX(Scores!$E$2:$E$910, MATCH('Next Gen'!$A430, Scores!$F$2:$F$910, 0))</f>
        <v>46059</v>
      </c>
    </row>
    <row r="431" spans="1:9">
      <c r="A431" s="1">
        <v>261</v>
      </c>
      <c r="B431" s="1" t="s">
        <v>4</v>
      </c>
      <c r="C431" s="1">
        <v>9</v>
      </c>
      <c r="D431" s="1">
        <v>9</v>
      </c>
      <c r="E431" s="1">
        <v>6</v>
      </c>
      <c r="F431" s="1">
        <f>SUMIF(Scores!$F$2:$F$910, 'Next Gen'!$A431, INDEX(Scores!$I$2:$Q$910, 0, MATCH($B431, Scores!$I$1:$Q$1, 0)))</f>
        <v>18</v>
      </c>
      <c r="G431" s="1">
        <f>INDEX(Scores!$B$2:$B$910, MATCH('Next Gen'!$A431, Scores!$F$2:$F$910, 0))</f>
        <v>256</v>
      </c>
      <c r="H431" s="1" t="str">
        <f>INDEX(Scores!$D$2:$D$910, MATCH('Next Gen'!$A431, Scores!$F$2:$F$910, 0))</f>
        <v>Original</v>
      </c>
      <c r="I431" s="4">
        <f>INDEX(Scores!$E$2:$E$910, MATCH('Next Gen'!$A431, Scores!$F$2:$F$910, 0))</f>
        <v>46059</v>
      </c>
    </row>
    <row r="432" spans="1:9">
      <c r="A432" s="1">
        <v>262</v>
      </c>
      <c r="B432" s="1" t="s">
        <v>5</v>
      </c>
      <c r="C432" s="1">
        <v>9</v>
      </c>
      <c r="D432" s="1">
        <v>9</v>
      </c>
      <c r="E432" s="1">
        <v>6</v>
      </c>
      <c r="F432" s="1">
        <f>SUMIF(Scores!$F$2:$F$910, 'Next Gen'!$A432, INDEX(Scores!$I$2:$Q$910, 0, MATCH($B432, Scores!$I$1:$Q$1, 0)))</f>
        <v>6</v>
      </c>
      <c r="G432" s="1">
        <f>INDEX(Scores!$B$2:$B$910, MATCH('Next Gen'!$A432, Scores!$F$2:$F$910, 0))</f>
        <v>256</v>
      </c>
      <c r="H432" s="1" t="str">
        <f>INDEX(Scores!$D$2:$D$910, MATCH('Next Gen'!$A432, Scores!$F$2:$F$910, 0))</f>
        <v>Original</v>
      </c>
      <c r="I432" s="4">
        <f>INDEX(Scores!$E$2:$E$910, MATCH('Next Gen'!$A432, Scores!$F$2:$F$910, 0))</f>
        <v>46063</v>
      </c>
    </row>
    <row r="433" spans="1:9">
      <c r="A433" s="1">
        <v>262</v>
      </c>
      <c r="B433" s="1" t="s">
        <v>4</v>
      </c>
      <c r="C433" s="1">
        <v>9</v>
      </c>
      <c r="D433" s="1">
        <v>9</v>
      </c>
      <c r="E433" s="1">
        <v>8</v>
      </c>
      <c r="F433" s="1">
        <f>SUMIF(Scores!$F$2:$F$910, 'Next Gen'!$A433, INDEX(Scores!$I$2:$Q$910, 0, MATCH($B433, Scores!$I$1:$Q$1, 0)))</f>
        <v>21</v>
      </c>
      <c r="G433" s="1">
        <f>INDEX(Scores!$B$2:$B$910, MATCH('Next Gen'!$A433, Scores!$F$2:$F$910, 0))</f>
        <v>256</v>
      </c>
      <c r="H433" s="1" t="str">
        <f>INDEX(Scores!$D$2:$D$910, MATCH('Next Gen'!$A433, Scores!$F$2:$F$910, 0))</f>
        <v>Original</v>
      </c>
      <c r="I433" s="4">
        <f>INDEX(Scores!$E$2:$E$910, MATCH('Next Gen'!$A433, Scores!$F$2:$F$910, 0))</f>
        <v>46063</v>
      </c>
    </row>
    <row r="434" spans="1:9">
      <c r="A434" s="1">
        <v>263</v>
      </c>
      <c r="B434" s="1" t="s">
        <v>5</v>
      </c>
      <c r="C434" s="1">
        <v>9</v>
      </c>
      <c r="D434" s="1">
        <v>9</v>
      </c>
      <c r="E434" s="1">
        <v>3</v>
      </c>
      <c r="F434" s="1">
        <f>SUMIF(Scores!$F$2:$F$910, 'Next Gen'!$A434, INDEX(Scores!$I$2:$Q$910, 0, MATCH($B434, Scores!$I$1:$Q$1, 0)))</f>
        <v>4</v>
      </c>
      <c r="G434" s="1">
        <f>INDEX(Scores!$B$2:$B$910, MATCH('Next Gen'!$A434, Scores!$F$2:$F$910, 0))</f>
        <v>256</v>
      </c>
      <c r="H434" s="1" t="str">
        <f>INDEX(Scores!$D$2:$D$910, MATCH('Next Gen'!$A434, Scores!$F$2:$F$910, 0))</f>
        <v>Original</v>
      </c>
      <c r="I434" s="4">
        <f>INDEX(Scores!$E$2:$E$910, MATCH('Next Gen'!$A434, Scores!$F$2:$F$910, 0))</f>
        <v>46071</v>
      </c>
    </row>
    <row r="435" spans="1:9">
      <c r="A435" s="1">
        <v>263</v>
      </c>
      <c r="B435" s="1" t="s">
        <v>4</v>
      </c>
      <c r="C435" s="1">
        <v>9</v>
      </c>
      <c r="D435" s="1">
        <v>9</v>
      </c>
      <c r="E435" s="1">
        <v>7</v>
      </c>
      <c r="F435" s="1">
        <f>SUMIF(Scores!$F$2:$F$910, 'Next Gen'!$A435, INDEX(Scores!$I$2:$Q$910, 0, MATCH($B435, Scores!$I$1:$Q$1, 0)))</f>
        <v>13</v>
      </c>
      <c r="G435" s="1">
        <f>INDEX(Scores!$B$2:$B$910, MATCH('Next Gen'!$A435, Scores!$F$2:$F$910, 0))</f>
        <v>256</v>
      </c>
      <c r="H435" s="1" t="str">
        <f>INDEX(Scores!$D$2:$D$910, MATCH('Next Gen'!$A435, Scores!$F$2:$F$910, 0))</f>
        <v>Original</v>
      </c>
      <c r="I435" s="4">
        <f>INDEX(Scores!$E$2:$E$910, MATCH('Next Gen'!$A435, Scores!$F$2:$F$910, 0))</f>
        <v>46071</v>
      </c>
    </row>
    <row r="436" spans="1:9">
      <c r="A436" s="1">
        <v>264</v>
      </c>
      <c r="B436" s="1" t="s">
        <v>5</v>
      </c>
      <c r="C436" s="1">
        <v>9</v>
      </c>
      <c r="D436" s="1">
        <v>6</v>
      </c>
      <c r="E436" s="1">
        <v>3</v>
      </c>
      <c r="F436" s="1">
        <f>SUMIF(Scores!$F$2:$F$910, 'Next Gen'!$A436, INDEX(Scores!$I$2:$Q$910, 0, MATCH($B436, Scores!$I$1:$Q$1, 0)))</f>
        <v>12</v>
      </c>
      <c r="G436" s="1">
        <f>INDEX(Scores!$B$2:$B$910, MATCH('Next Gen'!$A436, Scores!$F$2:$F$910, 0))</f>
        <v>256</v>
      </c>
      <c r="H436" s="1" t="str">
        <f>INDEX(Scores!$D$2:$D$910, MATCH('Next Gen'!$A436, Scores!$F$2:$F$910, 0))</f>
        <v>Original</v>
      </c>
      <c r="I436" s="4">
        <f>INDEX(Scores!$E$2:$E$910, MATCH('Next Gen'!$A436, Scores!$F$2:$F$910, 0))</f>
        <v>46073</v>
      </c>
    </row>
    <row r="437" spans="1:9">
      <c r="A437" s="1">
        <v>264</v>
      </c>
      <c r="B437" s="1" t="s">
        <v>4</v>
      </c>
      <c r="C437" s="1">
        <v>9</v>
      </c>
      <c r="D437" s="1">
        <v>8</v>
      </c>
      <c r="E437" s="1">
        <v>7</v>
      </c>
      <c r="F437" s="1">
        <f>SUMIF(Scores!$F$2:$F$910, 'Next Gen'!$A437, INDEX(Scores!$I$2:$Q$910, 0, MATCH($B437, Scores!$I$1:$Q$1, 0)))</f>
        <v>20</v>
      </c>
      <c r="G437" s="1">
        <f>INDEX(Scores!$B$2:$B$910, MATCH('Next Gen'!$A437, Scores!$F$2:$F$910, 0))</f>
        <v>256</v>
      </c>
      <c r="H437" s="1" t="str">
        <f>INDEX(Scores!$D$2:$D$910, MATCH('Next Gen'!$A437, Scores!$F$2:$F$910, 0))</f>
        <v>Original</v>
      </c>
      <c r="I437" s="4">
        <f>INDEX(Scores!$E$2:$E$910, MATCH('Next Gen'!$A437, Scores!$F$2:$F$910, 0))</f>
        <v>46073</v>
      </c>
    </row>
    <row r="438" spans="1:9">
      <c r="A438" s="1">
        <v>265</v>
      </c>
      <c r="B438" s="1" t="s">
        <v>5</v>
      </c>
      <c r="C438" s="1">
        <v>9</v>
      </c>
      <c r="D438" s="1">
        <v>8</v>
      </c>
      <c r="E438" s="1">
        <v>8</v>
      </c>
      <c r="F438" s="1">
        <f>SUMIF(Scores!$F$2:$F$910, 'Next Gen'!$A438, INDEX(Scores!$I$2:$Q$910, 0, MATCH($B438, Scores!$I$1:$Q$1, 0)))</f>
        <v>13</v>
      </c>
      <c r="G438" s="1">
        <f>INDEX(Scores!$B$2:$B$910, MATCH('Next Gen'!$A438, Scores!$F$2:$F$910, 0))</f>
        <v>256</v>
      </c>
      <c r="H438" s="1" t="str">
        <f>INDEX(Scores!$D$2:$D$910, MATCH('Next Gen'!$A438, Scores!$F$2:$F$910, 0))</f>
        <v>Original</v>
      </c>
      <c r="I438" s="4">
        <f>INDEX(Scores!$E$2:$E$910, MATCH('Next Gen'!$A438, Scores!$F$2:$F$910, 0))</f>
        <v>46077</v>
      </c>
    </row>
    <row r="439" spans="1:9">
      <c r="A439" s="1">
        <v>265</v>
      </c>
      <c r="B439" s="1" t="s">
        <v>4</v>
      </c>
      <c r="C439" s="1">
        <v>9</v>
      </c>
      <c r="D439" s="1">
        <v>9</v>
      </c>
      <c r="E439" s="1">
        <v>4</v>
      </c>
      <c r="F439" s="1">
        <f>SUMIF(Scores!$F$2:$F$910, 'Next Gen'!$A439, INDEX(Scores!$I$2:$Q$910, 0, MATCH($B439, Scores!$I$1:$Q$1, 0)))</f>
        <v>7</v>
      </c>
      <c r="G439" s="1">
        <f>INDEX(Scores!$B$2:$B$910, MATCH('Next Gen'!$A439, Scores!$F$2:$F$910, 0))</f>
        <v>256</v>
      </c>
      <c r="H439" s="1" t="str">
        <f>INDEX(Scores!$D$2:$D$910, MATCH('Next Gen'!$A439, Scores!$F$2:$F$910, 0))</f>
        <v>Original</v>
      </c>
      <c r="I439" s="4">
        <f>INDEX(Scores!$E$2:$E$910, MATCH('Next Gen'!$A439, Scores!$F$2:$F$910, 0))</f>
        <v>46077</v>
      </c>
    </row>
    <row r="440" spans="1:9">
      <c r="A440" s="1">
        <v>266</v>
      </c>
      <c r="B440" s="1" t="s">
        <v>5</v>
      </c>
      <c r="C440" s="1">
        <v>9</v>
      </c>
      <c r="D440" s="1">
        <v>9</v>
      </c>
      <c r="E440" s="1">
        <v>7</v>
      </c>
      <c r="F440" s="1">
        <f>SUMIF(Scores!$F$2:$F$910, 'Next Gen'!$A440, INDEX(Scores!$I$2:$Q$910, 0, MATCH($B440, Scores!$I$1:$Q$1, 0)))</f>
        <v>16</v>
      </c>
      <c r="G440" s="1">
        <f>INDEX(Scores!$B$2:$B$910, MATCH('Next Gen'!$A440, Scores!$F$2:$F$910, 0))</f>
        <v>256</v>
      </c>
      <c r="H440" s="1" t="str">
        <f>INDEX(Scores!$D$2:$D$910, MATCH('Next Gen'!$A440, Scores!$F$2:$F$910, 0))</f>
        <v>Original</v>
      </c>
      <c r="I440" s="4">
        <f>INDEX(Scores!$E$2:$E$910, MATCH('Next Gen'!$A440, Scores!$F$2:$F$910, 0))</f>
        <v>46078</v>
      </c>
    </row>
    <row r="441" spans="1:9">
      <c r="A441" s="1">
        <v>266</v>
      </c>
      <c r="B441" s="1" t="s">
        <v>4</v>
      </c>
      <c r="C441" s="1">
        <v>9</v>
      </c>
      <c r="D441" s="1">
        <v>9</v>
      </c>
      <c r="E441" s="1">
        <v>9</v>
      </c>
      <c r="F441" s="1">
        <f>SUMIF(Scores!$F$2:$F$910, 'Next Gen'!$A441, INDEX(Scores!$I$2:$Q$910, 0, MATCH($B441, Scores!$I$1:$Q$1, 0)))</f>
        <v>21</v>
      </c>
      <c r="G441" s="1">
        <f>INDEX(Scores!$B$2:$B$910, MATCH('Next Gen'!$A441, Scores!$F$2:$F$910, 0))</f>
        <v>256</v>
      </c>
      <c r="H441" s="1" t="str">
        <f>INDEX(Scores!$D$2:$D$910, MATCH('Next Gen'!$A441, Scores!$F$2:$F$910, 0))</f>
        <v>Original</v>
      </c>
      <c r="I441" s="4">
        <f>INDEX(Scores!$E$2:$E$910, MATCH('Next Gen'!$A441, Scores!$F$2:$F$910, 0))</f>
        <v>46078</v>
      </c>
    </row>
    <row r="442" spans="1:9">
      <c r="A442" s="1">
        <v>267</v>
      </c>
      <c r="B442" s="1" t="s">
        <v>5</v>
      </c>
      <c r="C442" s="1">
        <v>9</v>
      </c>
      <c r="D442" s="1">
        <v>8</v>
      </c>
      <c r="E442" s="1">
        <v>7</v>
      </c>
      <c r="F442" s="1">
        <f>SUMIF(Scores!$F$2:$F$910, 'Next Gen'!$A442, INDEX(Scores!$I$2:$Q$910, 0, MATCH($B442, Scores!$I$1:$Q$1, 0)))</f>
        <v>10</v>
      </c>
      <c r="G442" s="1">
        <f>INDEX(Scores!$B$2:$B$910, MATCH('Next Gen'!$A442, Scores!$F$2:$F$910, 0))</f>
        <v>256</v>
      </c>
      <c r="H442" s="1" t="str">
        <f>INDEX(Scores!$D$2:$D$910, MATCH('Next Gen'!$A442, Scores!$F$2:$F$910, 0))</f>
        <v>Original</v>
      </c>
      <c r="I442" s="4">
        <f>INDEX(Scores!$E$2:$E$910, MATCH('Next Gen'!$A442, Scores!$F$2:$F$910, 0))</f>
        <v>46080</v>
      </c>
    </row>
    <row r="443" spans="1:9">
      <c r="A443" s="1">
        <v>267</v>
      </c>
      <c r="B443" s="1" t="s">
        <v>4</v>
      </c>
      <c r="C443" s="1">
        <v>9</v>
      </c>
      <c r="D443" s="1">
        <v>9</v>
      </c>
      <c r="E443" s="1">
        <v>7</v>
      </c>
      <c r="F443" s="1">
        <f>SUMIF(Scores!$F$2:$F$910, 'Next Gen'!$A443, INDEX(Scores!$I$2:$Q$910, 0, MATCH($B443, Scores!$I$1:$Q$1, 0)))</f>
        <v>17</v>
      </c>
      <c r="G443" s="1">
        <f>INDEX(Scores!$B$2:$B$910, MATCH('Next Gen'!$A443, Scores!$F$2:$F$910, 0))</f>
        <v>256</v>
      </c>
      <c r="H443" s="1" t="str">
        <f>INDEX(Scores!$D$2:$D$910, MATCH('Next Gen'!$A443, Scores!$F$2:$F$910, 0))</f>
        <v>Original</v>
      </c>
      <c r="I443" s="4">
        <f>INDEX(Scores!$E$2:$E$910, MATCH('Next Gen'!$A443, Scores!$F$2:$F$910, 0))</f>
        <v>46080</v>
      </c>
    </row>
    <row r="444" spans="1:9">
      <c r="A444" s="1">
        <v>268</v>
      </c>
      <c r="B444" s="1" t="s">
        <v>5</v>
      </c>
      <c r="C444" s="1">
        <v>9</v>
      </c>
      <c r="D444" s="1">
        <v>8</v>
      </c>
      <c r="E444" s="1">
        <v>5</v>
      </c>
      <c r="F444" s="1">
        <f>SUMIF(Scores!$F$2:$F$910, 'Next Gen'!$A444, INDEX(Scores!$I$2:$Q$910, 0, MATCH($B444, Scores!$I$1:$Q$1, 0)))</f>
        <v>9</v>
      </c>
      <c r="G444" s="1">
        <f>INDEX(Scores!$B$2:$B$910, MATCH('Next Gen'!$A444, Scores!$F$2:$F$910, 0))</f>
        <v>256</v>
      </c>
      <c r="H444" s="1" t="str">
        <f>INDEX(Scores!$D$2:$D$910, MATCH('Next Gen'!$A444, Scores!$F$2:$F$910, 0))</f>
        <v>Original</v>
      </c>
      <c r="I444" s="4">
        <f>INDEX(Scores!$E$2:$E$910, MATCH('Next Gen'!$A444, Scores!$F$2:$F$910, 0))</f>
        <v>46084</v>
      </c>
    </row>
    <row r="445" spans="1:9">
      <c r="A445" s="1">
        <v>268</v>
      </c>
      <c r="B445" s="1" t="s">
        <v>4</v>
      </c>
      <c r="C445" s="1">
        <v>9</v>
      </c>
      <c r="D445" s="1">
        <v>9</v>
      </c>
      <c r="E445" s="1">
        <v>5</v>
      </c>
      <c r="F445" s="1">
        <f>SUMIF(Scores!$F$2:$F$910, 'Next Gen'!$A445, INDEX(Scores!$I$2:$Q$910, 0, MATCH($B445, Scores!$I$1:$Q$1, 0)))</f>
        <v>14</v>
      </c>
      <c r="G445" s="1">
        <f>INDEX(Scores!$B$2:$B$910, MATCH('Next Gen'!$A445, Scores!$F$2:$F$910, 0))</f>
        <v>256</v>
      </c>
      <c r="H445" s="1" t="str">
        <f>INDEX(Scores!$D$2:$D$910, MATCH('Next Gen'!$A445, Scores!$F$2:$F$910, 0))</f>
        <v>Original</v>
      </c>
      <c r="I445" s="4">
        <f>INDEX(Scores!$E$2:$E$910, MATCH('Next Gen'!$A445, Scores!$F$2:$F$910, 0))</f>
        <v>46084</v>
      </c>
    </row>
    <row r="446" spans="1:9">
      <c r="A446" s="1">
        <v>269</v>
      </c>
      <c r="B446" s="1" t="s">
        <v>5</v>
      </c>
      <c r="C446" s="1">
        <v>9</v>
      </c>
      <c r="D446" s="1">
        <v>6</v>
      </c>
      <c r="E446" s="1">
        <v>3</v>
      </c>
      <c r="F446" s="1">
        <f>SUMIF(Scores!$F$2:$F$910, 'Next Gen'!$A446, INDEX(Scores!$I$2:$Q$910, 0, MATCH($B446, Scores!$I$1:$Q$1, 0)))</f>
        <v>5</v>
      </c>
      <c r="G446" s="1">
        <f>INDEX(Scores!$B$2:$B$910, MATCH('Next Gen'!$A446, Scores!$F$2:$F$910, 0))</f>
        <v>256</v>
      </c>
      <c r="H446" s="1" t="str">
        <f>INDEX(Scores!$D$2:$D$910, MATCH('Next Gen'!$A446, Scores!$F$2:$F$910, 0))</f>
        <v>Original</v>
      </c>
      <c r="I446" s="4">
        <f>INDEX(Scores!$E$2:$E$910, MATCH('Next Gen'!$A446, Scores!$F$2:$F$910, 0))</f>
        <v>46085</v>
      </c>
    </row>
    <row r="447" spans="1:9">
      <c r="A447" s="1">
        <v>269</v>
      </c>
      <c r="B447" s="1" t="s">
        <v>4</v>
      </c>
      <c r="C447" s="1">
        <v>9</v>
      </c>
      <c r="D447" s="1">
        <v>9</v>
      </c>
      <c r="E447" s="1">
        <v>5</v>
      </c>
      <c r="F447" s="1">
        <f>SUMIF(Scores!$F$2:$F$910, 'Next Gen'!$A447, INDEX(Scores!$I$2:$Q$910, 0, MATCH($B447, Scores!$I$1:$Q$1, 0)))</f>
        <v>15</v>
      </c>
      <c r="G447" s="1">
        <f>INDEX(Scores!$B$2:$B$910, MATCH('Next Gen'!$A447, Scores!$F$2:$F$910, 0))</f>
        <v>256</v>
      </c>
      <c r="H447" s="1" t="str">
        <f>INDEX(Scores!$D$2:$D$910, MATCH('Next Gen'!$A447, Scores!$F$2:$F$910, 0))</f>
        <v>Original</v>
      </c>
      <c r="I447" s="4">
        <f>INDEX(Scores!$E$2:$E$910, MATCH('Next Gen'!$A447, Scores!$F$2:$F$910, 0))</f>
        <v>46085</v>
      </c>
    </row>
    <row r="448" spans="1:9">
      <c r="A448" s="1">
        <v>269</v>
      </c>
      <c r="B448" s="1" t="s">
        <v>6</v>
      </c>
      <c r="C448" s="1">
        <v>9</v>
      </c>
      <c r="D448" s="1">
        <v>5</v>
      </c>
      <c r="E448" s="1">
        <v>4</v>
      </c>
      <c r="F448" s="1">
        <f>SUMIF(Scores!$F$2:$F$910, 'Next Gen'!$A448, INDEX(Scores!$I$2:$Q$910, 0, MATCH($B448, Scores!$I$1:$Q$1, 0)))</f>
        <v>5</v>
      </c>
      <c r="G448" s="1">
        <f>INDEX(Scores!$B$2:$B$910, MATCH('Next Gen'!$A448, Scores!$F$2:$F$910, 0))</f>
        <v>256</v>
      </c>
      <c r="H448" s="1" t="str">
        <f>INDEX(Scores!$D$2:$D$910, MATCH('Next Gen'!$A448, Scores!$F$2:$F$910, 0))</f>
        <v>Original</v>
      </c>
      <c r="I448" s="4">
        <f>INDEX(Scores!$E$2:$E$910, MATCH('Next Gen'!$A448, Scores!$F$2:$F$910, 0))</f>
        <v>46085</v>
      </c>
    </row>
    <row r="449" spans="1:9">
      <c r="A449" s="1">
        <v>270</v>
      </c>
      <c r="B449" s="1" t="s">
        <v>5</v>
      </c>
      <c r="C449" s="1">
        <v>9</v>
      </c>
      <c r="D449" s="1">
        <v>7</v>
      </c>
      <c r="E449" s="1">
        <v>5</v>
      </c>
      <c r="F449" s="1">
        <f>SUMIF(Scores!$F$2:$F$910, 'Next Gen'!$A449, INDEX(Scores!$I$2:$Q$910, 0, MATCH($B449, Scores!$I$1:$Q$1, 0)))</f>
        <v>9</v>
      </c>
      <c r="G449" s="1">
        <f>INDEX(Scores!$B$2:$B$910, MATCH('Next Gen'!$A449, Scores!$F$2:$F$910, 0))</f>
        <v>256</v>
      </c>
      <c r="H449" s="1" t="str">
        <f>INDEX(Scores!$D$2:$D$910, MATCH('Next Gen'!$A449, Scores!$F$2:$F$910, 0))</f>
        <v>Original</v>
      </c>
      <c r="I449" s="4">
        <f>INDEX(Scores!$E$2:$E$910, MATCH('Next Gen'!$A449, Scores!$F$2:$F$910, 0))</f>
        <v>46086</v>
      </c>
    </row>
    <row r="450" spans="1:9">
      <c r="A450" s="1">
        <v>270</v>
      </c>
      <c r="B450" s="1" t="s">
        <v>4</v>
      </c>
      <c r="C450" s="1">
        <v>9</v>
      </c>
      <c r="D450" s="1">
        <v>9</v>
      </c>
      <c r="E450" s="1">
        <v>5</v>
      </c>
      <c r="F450" s="1">
        <f>SUMIF(Scores!$F$2:$F$910, 'Next Gen'!$A450, INDEX(Scores!$I$2:$Q$910, 0, MATCH($B450, Scores!$I$1:$Q$1, 0)))</f>
        <v>13</v>
      </c>
      <c r="G450" s="1">
        <f>INDEX(Scores!$B$2:$B$910, MATCH('Next Gen'!$A450, Scores!$F$2:$F$910, 0))</f>
        <v>256</v>
      </c>
      <c r="H450" s="1" t="str">
        <f>INDEX(Scores!$D$2:$D$910, MATCH('Next Gen'!$A450, Scores!$F$2:$F$910, 0))</f>
        <v>Original</v>
      </c>
      <c r="I450" s="4">
        <f>INDEX(Scores!$E$2:$E$910, MATCH('Next Gen'!$A450, Scores!$F$2:$F$910, 0))</f>
        <v>46086</v>
      </c>
    </row>
    <row r="451" spans="1:9">
      <c r="A451" s="1">
        <v>270</v>
      </c>
      <c r="B451" s="1" t="s">
        <v>23</v>
      </c>
      <c r="C451" s="1">
        <v>9</v>
      </c>
      <c r="D451" s="1">
        <v>4</v>
      </c>
      <c r="E451" s="1">
        <v>3</v>
      </c>
      <c r="F451" s="1">
        <f>SUMIF(Scores!$F$2:$F$910, 'Next Gen'!$A451, INDEX(Scores!$I$2:$Q$910, 0, MATCH($B451, Scores!$I$1:$Q$1, 0)))</f>
        <v>6</v>
      </c>
      <c r="G451" s="1">
        <f>INDEX(Scores!$B$2:$B$910, MATCH('Next Gen'!$A451, Scores!$F$2:$F$910, 0))</f>
        <v>256</v>
      </c>
      <c r="H451" s="1" t="str">
        <f>INDEX(Scores!$D$2:$D$910, MATCH('Next Gen'!$A451, Scores!$F$2:$F$910, 0))</f>
        <v>Original</v>
      </c>
      <c r="I451" s="4">
        <f>INDEX(Scores!$E$2:$E$910, MATCH('Next Gen'!$A451, Scores!$F$2:$F$910, 0))</f>
        <v>46086</v>
      </c>
    </row>
    <row r="452" spans="1:9">
      <c r="A452" s="1">
        <v>271</v>
      </c>
      <c r="B452" s="1" t="s">
        <v>5</v>
      </c>
      <c r="C452" s="1">
        <v>9</v>
      </c>
      <c r="D452" s="1">
        <v>8</v>
      </c>
      <c r="E452" s="1">
        <v>5</v>
      </c>
      <c r="F452" s="1">
        <f>SUMIF(Scores!$F$2:$F$910, 'Next Gen'!$A452, INDEX(Scores!$I$2:$Q$910, 0, MATCH($B452, Scores!$I$1:$Q$1, 0)))</f>
        <v>11</v>
      </c>
      <c r="G452" s="1">
        <f>INDEX(Scores!$B$2:$B$910, MATCH('Next Gen'!$A452, Scores!$F$2:$F$910, 0))</f>
        <v>256</v>
      </c>
      <c r="H452" s="1" t="str">
        <f>INDEX(Scores!$D$2:$D$910, MATCH('Next Gen'!$A452, Scores!$F$2:$F$910, 0))</f>
        <v>Original</v>
      </c>
      <c r="I452" s="4">
        <f>INDEX(Scores!$E$2:$E$910, MATCH('Next Gen'!$A452, Scores!$F$2:$F$910, 0))</f>
        <v>46087</v>
      </c>
    </row>
    <row r="453" spans="1:9">
      <c r="A453" s="1">
        <v>271</v>
      </c>
      <c r="B453" s="1" t="s">
        <v>4</v>
      </c>
      <c r="C453" s="1">
        <v>9</v>
      </c>
      <c r="D453" s="1">
        <v>9</v>
      </c>
      <c r="E453" s="1">
        <v>5</v>
      </c>
      <c r="F453" s="1">
        <f>SUMIF(Scores!$F$2:$F$910, 'Next Gen'!$A453, INDEX(Scores!$I$2:$Q$910, 0, MATCH($B453, Scores!$I$1:$Q$1, 0)))</f>
        <v>12</v>
      </c>
      <c r="G453" s="1">
        <f>INDEX(Scores!$B$2:$B$910, MATCH('Next Gen'!$A453, Scores!$F$2:$F$910, 0))</f>
        <v>256</v>
      </c>
      <c r="H453" s="1" t="str">
        <f>INDEX(Scores!$D$2:$D$910, MATCH('Next Gen'!$A453, Scores!$F$2:$F$910, 0))</f>
        <v>Original</v>
      </c>
      <c r="I453" s="4">
        <f>INDEX(Scores!$E$2:$E$910, MATCH('Next Gen'!$A453, Scores!$F$2:$F$910, 0))</f>
        <v>46087</v>
      </c>
    </row>
    <row r="454" spans="1:9">
      <c r="A454" s="1">
        <v>272</v>
      </c>
      <c r="B454" s="1" t="s">
        <v>5</v>
      </c>
      <c r="C454" s="1">
        <v>9</v>
      </c>
      <c r="D454" s="1">
        <v>7</v>
      </c>
      <c r="E454" s="1">
        <v>4</v>
      </c>
      <c r="F454" s="1">
        <f>SUMIF(Scores!$F$2:$F$910, 'Next Gen'!$A454, INDEX(Scores!$I$2:$Q$910, 0, MATCH($B454, Scores!$I$1:$Q$1, 0)))</f>
        <v>4</v>
      </c>
      <c r="G454" s="1">
        <f>INDEX(Scores!$B$2:$B$910, MATCH('Next Gen'!$A454, Scores!$F$2:$F$910, 0))</f>
        <v>256</v>
      </c>
      <c r="H454" s="1" t="str">
        <f>INDEX(Scores!$D$2:$D$910, MATCH('Next Gen'!$A454, Scores!$F$2:$F$910, 0))</f>
        <v>Original</v>
      </c>
      <c r="I454" s="4">
        <f>INDEX(Scores!$E$2:$E$910, MATCH('Next Gen'!$A454, Scores!$F$2:$F$910, 0))</f>
        <v>46091</v>
      </c>
    </row>
    <row r="455" spans="1:9">
      <c r="A455" s="1">
        <v>272</v>
      </c>
      <c r="B455" s="1" t="s">
        <v>4</v>
      </c>
      <c r="C455" s="1">
        <v>9</v>
      </c>
      <c r="D455" s="1">
        <v>8</v>
      </c>
      <c r="E455" s="1">
        <v>7</v>
      </c>
      <c r="F455" s="1">
        <f>SUMIF(Scores!$F$2:$F$910, 'Next Gen'!$A455, INDEX(Scores!$I$2:$Q$910, 0, MATCH($B455, Scores!$I$1:$Q$1, 0)))</f>
        <v>18</v>
      </c>
      <c r="G455" s="1">
        <f>INDEX(Scores!$B$2:$B$910, MATCH('Next Gen'!$A455, Scores!$F$2:$F$910, 0))</f>
        <v>256</v>
      </c>
      <c r="H455" s="1" t="str">
        <f>INDEX(Scores!$D$2:$D$910, MATCH('Next Gen'!$A455, Scores!$F$2:$F$910, 0))</f>
        <v>Original</v>
      </c>
      <c r="I455" s="4">
        <f>INDEX(Scores!$E$2:$E$910, MATCH('Next Gen'!$A455, Scores!$F$2:$F$910, 0))</f>
        <v>46091</v>
      </c>
    </row>
    <row r="456" spans="1:9">
      <c r="A456" s="1">
        <v>273</v>
      </c>
      <c r="B456" s="1" t="s">
        <v>5</v>
      </c>
      <c r="C456" s="1">
        <v>8</v>
      </c>
      <c r="D456" s="1">
        <v>7</v>
      </c>
      <c r="E456" s="1">
        <v>7</v>
      </c>
      <c r="F456" s="1">
        <f>SUMIF(Scores!$F$2:$F$910, 'Next Gen'!$A456, INDEX(Scores!$I$2:$Q$910, 0, MATCH($B456, Scores!$I$1:$Q$1, 0)))</f>
        <v>12</v>
      </c>
      <c r="G456" s="1">
        <f>INDEX(Scores!$B$2:$B$910, MATCH('Next Gen'!$A456, Scores!$F$2:$F$910, 0))</f>
        <v>256</v>
      </c>
      <c r="H456" s="1" t="str">
        <f>INDEX(Scores!$D$2:$D$910, MATCH('Next Gen'!$A456, Scores!$F$2:$F$910, 0))</f>
        <v>New</v>
      </c>
      <c r="I456" s="4">
        <f>INDEX(Scores!$E$2:$E$910, MATCH('Next Gen'!$A456, Scores!$F$2:$F$910, 0))</f>
        <v>46092</v>
      </c>
    </row>
    <row r="457" spans="1:9">
      <c r="A457" s="1">
        <v>273</v>
      </c>
      <c r="B457" s="1" t="s">
        <v>4</v>
      </c>
      <c r="C457" s="1">
        <v>8</v>
      </c>
      <c r="D457" s="1">
        <v>8</v>
      </c>
      <c r="E457" s="1">
        <v>8</v>
      </c>
      <c r="F457" s="1">
        <f>SUMIF(Scores!$F$2:$F$910, 'Next Gen'!$A457, INDEX(Scores!$I$2:$Q$910, 0, MATCH($B457, Scores!$I$1:$Q$1, 0)))</f>
        <v>17</v>
      </c>
      <c r="G457" s="1">
        <f>INDEX(Scores!$B$2:$B$910, MATCH('Next Gen'!$A457, Scores!$F$2:$F$910, 0))</f>
        <v>256</v>
      </c>
      <c r="H457" s="1" t="str">
        <f>INDEX(Scores!$D$2:$D$910, MATCH('Next Gen'!$A457, Scores!$F$2:$F$910, 0))</f>
        <v>New</v>
      </c>
      <c r="I457" s="4">
        <f>INDEX(Scores!$E$2:$E$910, MATCH('Next Gen'!$A457, Scores!$F$2:$F$910, 0))</f>
        <v>46092</v>
      </c>
    </row>
    <row r="458" spans="1:9">
      <c r="A458" s="1">
        <v>273</v>
      </c>
      <c r="B458" s="1" t="s">
        <v>6</v>
      </c>
      <c r="C458" s="1">
        <v>8</v>
      </c>
      <c r="D458" s="1">
        <v>4</v>
      </c>
      <c r="E458" s="1">
        <v>3</v>
      </c>
      <c r="F458" s="1">
        <f>SUMIF(Scores!$F$2:$F$910, 'Next Gen'!$A458, INDEX(Scores!$I$2:$Q$910, 0, MATCH($B458, Scores!$I$1:$Q$1, 0)))</f>
        <v>4</v>
      </c>
      <c r="G458" s="1">
        <f>INDEX(Scores!$B$2:$B$910, MATCH('Next Gen'!$A458, Scores!$F$2:$F$910, 0))</f>
        <v>256</v>
      </c>
      <c r="H458" s="1" t="str">
        <f>INDEX(Scores!$D$2:$D$910, MATCH('Next Gen'!$A458, Scores!$F$2:$F$910, 0))</f>
        <v>New</v>
      </c>
      <c r="I458" s="4">
        <f>INDEX(Scores!$E$2:$E$910, MATCH('Next Gen'!$A458, Scores!$F$2:$F$910, 0))</f>
        <v>46092</v>
      </c>
    </row>
    <row r="459" spans="1:9">
      <c r="A459" s="1">
        <v>274</v>
      </c>
      <c r="B459" s="1" t="s">
        <v>5</v>
      </c>
      <c r="C459" s="1">
        <v>8</v>
      </c>
      <c r="D459" s="1">
        <v>5</v>
      </c>
      <c r="E459" s="1">
        <v>4</v>
      </c>
      <c r="F459" s="1">
        <f>SUMIF(Scores!$F$2:$F$910, 'Next Gen'!$A459, INDEX(Scores!$I$2:$Q$910, 0, MATCH($B459, Scores!$I$1:$Q$1, 0)))</f>
        <v>8</v>
      </c>
      <c r="G459" s="1">
        <f>INDEX(Scores!$B$2:$B$910, MATCH('Next Gen'!$A459, Scores!$F$2:$F$910, 0))</f>
        <v>256</v>
      </c>
      <c r="H459" s="1" t="str">
        <f>INDEX(Scores!$D$2:$D$910, MATCH('Next Gen'!$A459, Scores!$F$2:$F$910, 0))</f>
        <v>New</v>
      </c>
      <c r="I459" s="4">
        <f>INDEX(Scores!$E$2:$E$910, MATCH('Next Gen'!$A459, Scores!$F$2:$F$910, 0))</f>
        <v>46093</v>
      </c>
    </row>
    <row r="460" spans="1:9">
      <c r="A460" s="1">
        <v>274</v>
      </c>
      <c r="B460" s="1" t="s">
        <v>4</v>
      </c>
      <c r="C460" s="1">
        <v>8</v>
      </c>
      <c r="D460" s="1">
        <v>8</v>
      </c>
      <c r="E460" s="1">
        <v>8</v>
      </c>
      <c r="F460" s="1">
        <f>SUMIF(Scores!$F$2:$F$910, 'Next Gen'!$A460, INDEX(Scores!$I$2:$Q$910, 0, MATCH($B460, Scores!$I$1:$Q$1, 0)))</f>
        <v>18</v>
      </c>
      <c r="G460" s="1">
        <f>INDEX(Scores!$B$2:$B$910, MATCH('Next Gen'!$A460, Scores!$F$2:$F$910, 0))</f>
        <v>256</v>
      </c>
      <c r="H460" s="1" t="str">
        <f>INDEX(Scores!$D$2:$D$910, MATCH('Next Gen'!$A460, Scores!$F$2:$F$910, 0))</f>
        <v>New</v>
      </c>
      <c r="I460" s="4">
        <f>INDEX(Scores!$E$2:$E$910, MATCH('Next Gen'!$A460, Scores!$F$2:$F$910, 0))</f>
        <v>46093</v>
      </c>
    </row>
    <row r="461" spans="1:9">
      <c r="A461" s="1">
        <v>275</v>
      </c>
      <c r="B461" s="1" t="s">
        <v>5</v>
      </c>
      <c r="C461" s="1">
        <v>8</v>
      </c>
      <c r="D461" s="1">
        <v>7</v>
      </c>
      <c r="E461" s="1">
        <v>7</v>
      </c>
      <c r="F461" s="1">
        <f>SUMIF(Scores!$F$2:$F$910, 'Next Gen'!$A461, INDEX(Scores!$I$2:$Q$910, 0, MATCH($B461, Scores!$I$1:$Q$1, 0)))</f>
        <v>14</v>
      </c>
      <c r="G461" s="1">
        <f>INDEX(Scores!$B$2:$B$910, MATCH('Next Gen'!$A461, Scores!$F$2:$F$910, 0))</f>
        <v>256</v>
      </c>
      <c r="H461" s="1" t="str">
        <f>INDEX(Scores!$D$2:$D$910, MATCH('Next Gen'!$A461, Scores!$F$2:$F$910, 0))</f>
        <v>New</v>
      </c>
      <c r="I461" s="4">
        <f>INDEX(Scores!$E$2:$E$910, MATCH('Next Gen'!$A461, Scores!$F$2:$F$910, 0))</f>
        <v>46094</v>
      </c>
    </row>
    <row r="462" spans="1:9">
      <c r="A462" s="1">
        <v>275</v>
      </c>
      <c r="B462" s="1" t="s">
        <v>4</v>
      </c>
      <c r="C462" s="1">
        <v>8</v>
      </c>
      <c r="D462" s="1">
        <v>8</v>
      </c>
      <c r="E462" s="1">
        <v>8</v>
      </c>
      <c r="F462" s="1">
        <f>SUMIF(Scores!$F$2:$F$910, 'Next Gen'!$A462, INDEX(Scores!$I$2:$Q$910, 0, MATCH($B462, Scores!$I$1:$Q$1, 0)))</f>
        <v>19</v>
      </c>
      <c r="G462" s="1">
        <f>INDEX(Scores!$B$2:$B$910, MATCH('Next Gen'!$A462, Scores!$F$2:$F$910, 0))</f>
        <v>256</v>
      </c>
      <c r="H462" s="1" t="str">
        <f>INDEX(Scores!$D$2:$D$910, MATCH('Next Gen'!$A462, Scores!$F$2:$F$910, 0))</f>
        <v>New</v>
      </c>
      <c r="I462" s="4">
        <f>INDEX(Scores!$E$2:$E$910, MATCH('Next Gen'!$A462, Scores!$F$2:$F$910, 0))</f>
        <v>46094</v>
      </c>
    </row>
    <row r="463" spans="1:9">
      <c r="A463" s="1">
        <v>276</v>
      </c>
      <c r="B463" s="1" t="s">
        <v>5</v>
      </c>
      <c r="C463" s="1">
        <v>8</v>
      </c>
      <c r="D463" s="1">
        <v>6</v>
      </c>
      <c r="E463" s="1">
        <v>6</v>
      </c>
      <c r="F463" s="1">
        <f>SUMIF(Scores!$F$2:$F$910, 'Next Gen'!$A463, INDEX(Scores!$I$2:$Q$910, 0, MATCH($B463, Scores!$I$1:$Q$1, 0)))</f>
        <v>10</v>
      </c>
      <c r="G463" s="1">
        <f>INDEX(Scores!$B$2:$B$910, MATCH('Next Gen'!$A463, Scores!$F$2:$F$910, 0))</f>
        <v>256</v>
      </c>
      <c r="H463" s="1" t="str">
        <f>INDEX(Scores!$D$2:$D$910, MATCH('Next Gen'!$A463, Scores!$F$2:$F$910, 0))</f>
        <v>New</v>
      </c>
      <c r="I463" s="4">
        <f>INDEX(Scores!$E$2:$E$910, MATCH('Next Gen'!$A463, Scores!$F$2:$F$910, 0))</f>
        <v>46105</v>
      </c>
    </row>
    <row r="464" spans="1:9">
      <c r="A464" s="1">
        <v>276</v>
      </c>
      <c r="B464" s="1" t="s">
        <v>4</v>
      </c>
      <c r="C464" s="1">
        <v>8</v>
      </c>
      <c r="D464" s="1">
        <v>6</v>
      </c>
      <c r="E464" s="1">
        <v>6</v>
      </c>
      <c r="F464" s="1">
        <f>SUMIF(Scores!$F$2:$F$910, 'Next Gen'!$A464, INDEX(Scores!$I$2:$Q$910, 0, MATCH($B464, Scores!$I$1:$Q$1, 0)))</f>
        <v>12</v>
      </c>
      <c r="G464" s="1">
        <f>INDEX(Scores!$B$2:$B$910, MATCH('Next Gen'!$A464, Scores!$F$2:$F$910, 0))</f>
        <v>256</v>
      </c>
      <c r="H464" s="1" t="str">
        <f>INDEX(Scores!$D$2:$D$910, MATCH('Next Gen'!$A464, Scores!$F$2:$F$910, 0))</f>
        <v>New</v>
      </c>
      <c r="I464" s="4">
        <f>INDEX(Scores!$E$2:$E$910, MATCH('Next Gen'!$A464, Scores!$F$2:$F$910, 0))</f>
        <v>46105</v>
      </c>
    </row>
    <row r="465" spans="1:9">
      <c r="A465" s="1">
        <v>277</v>
      </c>
      <c r="B465" s="1" t="s">
        <v>5</v>
      </c>
      <c r="C465" s="1">
        <v>8</v>
      </c>
      <c r="D465" s="1">
        <v>5</v>
      </c>
      <c r="E465" s="1">
        <v>5</v>
      </c>
      <c r="F465" s="1">
        <f>SUMIF(Scores!$F$2:$F$910, 'Next Gen'!$A465, INDEX(Scores!$I$2:$Q$910, 0, MATCH($B465, Scores!$I$1:$Q$1, 0)))</f>
        <v>9</v>
      </c>
      <c r="G465" s="1">
        <f>INDEX(Scores!$B$2:$B$910, MATCH('Next Gen'!$A465, Scores!$F$2:$F$910, 0))</f>
        <v>256</v>
      </c>
      <c r="H465" s="1" t="str">
        <f>INDEX(Scores!$D$2:$D$910, MATCH('Next Gen'!$A465, Scores!$F$2:$F$910, 0))</f>
        <v>New</v>
      </c>
      <c r="I465" s="4">
        <f>INDEX(Scores!$E$2:$E$910, MATCH('Next Gen'!$A465, Scores!$F$2:$F$910, 0))</f>
        <v>46106</v>
      </c>
    </row>
    <row r="466" spans="1:9">
      <c r="A466" s="1">
        <v>277</v>
      </c>
      <c r="B466" s="1" t="s">
        <v>4</v>
      </c>
      <c r="C466" s="1">
        <v>8</v>
      </c>
      <c r="D466" s="1">
        <v>8</v>
      </c>
      <c r="E466" s="1">
        <v>7</v>
      </c>
      <c r="F466" s="1">
        <f>SUMIF(Scores!$F$2:$F$910, 'Next Gen'!$A466, INDEX(Scores!$I$2:$Q$910, 0, MATCH($B466, Scores!$I$1:$Q$1, 0)))</f>
        <v>17</v>
      </c>
      <c r="G466" s="1">
        <f>INDEX(Scores!$B$2:$B$910, MATCH('Next Gen'!$A466, Scores!$F$2:$F$910, 0))</f>
        <v>256</v>
      </c>
      <c r="H466" s="1" t="str">
        <f>INDEX(Scores!$D$2:$D$910, MATCH('Next Gen'!$A466, Scores!$F$2:$F$910, 0))</f>
        <v>New</v>
      </c>
      <c r="I466" s="4">
        <f>INDEX(Scores!$E$2:$E$910, MATCH('Next Gen'!$A466, Scores!$F$2:$F$910, 0))</f>
        <v>46106</v>
      </c>
    </row>
    <row r="467" spans="1:9">
      <c r="A467" s="1">
        <v>277</v>
      </c>
      <c r="B467" s="1" t="s">
        <v>7</v>
      </c>
      <c r="C467" s="1">
        <v>8</v>
      </c>
      <c r="D467" s="1">
        <v>5</v>
      </c>
      <c r="E467" s="1">
        <v>5</v>
      </c>
      <c r="F467" s="1">
        <f>SUMIF(Scores!$F$2:$F$910, 'Next Gen'!$A467, INDEX(Scores!$I$2:$Q$910, 0, MATCH($B467, Scores!$I$1:$Q$1, 0)))</f>
        <v>9</v>
      </c>
      <c r="G467" s="1">
        <f>INDEX(Scores!$B$2:$B$910, MATCH('Next Gen'!$A467, Scores!$F$2:$F$910, 0))</f>
        <v>256</v>
      </c>
      <c r="H467" s="1" t="str">
        <f>INDEX(Scores!$D$2:$D$910, MATCH('Next Gen'!$A467, Scores!$F$2:$F$910, 0))</f>
        <v>New</v>
      </c>
      <c r="I467" s="4">
        <f>INDEX(Scores!$E$2:$E$910, MATCH('Next Gen'!$A467, Scores!$F$2:$F$910, 0))</f>
        <v>46106</v>
      </c>
    </row>
    <row r="468" spans="1:9">
      <c r="A468" s="1">
        <v>278</v>
      </c>
      <c r="B468" s="1" t="s">
        <v>5</v>
      </c>
      <c r="C468" s="1">
        <v>8</v>
      </c>
      <c r="D468" s="1">
        <v>7</v>
      </c>
      <c r="E468" s="1">
        <v>5</v>
      </c>
      <c r="F468" s="1">
        <f>SUMIF(Scores!$F$2:$F$910, 'Next Gen'!$A468, INDEX(Scores!$I$2:$Q$910, 0, MATCH($B468, Scores!$I$1:$Q$1, 0)))</f>
        <v>9</v>
      </c>
      <c r="G468" s="1">
        <f>INDEX(Scores!$B$2:$B$910, MATCH('Next Gen'!$A468, Scores!$F$2:$F$910, 0))</f>
        <v>256</v>
      </c>
      <c r="H468" s="1" t="str">
        <f>INDEX(Scores!$D$2:$D$910, MATCH('Next Gen'!$A468, Scores!$F$2:$F$910, 0))</f>
        <v>New</v>
      </c>
      <c r="I468" s="4">
        <f>INDEX(Scores!$E$2:$E$910, MATCH('Next Gen'!$A468, Scores!$F$2:$F$910, 0))</f>
        <v>46108</v>
      </c>
    </row>
    <row r="469" spans="1:9">
      <c r="A469" s="1">
        <v>278</v>
      </c>
      <c r="B469" s="1" t="s">
        <v>4</v>
      </c>
      <c r="C469" s="1">
        <v>8</v>
      </c>
      <c r="D469" s="1">
        <v>8</v>
      </c>
      <c r="E469" s="1">
        <v>8</v>
      </c>
      <c r="F469" s="1">
        <f>SUMIF(Scores!$F$2:$F$910, 'Next Gen'!$A469, INDEX(Scores!$I$2:$Q$910, 0, MATCH($B469, Scores!$I$1:$Q$1, 0)))</f>
        <v>14</v>
      </c>
      <c r="G469" s="1">
        <f>INDEX(Scores!$B$2:$B$910, MATCH('Next Gen'!$A469, Scores!$F$2:$F$910, 0))</f>
        <v>256</v>
      </c>
      <c r="H469" s="1" t="str">
        <f>INDEX(Scores!$D$2:$D$910, MATCH('Next Gen'!$A469, Scores!$F$2:$F$910, 0))</f>
        <v>New</v>
      </c>
      <c r="I469" s="4">
        <f>INDEX(Scores!$E$2:$E$910, MATCH('Next Gen'!$A469, Scores!$F$2:$F$910, 0))</f>
        <v>46108</v>
      </c>
    </row>
    <row r="470" spans="1:9">
      <c r="A470" s="1">
        <v>279</v>
      </c>
      <c r="B470" s="1" t="s">
        <v>5</v>
      </c>
      <c r="C470" s="1">
        <v>8</v>
      </c>
      <c r="D470" s="1">
        <v>6</v>
      </c>
      <c r="E470" s="1">
        <v>5</v>
      </c>
      <c r="F470" s="1">
        <f>SUMIF(Scores!$F$2:$F$910, 'Next Gen'!$A470, INDEX(Scores!$I$2:$Q$910, 0, MATCH($B470, Scores!$I$1:$Q$1, 0)))</f>
        <v>10</v>
      </c>
      <c r="G470" s="1">
        <f>INDEX(Scores!$B$2:$B$910, MATCH('Next Gen'!$A470, Scores!$F$2:$F$910, 0))</f>
        <v>256</v>
      </c>
      <c r="H470" s="1" t="str">
        <f>INDEX(Scores!$D$2:$D$910, MATCH('Next Gen'!$A470, Scores!$F$2:$F$910, 0))</f>
        <v>New</v>
      </c>
      <c r="I470" s="4">
        <f>INDEX(Scores!$E$2:$E$910, MATCH('Next Gen'!$A470, Scores!$F$2:$F$910, 0))</f>
        <v>46114</v>
      </c>
    </row>
    <row r="471" spans="1:9">
      <c r="A471" s="1">
        <v>279</v>
      </c>
      <c r="B471" s="1" t="s">
        <v>4</v>
      </c>
      <c r="C471" s="1">
        <v>8</v>
      </c>
      <c r="D471" s="1">
        <v>8</v>
      </c>
      <c r="E471" s="1">
        <v>8</v>
      </c>
      <c r="F471" s="1">
        <f>SUMIF(Scores!$F$2:$F$910, 'Next Gen'!$A471, INDEX(Scores!$I$2:$Q$910, 0, MATCH($B471, Scores!$I$1:$Q$1, 0)))</f>
        <v>18</v>
      </c>
      <c r="G471" s="1">
        <f>INDEX(Scores!$B$2:$B$910, MATCH('Next Gen'!$A471, Scores!$F$2:$F$910, 0))</f>
        <v>256</v>
      </c>
      <c r="H471" s="1" t="str">
        <f>INDEX(Scores!$D$2:$D$910, MATCH('Next Gen'!$A471, Scores!$F$2:$F$910, 0))</f>
        <v>New</v>
      </c>
      <c r="I471" s="4">
        <f>INDEX(Scores!$E$2:$E$910, MATCH('Next Gen'!$A471, Scores!$F$2:$F$910, 0))</f>
        <v>46114</v>
      </c>
    </row>
    <row r="472" spans="1:9">
      <c r="A472" s="1">
        <v>280</v>
      </c>
      <c r="B472" s="1" t="s">
        <v>5</v>
      </c>
      <c r="C472" s="1">
        <v>8</v>
      </c>
      <c r="D472" s="1">
        <v>4</v>
      </c>
      <c r="E472" s="1">
        <v>4</v>
      </c>
      <c r="F472" s="1">
        <f>SUMIF(Scores!$F$2:$F$910, 'Next Gen'!$A472, INDEX(Scores!$I$2:$Q$910, 0, MATCH($B472, Scores!$I$1:$Q$1, 0)))</f>
        <v>5</v>
      </c>
      <c r="G472" s="1">
        <f>INDEX(Scores!$B$2:$B$910, MATCH('Next Gen'!$A472, Scores!$F$2:$F$910, 0))</f>
        <v>256</v>
      </c>
      <c r="H472" s="1" t="str">
        <f>INDEX(Scores!$D$2:$D$910, MATCH('Next Gen'!$A472, Scores!$F$2:$F$910, 0))</f>
        <v>New</v>
      </c>
      <c r="I472" s="4">
        <f>INDEX(Scores!$E$2:$E$910, MATCH('Next Gen'!$A472, Scores!$F$2:$F$910, 0))</f>
        <v>46121</v>
      </c>
    </row>
    <row r="473" spans="1:9">
      <c r="A473" s="1">
        <v>280</v>
      </c>
      <c r="B473" s="1" t="s">
        <v>4</v>
      </c>
      <c r="C473" s="1">
        <v>8</v>
      </c>
      <c r="D473" s="1">
        <v>8</v>
      </c>
      <c r="E473" s="1">
        <v>8</v>
      </c>
      <c r="F473" s="1">
        <f>SUMIF(Scores!$F$2:$F$910, 'Next Gen'!$A473, INDEX(Scores!$I$2:$Q$910, 0, MATCH($B473, Scores!$I$1:$Q$1, 0)))</f>
        <v>18</v>
      </c>
      <c r="G473" s="1">
        <f>INDEX(Scores!$B$2:$B$910, MATCH('Next Gen'!$A473, Scores!$F$2:$F$910, 0))</f>
        <v>256</v>
      </c>
      <c r="H473" s="1" t="str">
        <f>INDEX(Scores!$D$2:$D$910, MATCH('Next Gen'!$A473, Scores!$F$2:$F$910, 0))</f>
        <v>New</v>
      </c>
      <c r="I473" s="4">
        <f>INDEX(Scores!$E$2:$E$910, MATCH('Next Gen'!$A473, Scores!$F$2:$F$910, 0))</f>
        <v>46121</v>
      </c>
    </row>
    <row r="474" spans="1:9">
      <c r="A474" s="1">
        <v>281</v>
      </c>
      <c r="B474" s="1" t="s">
        <v>5</v>
      </c>
      <c r="C474" s="1">
        <v>8</v>
      </c>
      <c r="D474" s="1">
        <v>7</v>
      </c>
      <c r="E474" s="1">
        <v>5</v>
      </c>
      <c r="F474" s="1">
        <f>SUMIF(Scores!$F$2:$F$910, 'Next Gen'!$A474, INDEX(Scores!$I$2:$Q$910, 0, MATCH($B474, Scores!$I$1:$Q$1, 0)))</f>
        <v>9</v>
      </c>
      <c r="G474" s="1">
        <f>INDEX(Scores!$B$2:$B$910, MATCH('Next Gen'!$A474, Scores!$F$2:$F$910, 0))</f>
        <v>256</v>
      </c>
      <c r="H474" s="1" t="str">
        <f>INDEX(Scores!$D$2:$D$910, MATCH('Next Gen'!$A474, Scores!$F$2:$F$910, 0))</f>
        <v>New</v>
      </c>
      <c r="I474" s="4">
        <f>INDEX(Scores!$E$2:$E$910, MATCH('Next Gen'!$A474, Scores!$F$2:$F$910, 0))</f>
        <v>46122</v>
      </c>
    </row>
    <row r="475" spans="1:9">
      <c r="A475" s="1">
        <v>281</v>
      </c>
      <c r="B475" s="1" t="s">
        <v>4</v>
      </c>
      <c r="C475" s="1">
        <v>8</v>
      </c>
      <c r="D475" s="1">
        <v>8</v>
      </c>
      <c r="E475" s="1">
        <v>8</v>
      </c>
      <c r="F475" s="1">
        <f>SUMIF(Scores!$F$2:$F$910, 'Next Gen'!$A475, INDEX(Scores!$I$2:$Q$910, 0, MATCH($B475, Scores!$I$1:$Q$1, 0)))</f>
        <v>21</v>
      </c>
      <c r="G475" s="1">
        <f>INDEX(Scores!$B$2:$B$910, MATCH('Next Gen'!$A475, Scores!$F$2:$F$910, 0))</f>
        <v>256</v>
      </c>
      <c r="H475" s="1" t="str">
        <f>INDEX(Scores!$D$2:$D$910, MATCH('Next Gen'!$A475, Scores!$F$2:$F$910, 0))</f>
        <v>New</v>
      </c>
      <c r="I475" s="4">
        <f>INDEX(Scores!$E$2:$E$910, MATCH('Next Gen'!$A475, Scores!$F$2:$F$910, 0))</f>
        <v>46122</v>
      </c>
    </row>
    <row r="476" spans="1:9">
      <c r="A476" s="1">
        <v>282</v>
      </c>
      <c r="B476" s="1" t="s">
        <v>5</v>
      </c>
      <c r="C476" s="1">
        <v>8</v>
      </c>
      <c r="D476" s="1">
        <v>6</v>
      </c>
      <c r="E476" s="1">
        <v>6</v>
      </c>
      <c r="F476" s="1">
        <f>SUMIF(Scores!$F$2:$F$910, 'Next Gen'!$A476, INDEX(Scores!$I$2:$Q$910, 0, MATCH($B476, Scores!$I$1:$Q$1, 0)))</f>
        <v>8</v>
      </c>
      <c r="G476" s="1">
        <f>INDEX(Scores!$B$2:$B$910, MATCH('Next Gen'!$A476, Scores!$F$2:$F$910, 0))</f>
        <v>256</v>
      </c>
      <c r="H476" s="1" t="str">
        <f>INDEX(Scores!$D$2:$D$910, MATCH('Next Gen'!$A476, Scores!$F$2:$F$910, 0))</f>
        <v>New</v>
      </c>
      <c r="I476" s="4">
        <f>INDEX(Scores!$E$2:$E$910, MATCH('Next Gen'!$A476, Scores!$F$2:$F$910, 0))</f>
        <v>46127</v>
      </c>
    </row>
    <row r="477" spans="1:9">
      <c r="A477" s="1">
        <v>282</v>
      </c>
      <c r="B477" s="1" t="s">
        <v>4</v>
      </c>
      <c r="C477" s="1">
        <v>8</v>
      </c>
      <c r="D477" s="1">
        <v>8</v>
      </c>
      <c r="E477" s="1">
        <v>8</v>
      </c>
      <c r="F477" s="1">
        <f>SUMIF(Scores!$F$2:$F$910, 'Next Gen'!$A477, INDEX(Scores!$I$2:$Q$910, 0, MATCH($B477, Scores!$I$1:$Q$1, 0)))</f>
        <v>20</v>
      </c>
      <c r="G477" s="1">
        <f>INDEX(Scores!$B$2:$B$910, MATCH('Next Gen'!$A477, Scores!$F$2:$F$910, 0))</f>
        <v>256</v>
      </c>
      <c r="H477" s="1" t="str">
        <f>INDEX(Scores!$D$2:$D$910, MATCH('Next Gen'!$A477, Scores!$F$2:$F$910, 0))</f>
        <v>New</v>
      </c>
      <c r="I477" s="4">
        <f>INDEX(Scores!$E$2:$E$910, MATCH('Next Gen'!$A477, Scores!$F$2:$F$910, 0))</f>
        <v>46127</v>
      </c>
    </row>
    <row r="478" spans="1:9">
      <c r="A478" s="1">
        <v>283</v>
      </c>
      <c r="B478" s="1" t="s">
        <v>5</v>
      </c>
      <c r="C478" s="1">
        <v>8</v>
      </c>
      <c r="D478" s="1">
        <v>6</v>
      </c>
      <c r="E478" s="1">
        <v>4</v>
      </c>
      <c r="F478" s="1">
        <f>SUMIF(Scores!$F$2:$F$910, 'Next Gen'!$A478, INDEX(Scores!$I$2:$Q$910, 0, MATCH($B478, Scores!$I$1:$Q$1, 0)))</f>
        <v>6</v>
      </c>
      <c r="G478" s="1">
        <f>INDEX(Scores!$B$2:$B$910, MATCH('Next Gen'!$A478, Scores!$F$2:$F$910, 0))</f>
        <v>256</v>
      </c>
      <c r="H478" s="1" t="str">
        <f>INDEX(Scores!$D$2:$D$910, MATCH('Next Gen'!$A478, Scores!$F$2:$F$910, 0))</f>
        <v>New</v>
      </c>
      <c r="I478" s="4">
        <f>INDEX(Scores!$E$2:$E$910, MATCH('Next Gen'!$A478, Scores!$F$2:$F$910, 0))</f>
        <v>46132</v>
      </c>
    </row>
    <row r="479" spans="1:9">
      <c r="A479" s="1">
        <v>283</v>
      </c>
      <c r="B479" s="1" t="s">
        <v>4</v>
      </c>
      <c r="C479" s="1">
        <v>8</v>
      </c>
      <c r="D479" s="1">
        <v>8</v>
      </c>
      <c r="E479" s="1">
        <v>8</v>
      </c>
      <c r="F479" s="1">
        <f>SUMIF(Scores!$F$2:$F$910, 'Next Gen'!$A479, INDEX(Scores!$I$2:$Q$910, 0, MATCH($B479, Scores!$I$1:$Q$1, 0)))</f>
        <v>20</v>
      </c>
      <c r="G479" s="1">
        <f>INDEX(Scores!$B$2:$B$910, MATCH('Next Gen'!$A479, Scores!$F$2:$F$910, 0))</f>
        <v>256</v>
      </c>
      <c r="H479" s="1" t="str">
        <f>INDEX(Scores!$D$2:$D$910, MATCH('Next Gen'!$A479, Scores!$F$2:$F$910, 0))</f>
        <v>New</v>
      </c>
      <c r="I479" s="4">
        <f>INDEX(Scores!$E$2:$E$910, MATCH('Next Gen'!$A479, Scores!$F$2:$F$910, 0))</f>
        <v>46132</v>
      </c>
    </row>
    <row r="480" spans="1:9">
      <c r="A480" s="1">
        <v>284</v>
      </c>
      <c r="B480" s="1" t="s">
        <v>5</v>
      </c>
      <c r="C480" s="1">
        <v>8</v>
      </c>
      <c r="D480" s="1">
        <v>4</v>
      </c>
      <c r="E480" s="1">
        <v>4</v>
      </c>
      <c r="F480" s="1">
        <f>SUMIF(Scores!$F$2:$F$910, 'Next Gen'!$A480, INDEX(Scores!$I$2:$Q$910, 0, MATCH($B480, Scores!$I$1:$Q$1, 0)))</f>
        <v>7</v>
      </c>
      <c r="G480" s="1">
        <f>INDEX(Scores!$B$2:$B$910, MATCH('Next Gen'!$A480, Scores!$F$2:$F$910, 0))</f>
        <v>256</v>
      </c>
      <c r="H480" s="1" t="str">
        <f>INDEX(Scores!$D$2:$D$910, MATCH('Next Gen'!$A480, Scores!$F$2:$F$910, 0))</f>
        <v>New</v>
      </c>
      <c r="I480" s="4">
        <f>INDEX(Scores!$E$2:$E$910, MATCH('Next Gen'!$A480, Scores!$F$2:$F$910, 0))</f>
        <v>46148</v>
      </c>
    </row>
    <row r="481" spans="1:9">
      <c r="A481" s="1">
        <v>284</v>
      </c>
      <c r="B481" s="1" t="s">
        <v>4</v>
      </c>
      <c r="C481" s="1">
        <v>8</v>
      </c>
      <c r="D481" s="1">
        <v>6</v>
      </c>
      <c r="E481" s="1">
        <v>4</v>
      </c>
      <c r="F481" s="1">
        <f>SUMIF(Scores!$F$2:$F$910, 'Next Gen'!$A481, INDEX(Scores!$I$2:$Q$910, 0, MATCH($B481, Scores!$I$1:$Q$1, 0)))</f>
        <v>10</v>
      </c>
      <c r="G481" s="1">
        <f>INDEX(Scores!$B$2:$B$910, MATCH('Next Gen'!$A481, Scores!$F$2:$F$910, 0))</f>
        <v>256</v>
      </c>
      <c r="H481" s="1" t="str">
        <f>INDEX(Scores!$D$2:$D$910, MATCH('Next Gen'!$A481, Scores!$F$2:$F$910, 0))</f>
        <v>New</v>
      </c>
      <c r="I481" s="4">
        <f>INDEX(Scores!$E$2:$E$910, MATCH('Next Gen'!$A481, Scores!$F$2:$F$910, 0))</f>
        <v>46148</v>
      </c>
    </row>
    <row r="482" spans="1:9">
      <c r="A482" s="1">
        <v>285</v>
      </c>
      <c r="B482" s="1" t="s">
        <v>5</v>
      </c>
      <c r="C482" s="1">
        <v>8</v>
      </c>
      <c r="D482" s="1">
        <v>8</v>
      </c>
      <c r="E482" s="1">
        <v>5</v>
      </c>
      <c r="F482" s="1">
        <f>SUMIF(Scores!$F$2:$F$910, 'Next Gen'!$A482, INDEX(Scores!$I$2:$Q$910, 0, MATCH($B482, Scores!$I$1:$Q$1, 0)))</f>
        <v>9</v>
      </c>
      <c r="G482" s="1">
        <f>INDEX(Scores!$B$2:$B$910, MATCH('Next Gen'!$A482, Scores!$F$2:$F$910, 0))</f>
        <v>256</v>
      </c>
      <c r="H482" s="1" t="str">
        <f>INDEX(Scores!$D$2:$D$910, MATCH('Next Gen'!$A482, Scores!$F$2:$F$910, 0))</f>
        <v>New</v>
      </c>
      <c r="I482" s="4">
        <f>INDEX(Scores!$E$2:$E$910, MATCH('Next Gen'!$A482, Scores!$F$2:$F$910, 0))</f>
        <v>46154</v>
      </c>
    </row>
    <row r="483" spans="1:9">
      <c r="A483" s="1">
        <v>285</v>
      </c>
      <c r="B483" s="1" t="s">
        <v>4</v>
      </c>
      <c r="C483" s="1">
        <v>8</v>
      </c>
      <c r="D483" s="1">
        <v>8</v>
      </c>
      <c r="E483" s="1">
        <v>7</v>
      </c>
      <c r="F483" s="1">
        <f>SUMIF(Scores!$F$2:$F$910, 'Next Gen'!$A483, INDEX(Scores!$I$2:$Q$910, 0, MATCH($B483, Scores!$I$1:$Q$1, 0)))</f>
        <v>17</v>
      </c>
      <c r="G483" s="1">
        <f>INDEX(Scores!$B$2:$B$910, MATCH('Next Gen'!$A483, Scores!$F$2:$F$910, 0))</f>
        <v>256</v>
      </c>
      <c r="H483" s="1" t="str">
        <f>INDEX(Scores!$D$2:$D$910, MATCH('Next Gen'!$A483, Scores!$F$2:$F$910, 0))</f>
        <v>New</v>
      </c>
      <c r="I483" s="4">
        <f>INDEX(Scores!$E$2:$E$910, MATCH('Next Gen'!$A483, Scores!$F$2:$F$910, 0))</f>
        <v>46154</v>
      </c>
    </row>
    <row r="484" spans="1:9">
      <c r="A484" s="1">
        <v>287</v>
      </c>
      <c r="B484" s="1" t="s">
        <v>5</v>
      </c>
      <c r="C484" s="1">
        <v>8</v>
      </c>
      <c r="D484" s="1">
        <v>6</v>
      </c>
      <c r="E484" s="1">
        <v>6</v>
      </c>
      <c r="F484" s="17">
        <f>SUMIF(Scores!$F$2:$F$910, 'Next Gen'!$A484, INDEX(Scores!$I$2:$Q$910, 0, MATCH($B484, Scores!$I$1:$Q$1, 0)))</f>
        <v>13</v>
      </c>
      <c r="G484" s="1">
        <f>INDEX(Scores!$B$2:$B$910, MATCH('Next Gen'!$A484, Scores!$F$2:$F$910, 0))</f>
        <v>256</v>
      </c>
      <c r="H484" s="17" t="str">
        <f>INDEX(Scores!$D$2:$D$910, MATCH('Next Gen'!$A484, Scores!$F$2:$F$910, 0))</f>
        <v>New</v>
      </c>
      <c r="I484" s="4">
        <f>INDEX(Scores!$E$2:$E$910, MATCH('Next Gen'!$A484, Scores!$F$2:$F$910, 0))</f>
        <v>46197</v>
      </c>
    </row>
    <row r="485" spans="1:9">
      <c r="A485" s="1">
        <v>287</v>
      </c>
      <c r="B485" s="1" t="s">
        <v>4</v>
      </c>
      <c r="C485" s="1">
        <v>8</v>
      </c>
      <c r="D485" s="1">
        <v>8</v>
      </c>
      <c r="E485" s="1">
        <v>8</v>
      </c>
      <c r="F485" s="17">
        <f>SUMIF(Scores!$F$2:$F$910, 'Next Gen'!$A485, INDEX(Scores!$I$2:$Q$910, 0, MATCH($B485, Scores!$I$1:$Q$1, 0)))</f>
        <v>16</v>
      </c>
      <c r="G485" s="1">
        <f>INDEX(Scores!$B$2:$B$910, MATCH('Next Gen'!$A485, Scores!$F$2:$F$910, 0))</f>
        <v>256</v>
      </c>
      <c r="H485" s="17" t="str">
        <f>INDEX(Scores!$D$2:$D$910, MATCH('Next Gen'!$A485, Scores!$F$2:$F$910, 0))</f>
        <v>New</v>
      </c>
      <c r="I485" s="4">
        <f>INDEX(Scores!$E$2:$E$910, MATCH('Next Gen'!$A485, Scores!$F$2:$F$910, 0))</f>
        <v>46197</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2026-06-24T19:07:31Z</dcterms:modified>
</cp:coreProperties>
</file>