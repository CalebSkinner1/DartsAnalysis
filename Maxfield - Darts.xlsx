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F1402796-3A4C-B549-B603-9F4F084D14C5}"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5" i="2" l="1"/>
  <c r="G435" i="2"/>
  <c r="F435" i="2"/>
  <c r="H434" i="2"/>
  <c r="G434" i="2"/>
  <c r="F434" i="2"/>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E813" i="1"/>
  <c r="E816" i="1" s="1"/>
  <c r="E819" i="1" s="1"/>
  <c r="E800" i="1"/>
  <c r="E803" i="1" s="1"/>
  <c r="E806" i="1" s="1"/>
  <c r="E809" i="1" s="1"/>
  <c r="E812" i="1" s="1"/>
  <c r="E815" i="1" s="1"/>
  <c r="E818" i="1" s="1"/>
  <c r="E781" i="1"/>
  <c r="E784" i="1" s="1"/>
  <c r="E787" i="1" s="1"/>
  <c r="E790" i="1" s="1"/>
  <c r="E793" i="1" s="1"/>
  <c r="E796" i="1" s="1"/>
  <c r="E799" i="1" s="1"/>
  <c r="E802" i="1" s="1"/>
  <c r="E805" i="1" s="1"/>
  <c r="E808" i="1" s="1"/>
  <c r="E811" i="1" s="1"/>
  <c r="E814" i="1" s="1"/>
  <c r="E817"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11" i="8" l="1"/>
  <c r="L12" i="8" s="1"/>
  <c r="L13" i="8" s="1"/>
  <c r="L14" i="8" s="1"/>
  <c r="L15" i="8" s="1"/>
  <c r="L16" i="8" s="1"/>
  <c r="L17" i="8" s="1"/>
  <c r="L18" i="8" s="1"/>
  <c r="L19" i="8" s="1"/>
  <c r="L20" i="8" s="1"/>
  <c r="L21" i="8" s="1"/>
  <c r="L22" i="8" s="1"/>
  <c r="L23"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32" i="2" l="1"/>
  <c r="H433" i="2"/>
  <c r="G432" i="2"/>
  <c r="F433" i="2"/>
  <c r="G433" i="2"/>
  <c r="F432" i="2"/>
  <c r="H431" i="2"/>
  <c r="F431" i="2"/>
  <c r="G431" i="2"/>
  <c r="H430" i="2"/>
  <c r="G430" i="2"/>
  <c r="F430" i="2"/>
  <c r="G428" i="2"/>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<sst xmlns="http://schemas.openxmlformats.org/spreadsheetml/2006/main" count="13241" uniqueCount="122">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</sst>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19"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35"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26:P832"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19" totalsRowShown="0" headerRowDxfId="63" dataDxfId="62">
  <autoFilter ref="A1:P819"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35" totalsRowShown="0" headerRowDxfId="9" dataDxfId="8">
  <autoFilter ref="A1:H435"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SUMIF(Scores!$E$2:$E$820, 'Next Gen'!$A2, INDEX(Scores!$H$2:$P$820, 0, MATCH($B2, Scores!$H$1:$P$1, 0)))</calculatedColumnFormula>
    </tableColumn>
    <tableColumn id="7" xr3:uid="{E1D45752-B283-7044-A69E-B797A489B2F0}" name="Height" dataDxfId="1">
      <calculatedColumnFormula>INDEX(Scores!$B$2:$B$820, MATCH('Next Gen'!$A2, Scores!$E$2:$E$820, 0))</calculatedColumnFormula>
    </tableColumn>
    <tableColumn id="8" xr3:uid="{A55A80CE-B43A-9641-B9D6-DEC71D585B97}" name="Date" dataDxfId="0">
      <calculatedColumnFormula>INDEX(Scores!$D$2:$D$820, MATCH('Next Gen'!$A2, Scores!$E$2:$E$820,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73"/>
  <sheetViews>
    <sheetView workbookViewId="0">
      <pane ySplit="1" topLeftCell="A792" activePane="bottomLeft" state="frozen"/>
      <selection pane="bottomLeft" activeCell="I819" sqref="I819"/>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19"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16">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16">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16">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16">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16">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16">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16">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16">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16">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16">
      <c r="A810" s="1" t="s">
        <v>25</v>
      </c>
      <c r="B810" s="1">
        <v>256</v>
      </c>
      <c r="C810" s="1" t="s">
        <v>116</v>
      </c>
      <c r="D810" s="4">
        <v>46058</v>
      </c>
      <c r="E810" s="2">
        <v>260</v>
      </c>
      <c r="F810" s="2" t="s">
        <v>82</v>
      </c>
      <c r="G810" s="1" t="s">
        <v>9</v>
      </c>
      <c r="H810" s="1">
        <v>7</v>
      </c>
      <c r="I810" s="1">
        <v>2</v>
      </c>
      <c r="J810" s="2"/>
      <c r="K810" s="2"/>
      <c r="L810" s="2"/>
      <c r="M810" s="2"/>
      <c r="N810" s="2"/>
      <c r="O810" s="2"/>
      <c r="P810" s="2"/>
    </row>
    <row r="811" spans="1:16">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16">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16">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16">
      <c r="A814" s="1" t="s">
        <v>25</v>
      </c>
      <c r="B814" s="1">
        <v>256</v>
      </c>
      <c r="C814" s="1" t="s">
        <v>116</v>
      </c>
      <c r="D814" s="4">
        <v>46063</v>
      </c>
      <c r="E814" s="2">
        <f t="shared" si="25"/>
        <v>262</v>
      </c>
      <c r="F814" s="2">
        <v>1</v>
      </c>
      <c r="G814" s="1" t="s">
        <v>9</v>
      </c>
      <c r="H814" s="1">
        <v>7</v>
      </c>
      <c r="I814" s="1">
        <v>1</v>
      </c>
      <c r="J814" s="2"/>
      <c r="K814" s="2"/>
      <c r="L814" s="2"/>
      <c r="M814" s="2"/>
      <c r="N814" s="2"/>
      <c r="O814" s="2"/>
      <c r="P814" s="2"/>
    </row>
    <row r="815" spans="1:16">
      <c r="A815" s="1" t="s">
        <v>25</v>
      </c>
      <c r="B815" s="1">
        <v>256</v>
      </c>
      <c r="C815" s="1" t="s">
        <v>116</v>
      </c>
      <c r="D815" s="4">
        <v>46063</v>
      </c>
      <c r="E815" s="2">
        <f t="shared" si="25"/>
        <v>262</v>
      </c>
      <c r="F815" s="2">
        <v>2</v>
      </c>
      <c r="G815" s="1" t="s">
        <v>9</v>
      </c>
      <c r="H815" s="1">
        <v>8</v>
      </c>
      <c r="I815" s="1">
        <v>3</v>
      </c>
      <c r="J815" s="2"/>
      <c r="K815" s="2"/>
      <c r="L815" s="2"/>
      <c r="M815" s="2"/>
      <c r="N815" s="2"/>
      <c r="O815" s="2"/>
      <c r="P815" s="2"/>
    </row>
    <row r="816" spans="1:16">
      <c r="A816" s="1" t="s">
        <v>25</v>
      </c>
      <c r="B816" s="1">
        <v>256</v>
      </c>
      <c r="C816" s="1" t="s">
        <v>116</v>
      </c>
      <c r="D816" s="4">
        <v>46063</v>
      </c>
      <c r="E816" s="2">
        <f t="shared" si="25"/>
        <v>262</v>
      </c>
      <c r="F816" s="2">
        <v>3</v>
      </c>
      <c r="G816" s="1" t="s">
        <v>9</v>
      </c>
      <c r="H816" s="1">
        <v>6</v>
      </c>
      <c r="I816" s="1">
        <v>2</v>
      </c>
      <c r="J816" s="2"/>
      <c r="K816" s="2"/>
      <c r="L816" s="2"/>
      <c r="M816" s="2"/>
      <c r="N816" s="2"/>
      <c r="O816" s="2"/>
      <c r="P816" s="2"/>
    </row>
    <row r="817" spans="1:27">
      <c r="A817" s="1" t="s">
        <v>25</v>
      </c>
      <c r="B817" s="1">
        <v>256</v>
      </c>
      <c r="C817" s="1" t="s">
        <v>116</v>
      </c>
      <c r="D817" s="4">
        <v>46071</v>
      </c>
      <c r="E817" s="2">
        <f t="shared" si="25"/>
        <v>263</v>
      </c>
      <c r="F817" s="2">
        <v>1</v>
      </c>
      <c r="G817" s="1" t="s">
        <v>9</v>
      </c>
      <c r="H817" s="1">
        <v>5</v>
      </c>
      <c r="I817" s="1">
        <v>2</v>
      </c>
      <c r="J817" s="2"/>
      <c r="K817" s="2"/>
      <c r="L817" s="2"/>
      <c r="M817" s="2"/>
      <c r="N817" s="2"/>
      <c r="O817" s="2"/>
      <c r="P817" s="2"/>
    </row>
    <row r="818" spans="1:27">
      <c r="A818" s="1" t="s">
        <v>25</v>
      </c>
      <c r="B818" s="1">
        <v>256</v>
      </c>
      <c r="C818" s="1" t="s">
        <v>116</v>
      </c>
      <c r="D818" s="4">
        <v>46071</v>
      </c>
      <c r="E818" s="2">
        <f t="shared" si="25"/>
        <v>263</v>
      </c>
      <c r="F818" s="2">
        <v>2</v>
      </c>
      <c r="G818" s="1" t="s">
        <v>9</v>
      </c>
      <c r="H818" s="1">
        <v>2</v>
      </c>
      <c r="I818" s="1">
        <v>0</v>
      </c>
      <c r="J818" s="2"/>
      <c r="K818" s="2"/>
      <c r="L818" s="2"/>
      <c r="M818" s="2"/>
      <c r="N818" s="2"/>
      <c r="O818" s="2"/>
      <c r="P818" s="2"/>
    </row>
    <row r="819" spans="1:27">
      <c r="A819" s="1" t="s">
        <v>25</v>
      </c>
      <c r="B819" s="1">
        <v>256</v>
      </c>
      <c r="C819" s="1" t="s">
        <v>116</v>
      </c>
      <c r="D819" s="4">
        <v>46071</v>
      </c>
      <c r="E819" s="2">
        <f t="shared" si="25"/>
        <v>263</v>
      </c>
      <c r="F819" s="2">
        <v>3</v>
      </c>
      <c r="G819" s="1" t="s">
        <v>9</v>
      </c>
      <c r="H819" s="1">
        <v>6</v>
      </c>
      <c r="I819" s="1">
        <v>2</v>
      </c>
      <c r="J819" s="2"/>
      <c r="K819" s="2"/>
      <c r="L819" s="2"/>
      <c r="M819" s="2"/>
      <c r="N819" s="2"/>
      <c r="O819" s="2"/>
      <c r="P819" s="2"/>
    </row>
    <row r="820" spans="1:27">
      <c r="F820" s="2"/>
    </row>
    <row r="821" spans="1:27">
      <c r="Q821"/>
      <c r="R821"/>
      <c r="S821"/>
      <c r="T821"/>
      <c r="U821"/>
      <c r="V821"/>
      <c r="W821"/>
      <c r="X821"/>
      <c r="Y821"/>
      <c r="Z821"/>
      <c r="AA821"/>
    </row>
    <row r="822" spans="1:27">
      <c r="G822" s="5" t="s">
        <v>90</v>
      </c>
      <c r="H822" t="s">
        <v>25</v>
      </c>
      <c r="Q822"/>
      <c r="R822"/>
      <c r="S822"/>
      <c r="T822"/>
      <c r="U822"/>
      <c r="V822"/>
      <c r="W822"/>
      <c r="X822"/>
      <c r="Y822"/>
      <c r="Z822"/>
      <c r="AA822"/>
    </row>
    <row r="823" spans="1:27">
      <c r="G823" s="5" t="s">
        <v>63</v>
      </c>
      <c r="H823" t="s">
        <v>20</v>
      </c>
      <c r="Q823"/>
      <c r="R823"/>
      <c r="S823"/>
      <c r="T823"/>
      <c r="U823"/>
      <c r="V823"/>
      <c r="W823"/>
      <c r="X823"/>
      <c r="Y823"/>
      <c r="Z823"/>
      <c r="AA823"/>
    </row>
    <row r="824" spans="1:27">
      <c r="G824" s="5" t="s">
        <v>91</v>
      </c>
      <c r="H824" t="s">
        <v>16</v>
      </c>
      <c r="Q824"/>
      <c r="R824"/>
      <c r="S824"/>
      <c r="T824"/>
      <c r="U824"/>
      <c r="V824"/>
      <c r="W824"/>
      <c r="X824"/>
      <c r="Y824"/>
      <c r="Z824"/>
      <c r="AA824"/>
    </row>
    <row r="825" spans="1:27">
      <c r="Q825"/>
      <c r="R825"/>
      <c r="S825"/>
      <c r="T825"/>
      <c r="U825"/>
      <c r="V825"/>
      <c r="W825"/>
    </row>
    <row r="826" spans="1:27">
      <c r="G826" s="5" t="s">
        <v>2</v>
      </c>
      <c r="H826" t="s">
        <v>46</v>
      </c>
      <c r="I826" t="s">
        <v>47</v>
      </c>
      <c r="J826" t="s">
        <v>48</v>
      </c>
      <c r="K826" t="s">
        <v>49</v>
      </c>
      <c r="L826" t="s">
        <v>50</v>
      </c>
      <c r="M826" t="s">
        <v>51</v>
      </c>
      <c r="N826" t="s">
        <v>52</v>
      </c>
      <c r="O826" t="s">
        <v>101</v>
      </c>
      <c r="P826" t="s">
        <v>120</v>
      </c>
      <c r="Q826"/>
      <c r="R826"/>
      <c r="S826"/>
      <c r="T826"/>
      <c r="U826"/>
      <c r="V826"/>
      <c r="W826"/>
      <c r="X826"/>
    </row>
    <row r="827" spans="1:27">
      <c r="G827" s="6">
        <v>1</v>
      </c>
      <c r="H827" s="7">
        <v>2.5849056603773586</v>
      </c>
      <c r="I827" s="7">
        <v>1.3738317757009346</v>
      </c>
      <c r="J827" s="7">
        <v>1.5384615384615385</v>
      </c>
      <c r="K827" s="7">
        <v>0.69230769230769229</v>
      </c>
      <c r="L827" s="7"/>
      <c r="M827">
        <v>0</v>
      </c>
      <c r="N827" s="7">
        <v>1</v>
      </c>
      <c r="O827" s="7">
        <v>1.0666666666666667</v>
      </c>
      <c r="P827"/>
      <c r="Q827" s="6"/>
      <c r="R827"/>
      <c r="S827"/>
      <c r="T827"/>
      <c r="U827"/>
      <c r="V827"/>
      <c r="W827"/>
      <c r="X827"/>
    </row>
    <row r="828" spans="1:27">
      <c r="G828" s="6">
        <v>2</v>
      </c>
      <c r="H828" s="7">
        <v>2.3773584905660377</v>
      </c>
      <c r="I828" s="7">
        <v>1.7757009345794392</v>
      </c>
      <c r="J828" s="7">
        <v>0.84615384615384615</v>
      </c>
      <c r="K828" s="7">
        <v>1.3846153846153846</v>
      </c>
      <c r="L828" s="7"/>
      <c r="M828">
        <v>0</v>
      </c>
      <c r="N828" s="7">
        <v>1</v>
      </c>
      <c r="O828" s="7">
        <v>1.2333333333333334</v>
      </c>
      <c r="P828"/>
      <c r="Q828" s="6"/>
      <c r="R828"/>
      <c r="S828"/>
      <c r="T828"/>
      <c r="U828"/>
      <c r="V828"/>
      <c r="W828"/>
      <c r="X828"/>
    </row>
    <row r="829" spans="1:27">
      <c r="G829" s="6">
        <v>3</v>
      </c>
      <c r="H829" s="7">
        <v>2.8018867924528301</v>
      </c>
      <c r="I829" s="7">
        <v>1.7102803738317758</v>
      </c>
      <c r="J829" s="7">
        <v>1.2692307692307692</v>
      </c>
      <c r="K829" s="7">
        <v>1.3076923076923077</v>
      </c>
      <c r="L829" s="7"/>
      <c r="M829">
        <v>0</v>
      </c>
      <c r="N829" s="7">
        <v>0</v>
      </c>
      <c r="O829" s="7">
        <v>1.2</v>
      </c>
      <c r="P829"/>
      <c r="Q829" s="6"/>
      <c r="R829"/>
      <c r="S829"/>
      <c r="T829"/>
      <c r="U829"/>
      <c r="V829"/>
      <c r="W829"/>
      <c r="X829"/>
    </row>
    <row r="830" spans="1:27">
      <c r="A830"/>
      <c r="B830"/>
      <c r="C830"/>
      <c r="D830"/>
      <c r="E830"/>
      <c r="F830"/>
      <c r="G830" s="6" t="s">
        <v>82</v>
      </c>
      <c r="H830" s="7">
        <v>2.7142857142857144</v>
      </c>
      <c r="I830" s="7">
        <v>2.5</v>
      </c>
      <c r="J830" s="7">
        <v>3</v>
      </c>
      <c r="K830" s="7"/>
      <c r="L830" s="7"/>
      <c r="M830"/>
      <c r="N830" s="7"/>
      <c r="O830" s="7">
        <v>0.5</v>
      </c>
      <c r="P830"/>
      <c r="Q830" s="6"/>
      <c r="R830"/>
      <c r="S830"/>
      <c r="T830"/>
      <c r="U830"/>
      <c r="V830"/>
      <c r="W830"/>
      <c r="X830"/>
    </row>
    <row r="831" spans="1:27">
      <c r="A831"/>
      <c r="B831"/>
      <c r="C831"/>
      <c r="D831"/>
      <c r="E831"/>
      <c r="F831"/>
      <c r="G831" s="6" t="s">
        <v>83</v>
      </c>
      <c r="H831" s="7">
        <v>5</v>
      </c>
      <c r="I831" s="7">
        <v>2</v>
      </c>
      <c r="J831" s="7">
        <v>1</v>
      </c>
      <c r="K831" s="7"/>
      <c r="L831" s="7"/>
      <c r="M831"/>
      <c r="N831" s="7"/>
      <c r="O831" s="7"/>
      <c r="P831"/>
      <c r="Q831" s="6"/>
      <c r="R831"/>
      <c r="S831"/>
      <c r="T831"/>
      <c r="U831"/>
      <c r="V831"/>
      <c r="W831"/>
      <c r="X831"/>
    </row>
    <row r="832" spans="1:27">
      <c r="A832"/>
      <c r="B832"/>
      <c r="C832"/>
      <c r="D832"/>
      <c r="E832"/>
      <c r="F832"/>
      <c r="G832" s="6" t="s">
        <v>38</v>
      </c>
      <c r="H832" s="7">
        <v>2.5981595092024539</v>
      </c>
      <c r="I832" s="7">
        <v>1.6486486486486487</v>
      </c>
      <c r="J832" s="7">
        <v>1.2375</v>
      </c>
      <c r="K832" s="7">
        <v>1.1282051282051282</v>
      </c>
      <c r="L832" s="7"/>
      <c r="M832">
        <v>0</v>
      </c>
      <c r="N832" s="7">
        <v>0.66666666666666663</v>
      </c>
      <c r="O832" s="7">
        <v>1.1521739130434783</v>
      </c>
      <c r="P832"/>
      <c r="Q832" s="6"/>
      <c r="R832"/>
      <c r="S832"/>
      <c r="T832"/>
      <c r="U832"/>
      <c r="V832"/>
      <c r="W832"/>
      <c r="X832"/>
    </row>
    <row r="833" spans="1:23">
      <c r="A833"/>
      <c r="B833"/>
      <c r="C833"/>
      <c r="D833"/>
      <c r="E833"/>
      <c r="F833"/>
      <c r="G833"/>
      <c r="H833"/>
      <c r="I833"/>
      <c r="J833"/>
      <c r="K833"/>
      <c r="L833"/>
      <c r="M833"/>
      <c r="N833"/>
      <c r="O833"/>
      <c r="P833"/>
      <c r="Q833"/>
      <c r="R833"/>
      <c r="S833"/>
      <c r="T833"/>
      <c r="U833"/>
      <c r="V833"/>
      <c r="W833"/>
    </row>
    <row r="834" spans="1:23">
      <c r="A834"/>
      <c r="B834"/>
      <c r="C834"/>
      <c r="D834"/>
      <c r="E834"/>
      <c r="F834"/>
      <c r="G834"/>
      <c r="H834"/>
      <c r="I834"/>
      <c r="J834"/>
      <c r="K834"/>
      <c r="L834"/>
      <c r="M834"/>
      <c r="N834"/>
      <c r="O834"/>
      <c r="P834"/>
      <c r="Q834"/>
      <c r="R834"/>
      <c r="S834"/>
      <c r="T834"/>
      <c r="U834"/>
      <c r="V834"/>
      <c r="W834"/>
    </row>
    <row r="835" spans="1:23">
      <c r="A835"/>
      <c r="B835"/>
      <c r="C835"/>
      <c r="D835"/>
      <c r="E835"/>
      <c r="F835"/>
      <c r="G835"/>
      <c r="H835"/>
      <c r="I835"/>
      <c r="J835"/>
      <c r="K835"/>
      <c r="L835"/>
      <c r="M835"/>
      <c r="N835"/>
      <c r="O835"/>
      <c r="P835"/>
      <c r="Q835"/>
      <c r="R835"/>
    </row>
    <row r="836" spans="1:23">
      <c r="A836"/>
      <c r="B836"/>
      <c r="C836"/>
      <c r="D836"/>
      <c r="E836"/>
      <c r="F836"/>
      <c r="G836"/>
      <c r="H836"/>
      <c r="I836"/>
      <c r="J836"/>
      <c r="K836"/>
      <c r="L836"/>
      <c r="M836"/>
      <c r="N836"/>
      <c r="O836"/>
      <c r="P836"/>
      <c r="Q836"/>
      <c r="R836"/>
    </row>
    <row r="837" spans="1:23">
      <c r="A837"/>
      <c r="B837"/>
      <c r="C837"/>
      <c r="D837"/>
      <c r="E837"/>
      <c r="F837"/>
      <c r="G837"/>
      <c r="H837"/>
      <c r="I837"/>
      <c r="J837"/>
      <c r="K837"/>
      <c r="L837"/>
      <c r="M837"/>
      <c r="N837"/>
      <c r="O837"/>
      <c r="P837"/>
      <c r="Q837"/>
      <c r="R837"/>
    </row>
    <row r="838" spans="1:23">
      <c r="A838"/>
      <c r="B838"/>
      <c r="C838"/>
      <c r="D838"/>
      <c r="E838"/>
      <c r="F838"/>
      <c r="G838"/>
      <c r="H838"/>
      <c r="I838"/>
      <c r="J838"/>
      <c r="K838"/>
      <c r="L838"/>
      <c r="M838"/>
      <c r="N838"/>
      <c r="O838"/>
      <c r="P838"/>
      <c r="Q838"/>
      <c r="R838"/>
    </row>
    <row r="839" spans="1:23">
      <c r="A839"/>
      <c r="B839"/>
      <c r="C839"/>
      <c r="D839"/>
      <c r="E839"/>
      <c r="F839"/>
      <c r="G839"/>
      <c r="H839"/>
      <c r="I839"/>
      <c r="J839"/>
      <c r="K839"/>
      <c r="L839"/>
      <c r="M839"/>
      <c r="N839"/>
      <c r="O839"/>
      <c r="P839"/>
      <c r="Q839"/>
      <c r="R839"/>
    </row>
    <row r="840" spans="1:23">
      <c r="A840"/>
      <c r="B840"/>
      <c r="C840"/>
      <c r="D840"/>
      <c r="E840"/>
      <c r="F840"/>
      <c r="G840"/>
      <c r="H840"/>
      <c r="I840"/>
      <c r="J840"/>
      <c r="K840"/>
      <c r="L840"/>
      <c r="M840"/>
      <c r="N840"/>
      <c r="O840"/>
      <c r="P840"/>
      <c r="Q840"/>
      <c r="R840"/>
    </row>
    <row r="841" spans="1:23">
      <c r="A841"/>
      <c r="B841"/>
      <c r="C841"/>
      <c r="D841"/>
      <c r="E841"/>
      <c r="F841"/>
      <c r="G841"/>
      <c r="H841"/>
      <c r="I841"/>
      <c r="J841"/>
      <c r="K841"/>
      <c r="L841"/>
      <c r="M841"/>
      <c r="N841"/>
      <c r="O841"/>
      <c r="P841"/>
      <c r="Q841"/>
      <c r="R841"/>
    </row>
    <row r="842" spans="1:23">
      <c r="A842"/>
      <c r="B842"/>
      <c r="C842"/>
      <c r="D842"/>
      <c r="E842"/>
      <c r="F842"/>
      <c r="G842"/>
      <c r="H842"/>
      <c r="I842"/>
      <c r="J842"/>
      <c r="K842"/>
      <c r="L842"/>
      <c r="M842"/>
      <c r="N842"/>
      <c r="O842"/>
      <c r="P842"/>
      <c r="Q842"/>
      <c r="R842"/>
    </row>
    <row r="843" spans="1:23">
      <c r="A843"/>
      <c r="B843"/>
      <c r="C843"/>
      <c r="D843"/>
      <c r="E843"/>
      <c r="F843"/>
      <c r="G843"/>
      <c r="H843"/>
      <c r="I843"/>
      <c r="J843"/>
      <c r="K843"/>
      <c r="L843"/>
      <c r="M843"/>
      <c r="N843"/>
      <c r="O843"/>
      <c r="P843"/>
      <c r="Q843"/>
      <c r="R843"/>
    </row>
    <row r="844" spans="1:23">
      <c r="A844"/>
      <c r="B844"/>
      <c r="C844"/>
      <c r="D844"/>
      <c r="E844"/>
      <c r="F844"/>
      <c r="G844"/>
      <c r="H844"/>
      <c r="I844"/>
      <c r="J844"/>
      <c r="K844"/>
      <c r="L844"/>
      <c r="M844"/>
      <c r="N844"/>
      <c r="O844"/>
      <c r="P844"/>
      <c r="Q844"/>
      <c r="R844"/>
    </row>
    <row r="845" spans="1:23">
      <c r="A845"/>
      <c r="B845"/>
      <c r="C845"/>
      <c r="D845"/>
      <c r="E845"/>
      <c r="F845"/>
      <c r="G845"/>
      <c r="H845"/>
      <c r="I845"/>
      <c r="J845"/>
      <c r="K845"/>
      <c r="L845"/>
      <c r="M845"/>
      <c r="N845"/>
      <c r="O845"/>
      <c r="P845"/>
      <c r="Q845"/>
      <c r="R845"/>
    </row>
    <row r="846" spans="1:23">
      <c r="A846"/>
      <c r="B846"/>
      <c r="C846"/>
      <c r="D846"/>
      <c r="E846"/>
      <c r="F846"/>
      <c r="G846"/>
      <c r="H846"/>
      <c r="I846"/>
      <c r="J846"/>
      <c r="K846"/>
      <c r="L846"/>
      <c r="M846"/>
      <c r="N846"/>
      <c r="O846"/>
      <c r="P846"/>
      <c r="Q846"/>
      <c r="R846"/>
    </row>
    <row r="847" spans="1:23">
      <c r="A847"/>
      <c r="B847"/>
      <c r="C847"/>
      <c r="D847"/>
      <c r="E847"/>
      <c r="F847"/>
      <c r="G847"/>
      <c r="H847"/>
      <c r="I847"/>
      <c r="J847"/>
      <c r="K847"/>
      <c r="L847"/>
      <c r="M847"/>
      <c r="N847"/>
      <c r="O847"/>
      <c r="P847"/>
      <c r="Q847"/>
      <c r="R847"/>
    </row>
    <row r="848" spans="1:23">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c r="R874"/>
    </row>
    <row r="875" spans="1:18">
      <c r="A875"/>
      <c r="B875"/>
      <c r="C875"/>
      <c r="D875"/>
      <c r="E875"/>
      <c r="F875"/>
      <c r="G875"/>
      <c r="H875"/>
      <c r="I875"/>
      <c r="J875"/>
      <c r="K875"/>
      <c r="L875"/>
      <c r="M875"/>
      <c r="N875"/>
      <c r="O875"/>
      <c r="P875"/>
      <c r="Q875"/>
      <c r="R875"/>
    </row>
    <row r="876" spans="1:18">
      <c r="A876"/>
      <c r="B876"/>
      <c r="C876"/>
      <c r="D876"/>
      <c r="E876"/>
      <c r="F876"/>
      <c r="G876"/>
      <c r="H876"/>
      <c r="I876"/>
      <c r="J876"/>
      <c r="K876"/>
      <c r="L876"/>
      <c r="M876"/>
      <c r="N876"/>
      <c r="O876"/>
      <c r="P876"/>
      <c r="Q876"/>
      <c r="R876"/>
    </row>
    <row r="877" spans="1:18">
      <c r="A877"/>
      <c r="B877"/>
      <c r="C877"/>
      <c r="D877"/>
      <c r="E877"/>
      <c r="F877"/>
      <c r="G877"/>
      <c r="H877"/>
      <c r="I877"/>
      <c r="J877"/>
      <c r="K877"/>
      <c r="L877"/>
      <c r="M877"/>
      <c r="N877"/>
      <c r="O877"/>
      <c r="P877"/>
      <c r="Q877"/>
      <c r="R877"/>
    </row>
    <row r="878" spans="1:18">
      <c r="A878"/>
      <c r="B878"/>
      <c r="C878"/>
      <c r="D878"/>
      <c r="E878"/>
      <c r="F878"/>
      <c r="G878"/>
      <c r="H878"/>
      <c r="I878"/>
      <c r="J878"/>
      <c r="K878"/>
      <c r="L878"/>
      <c r="M878"/>
      <c r="N878"/>
      <c r="O878"/>
      <c r="P878"/>
      <c r="Q878"/>
      <c r="R878"/>
    </row>
    <row r="879" spans="1:18">
      <c r="A879"/>
      <c r="B879"/>
      <c r="C879"/>
      <c r="D879"/>
      <c r="E879"/>
      <c r="F879"/>
      <c r="G879"/>
      <c r="H879"/>
      <c r="I879"/>
      <c r="J879"/>
      <c r="K879"/>
      <c r="L879"/>
      <c r="M879"/>
      <c r="N879"/>
      <c r="O879"/>
      <c r="P879"/>
      <c r="Q879"/>
      <c r="R879"/>
    </row>
    <row r="880" spans="1:18">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c r="Q1048"/>
    </row>
    <row r="1049" spans="1:17">
      <c r="A1049"/>
      <c r="B1049"/>
      <c r="C1049"/>
      <c r="D1049"/>
      <c r="E1049"/>
      <c r="F1049"/>
      <c r="G1049"/>
      <c r="H1049"/>
      <c r="I1049"/>
      <c r="J1049"/>
      <c r="K1049"/>
      <c r="L1049"/>
      <c r="M1049"/>
      <c r="N1049"/>
      <c r="O1049"/>
      <c r="P1049"/>
      <c r="Q1049"/>
    </row>
    <row r="1050" spans="1:17">
      <c r="A1050"/>
      <c r="B1050"/>
      <c r="C1050"/>
      <c r="D1050"/>
      <c r="E1050"/>
      <c r="F1050"/>
      <c r="G1050"/>
      <c r="H1050"/>
      <c r="I1050"/>
      <c r="J1050"/>
      <c r="K1050"/>
      <c r="L1050"/>
      <c r="M1050"/>
      <c r="N1050"/>
      <c r="O1050"/>
      <c r="P1050"/>
      <c r="Q1050"/>
    </row>
    <row r="1051" spans="1:17">
      <c r="A1051"/>
      <c r="B1051"/>
      <c r="C1051"/>
      <c r="D1051"/>
      <c r="E1051"/>
      <c r="F1051"/>
      <c r="G1051"/>
      <c r="H1051"/>
      <c r="I1051"/>
      <c r="J1051"/>
      <c r="K1051"/>
      <c r="L1051"/>
      <c r="M1051"/>
      <c r="N1051"/>
      <c r="O1051"/>
      <c r="P1051"/>
      <c r="Q1051"/>
    </row>
    <row r="1052" spans="1:17">
      <c r="A1052"/>
      <c r="B1052"/>
      <c r="C1052"/>
      <c r="D1052"/>
      <c r="E1052"/>
      <c r="F1052"/>
      <c r="G1052"/>
      <c r="H1052"/>
      <c r="I1052"/>
      <c r="J1052"/>
      <c r="K1052"/>
      <c r="L1052"/>
      <c r="M1052"/>
      <c r="N1052"/>
      <c r="O1052"/>
      <c r="P1052"/>
      <c r="Q1052"/>
    </row>
    <row r="1053" spans="1:17">
      <c r="A1053"/>
      <c r="B1053"/>
      <c r="C1053"/>
      <c r="D1053"/>
      <c r="E1053"/>
      <c r="F1053"/>
      <c r="G1053"/>
      <c r="H1053"/>
      <c r="I1053"/>
      <c r="J1053"/>
      <c r="K1053"/>
      <c r="L1053"/>
      <c r="M1053"/>
      <c r="N1053"/>
      <c r="O1053"/>
      <c r="P1053"/>
      <c r="Q1053"/>
    </row>
    <row r="1054" spans="1:17">
      <c r="A1054"/>
      <c r="B1054"/>
      <c r="C1054"/>
      <c r="D1054"/>
      <c r="E1054"/>
      <c r="F1054"/>
      <c r="G1054"/>
      <c r="H1054"/>
      <c r="I1054"/>
      <c r="J1054"/>
      <c r="K1054"/>
      <c r="L1054"/>
      <c r="M1054"/>
      <c r="N1054"/>
      <c r="O1054"/>
      <c r="P1054"/>
    </row>
    <row r="1055" spans="1:17">
      <c r="A1055"/>
      <c r="B1055"/>
      <c r="C1055"/>
      <c r="D1055"/>
      <c r="E1055"/>
      <c r="F1055"/>
      <c r="G1055"/>
      <c r="H1055"/>
      <c r="I1055"/>
      <c r="J1055"/>
      <c r="K1055"/>
      <c r="L1055"/>
      <c r="M1055"/>
      <c r="N1055"/>
      <c r="O1055"/>
      <c r="P1055"/>
    </row>
    <row r="1056" spans="1:17">
      <c r="A1056"/>
      <c r="B1056"/>
      <c r="C1056"/>
      <c r="D1056"/>
      <c r="E1056"/>
      <c r="F1056"/>
      <c r="G1056"/>
      <c r="H1056"/>
      <c r="I1056"/>
      <c r="J1056"/>
      <c r="K1056"/>
      <c r="L1056"/>
      <c r="M1056"/>
      <c r="N1056"/>
      <c r="O1056"/>
      <c r="P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c r="G1152"/>
      <c r="H1152"/>
      <c r="I1152"/>
      <c r="J1152"/>
      <c r="K1152"/>
    </row>
    <row r="1153" spans="1:11">
      <c r="A1153"/>
      <c r="B1153"/>
      <c r="C1153"/>
      <c r="D1153"/>
      <c r="E1153"/>
      <c r="F1153"/>
      <c r="G1153"/>
      <c r="H1153"/>
      <c r="I1153"/>
      <c r="J1153"/>
      <c r="K1153"/>
    </row>
    <row r="1154" spans="1:11">
      <c r="A1154"/>
      <c r="B1154"/>
      <c r="C1154"/>
      <c r="D1154"/>
      <c r="E1154"/>
      <c r="F1154"/>
      <c r="G1154"/>
      <c r="H1154"/>
      <c r="I1154"/>
      <c r="J1154"/>
      <c r="K1154"/>
    </row>
    <row r="1155" spans="1:11">
      <c r="A1155"/>
      <c r="B1155"/>
      <c r="C1155"/>
      <c r="D1155"/>
      <c r="E1155"/>
      <c r="F1155"/>
      <c r="G1155"/>
      <c r="H1155"/>
      <c r="I1155"/>
      <c r="J1155"/>
      <c r="K1155"/>
    </row>
    <row r="1156" spans="1:11">
      <c r="A1156"/>
      <c r="B1156"/>
      <c r="C1156"/>
      <c r="D1156"/>
      <c r="E1156"/>
      <c r="F1156"/>
      <c r="G1156"/>
      <c r="H1156"/>
      <c r="I1156"/>
      <c r="J1156"/>
      <c r="K1156"/>
    </row>
    <row r="1157" spans="1:11">
      <c r="A1157"/>
      <c r="B1157"/>
      <c r="C1157"/>
      <c r="D1157"/>
      <c r="E1157"/>
      <c r="F1157"/>
      <c r="G1157"/>
      <c r="H1157"/>
      <c r="I1157"/>
      <c r="J1157"/>
      <c r="K1157"/>
    </row>
    <row r="1158" spans="1:11">
      <c r="A1158"/>
      <c r="B1158"/>
      <c r="C1158"/>
      <c r="D1158"/>
      <c r="E1158"/>
      <c r="F1158"/>
    </row>
    <row r="1159" spans="1:11">
      <c r="A1159"/>
      <c r="B1159"/>
      <c r="C1159"/>
      <c r="D1159"/>
      <c r="E1159"/>
      <c r="F1159"/>
    </row>
    <row r="1160" spans="1:11">
      <c r="A1160"/>
      <c r="B1160"/>
      <c r="C1160"/>
      <c r="D1160"/>
      <c r="E1160"/>
      <c r="F1160"/>
    </row>
    <row r="1161" spans="1:11">
      <c r="A1161"/>
      <c r="B1161"/>
      <c r="C1161"/>
      <c r="D1161"/>
      <c r="E1161"/>
      <c r="F1161"/>
    </row>
    <row r="1162" spans="1:11">
      <c r="A1162"/>
      <c r="B1162"/>
      <c r="C1162"/>
      <c r="D1162"/>
      <c r="E1162"/>
      <c r="F1162"/>
    </row>
    <row r="1163" spans="1:11">
      <c r="A1163"/>
      <c r="B1163"/>
      <c r="C1163"/>
      <c r="D1163"/>
      <c r="E1163"/>
      <c r="F1163"/>
    </row>
    <row r="1164" spans="1:11">
      <c r="A1164"/>
      <c r="B1164"/>
      <c r="C1164"/>
      <c r="D1164"/>
      <c r="E1164"/>
      <c r="F1164"/>
    </row>
    <row r="1165" spans="1:11">
      <c r="A1165"/>
      <c r="B1165"/>
      <c r="C1165"/>
      <c r="D1165"/>
      <c r="E1165"/>
      <c r="F1165"/>
    </row>
    <row r="1166" spans="1:11">
      <c r="A1166"/>
      <c r="B1166"/>
      <c r="C1166"/>
      <c r="D1166"/>
      <c r="E1166"/>
      <c r="F1166"/>
    </row>
    <row r="1167" spans="1:11">
      <c r="A1167"/>
      <c r="B1167"/>
      <c r="C1167"/>
      <c r="D1167"/>
      <c r="E1167"/>
      <c r="F1167"/>
    </row>
    <row r="1168" spans="1:11">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row r="1368" spans="1:6">
      <c r="A1368"/>
      <c r="B1368"/>
      <c r="C1368"/>
      <c r="D1368"/>
      <c r="E1368"/>
      <c r="F1368"/>
    </row>
    <row r="1369" spans="1:6">
      <c r="A1369"/>
      <c r="B1369"/>
      <c r="C1369"/>
      <c r="D1369"/>
      <c r="E1369"/>
      <c r="F1369"/>
    </row>
    <row r="1370" spans="1:6">
      <c r="A1370"/>
      <c r="B1370"/>
      <c r="C1370"/>
      <c r="D1370"/>
      <c r="E1370"/>
      <c r="F1370"/>
    </row>
    <row r="1371" spans="1:6">
      <c r="A1371"/>
      <c r="B1371"/>
      <c r="C1371"/>
      <c r="D1371"/>
      <c r="E1371"/>
      <c r="F1371"/>
    </row>
    <row r="1372" spans="1:6">
      <c r="A1372"/>
      <c r="B1372"/>
      <c r="C1372"/>
      <c r="D1372"/>
      <c r="E1372"/>
      <c r="F1372"/>
    </row>
    <row r="1373" spans="1:6">
      <c r="A1373"/>
      <c r="B1373"/>
      <c r="C1373"/>
      <c r="D1373"/>
      <c r="E1373"/>
      <c r="F1373"/>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35"/>
  <sheetViews>
    <sheetView tabSelected="1" zoomScale="125" workbookViewId="0">
      <pane xSplit="2" ySplit="1" topLeftCell="C421" activePane="bottomRight" state="frozen"/>
      <selection pane="topRight" activeCell="C1" sqref="C1"/>
      <selection pane="bottomLeft" activeCell="A2" sqref="A2"/>
      <selection pane="bottomRight" activeCell="F435" sqref="F435"/>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SUMIF(Scores!$E$2:$E$820, 'Next Gen'!$A2, INDEX(Scores!$H$2:$P$820, 0, MATCH($B2, Scores!$H$1:$P$1, 0)))</f>
        <v>13</v>
      </c>
      <c r="G2" s="1" t="str">
        <f>INDEX(Scores!$B$2:$B$820, MATCH('Next Gen'!$A3, Scores!$E$2:$E$820, 0))</f>
        <v>high</v>
      </c>
      <c r="H2" s="4">
        <f>INDEX(Scores!$D$2:$D$820, MATCH('Next Gen'!$A3, Scores!$E$2:$E$820, 0))</f>
        <v>45772</v>
      </c>
      <c r="K2"/>
      <c r="L2"/>
      <c r="M2"/>
      <c r="N2"/>
      <c r="O2"/>
      <c r="V2" s="1" t="s">
        <v>54</v>
      </c>
    </row>
    <row r="3" spans="1:22">
      <c r="A3" s="1">
        <v>71</v>
      </c>
      <c r="B3" s="1" t="s">
        <v>5</v>
      </c>
      <c r="C3" s="1">
        <v>9</v>
      </c>
      <c r="D3" s="1">
        <v>9</v>
      </c>
      <c r="E3" s="1">
        <v>4</v>
      </c>
      <c r="F3" s="1">
        <f>SUMIF(Scores!$E$2:$E$820, 'Next Gen'!$A3, INDEX(Scores!$H$2:$P$820, 0, MATCH($B3, Scores!$H$1:$P$1, 0)))</f>
        <v>8</v>
      </c>
      <c r="G3" s="1" t="str">
        <f>INDEX(Scores!$B$2:$B$820, MATCH('Next Gen'!$A2, Scores!$E$2:$E$820, 0))</f>
        <v>high</v>
      </c>
      <c r="H3" s="4">
        <f>INDEX(Scores!$D$2:$D$820, MATCH('Next Gen'!$A2, Scores!$E$2:$E$820,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SUMIF(Scores!$E$2:$E$820, 'Next Gen'!$A4, INDEX(Scores!$H$2:$P$820, 0, MATCH($B4, Scores!$H$1:$P$1, 0)))</f>
        <v>4</v>
      </c>
      <c r="G4" s="1" t="str">
        <f>INDEX(Scores!$B$2:$B$820, MATCH('Next Gen'!$A5, Scores!$E$2:$E$820, 0))</f>
        <v>mid</v>
      </c>
      <c r="H4" s="4">
        <f>INDEX(Scores!$D$2:$D$820, MATCH('Next Gen'!$A5, Scores!$E$2:$E$820,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SUMIF(Scores!$E$2:$E$820, 'Next Gen'!$A5, INDEX(Scores!$H$2:$P$820, 0, MATCH($B5, Scores!$H$1:$P$1, 0)))</f>
        <v>1</v>
      </c>
      <c r="G5" s="1" t="str">
        <f>INDEX(Scores!$B$2:$B$820, MATCH('Next Gen'!$A4, Scores!$E$2:$E$820, 0))</f>
        <v>mid</v>
      </c>
      <c r="H5" s="4">
        <f>INDEX(Scores!$D$2:$D$820, MATCH('Next Gen'!$A4, Scores!$E$2:$E$820,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SUMIF(Scores!$E$2:$E$820, 'Next Gen'!$A6, INDEX(Scores!$H$2:$P$820, 0, MATCH($B6, Scores!$H$1:$P$1, 0)))</f>
        <v>0</v>
      </c>
      <c r="G6" s="1" t="str">
        <f>INDEX(Scores!$B$2:$B$820, MATCH('Next Gen'!$A6, Scores!$E$2:$E$820, 0))</f>
        <v>mid</v>
      </c>
      <c r="H6" s="4">
        <f>INDEX(Scores!$D$2:$D$820, MATCH('Next Gen'!$A6, Scores!$E$2:$E$820,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SUMIF(Scores!$E$2:$E$820, 'Next Gen'!$A7, INDEX(Scores!$H$2:$P$820, 0, MATCH($B7, Scores!$H$1:$P$1, 0)))</f>
        <v>10</v>
      </c>
      <c r="G7" s="1" t="str">
        <f>INDEX(Scores!$B$2:$B$820, MATCH('Next Gen'!$A8, Scores!$E$2:$E$820, 0))</f>
        <v>high</v>
      </c>
      <c r="H7" s="4">
        <f>INDEX(Scores!$D$2:$D$820, MATCH('Next Gen'!$A8, Scores!$E$2:$E$820,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SUMIF(Scores!$E$2:$E$820, 'Next Gen'!$A8, INDEX(Scores!$H$2:$P$820, 0, MATCH($B8, Scores!$H$1:$P$1, 0)))</f>
        <v>2</v>
      </c>
      <c r="G8" s="1" t="str">
        <f>INDEX(Scores!$B$2:$B$820, MATCH('Next Gen'!$A7, Scores!$E$2:$E$820, 0))</f>
        <v>high</v>
      </c>
      <c r="H8" s="4">
        <f>INDEX(Scores!$D$2:$D$820, MATCH('Next Gen'!$A7, Scores!$E$2:$E$820,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SUMIF(Scores!$E$2:$E$820, 'Next Gen'!$A9, INDEX(Scores!$H$2:$P$820, 0, MATCH($B9, Scores!$H$1:$P$1, 0)))</f>
        <v>7</v>
      </c>
      <c r="G9" s="1" t="str">
        <f>INDEX(Scores!$B$2:$B$820, MATCH('Next Gen'!$A10, Scores!$E$2:$E$820, 0))</f>
        <v>low</v>
      </c>
      <c r="H9" s="4">
        <f>INDEX(Scores!$D$2:$D$820, MATCH('Next Gen'!$A10, Scores!$E$2:$E$820,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SUMIF(Scores!$E$2:$E$820, 'Next Gen'!$A10, INDEX(Scores!$H$2:$P$820, 0, MATCH($B10, Scores!$H$1:$P$1, 0)))</f>
        <v>3</v>
      </c>
      <c r="G10" s="1" t="str">
        <f>INDEX(Scores!$B$2:$B$820, MATCH('Next Gen'!$A11, Scores!$E$2:$E$820, 0))</f>
        <v>low</v>
      </c>
      <c r="H10" s="4">
        <f>INDEX(Scores!$D$2:$D$820, MATCH('Next Gen'!$A11, Scores!$E$2:$E$820,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SUMIF(Scores!$E$2:$E$820, 'Next Gen'!$A11, INDEX(Scores!$H$2:$P$820, 0, MATCH($B11, Scores!$H$1:$P$1, 0)))</f>
        <v>1</v>
      </c>
      <c r="G11" s="1" t="str">
        <f>INDEX(Scores!$B$2:$B$820, MATCH('Next Gen'!$A9, Scores!$E$2:$E$820, 0))</f>
        <v>low</v>
      </c>
      <c r="H11" s="4">
        <f>INDEX(Scores!$D$2:$D$820, MATCH('Next Gen'!$A9, Scores!$E$2:$E$820,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SUMIF(Scores!$E$2:$E$820, 'Next Gen'!$A12, INDEX(Scores!$H$2:$P$820, 0, MATCH($B12, Scores!$H$1:$P$1, 0)))</f>
        <v>8</v>
      </c>
      <c r="G12" s="1" t="str">
        <f>INDEX(Scores!$B$2:$B$820, MATCH('Next Gen'!$A13, Scores!$E$2:$E$820, 0))</f>
        <v>mid</v>
      </c>
      <c r="H12" s="4">
        <f>INDEX(Scores!$D$2:$D$820, MATCH('Next Gen'!$A13, Scores!$E$2:$E$820, 0))</f>
        <v>45775</v>
      </c>
      <c r="K12"/>
      <c r="L12"/>
      <c r="M12"/>
    </row>
    <row r="13" spans="1:22">
      <c r="A13" s="1">
        <v>75</v>
      </c>
      <c r="B13" s="1" t="s">
        <v>4</v>
      </c>
      <c r="C13" s="1">
        <v>12</v>
      </c>
      <c r="D13" s="1">
        <v>12</v>
      </c>
      <c r="E13" s="1">
        <v>5</v>
      </c>
      <c r="F13" s="1">
        <f>SUMIF(Scores!$E$2:$E$820, 'Next Gen'!$A13, INDEX(Scores!$H$2:$P$820, 0, MATCH($B13, Scores!$H$1:$P$1, 0)))</f>
        <v>10</v>
      </c>
      <c r="G13" s="1" t="str">
        <f>INDEX(Scores!$B$2:$B$820, MATCH('Next Gen'!$A12, Scores!$E$2:$E$820, 0))</f>
        <v>mid</v>
      </c>
      <c r="H13" s="4">
        <f>INDEX(Scores!$D$2:$D$820, MATCH('Next Gen'!$A12, Scores!$E$2:$E$820, 0))</f>
        <v>45775</v>
      </c>
      <c r="K13"/>
      <c r="L13"/>
      <c r="M13"/>
    </row>
    <row r="14" spans="1:22">
      <c r="A14" s="1">
        <v>76</v>
      </c>
      <c r="B14" s="1" t="s">
        <v>4</v>
      </c>
      <c r="C14" s="1">
        <v>9</v>
      </c>
      <c r="D14" s="1">
        <v>8</v>
      </c>
      <c r="E14" s="1">
        <v>3</v>
      </c>
      <c r="F14" s="1">
        <f>SUMIF(Scores!$E$2:$E$820, 'Next Gen'!$A14, INDEX(Scores!$H$2:$P$820, 0, MATCH($B14, Scores!$H$1:$P$1, 0)))</f>
        <v>5</v>
      </c>
      <c r="G14" s="1" t="str">
        <f>INDEX(Scores!$B$2:$B$820, MATCH('Next Gen'!$A14, Scores!$E$2:$E$820, 0))</f>
        <v>mid</v>
      </c>
      <c r="H14" s="4">
        <f>INDEX(Scores!$D$2:$D$820, MATCH('Next Gen'!$A14, Scores!$E$2:$E$820, 0))</f>
        <v>45776</v>
      </c>
      <c r="K14"/>
      <c r="L14"/>
      <c r="M14"/>
    </row>
    <row r="15" spans="1:22">
      <c r="A15" s="1">
        <v>76</v>
      </c>
      <c r="B15" s="1" t="s">
        <v>5</v>
      </c>
      <c r="C15" s="1">
        <v>9</v>
      </c>
      <c r="D15" s="1">
        <v>6</v>
      </c>
      <c r="E15" s="1">
        <v>0</v>
      </c>
      <c r="F15" s="1">
        <f>SUMIF(Scores!$E$2:$E$820, 'Next Gen'!$A15, INDEX(Scores!$H$2:$P$820, 0, MATCH($B15, Scores!$H$1:$P$1, 0)))</f>
        <v>0</v>
      </c>
      <c r="G15" s="1" t="str">
        <f>INDEX(Scores!$B$2:$B$820, MATCH('Next Gen'!$A15, Scores!$E$2:$E$820, 0))</f>
        <v>mid</v>
      </c>
      <c r="H15" s="4">
        <f>INDEX(Scores!$D$2:$D$820, MATCH('Next Gen'!$A15, Scores!$E$2:$E$820, 0))</f>
        <v>45776</v>
      </c>
      <c r="K15"/>
      <c r="L15"/>
      <c r="M15"/>
    </row>
    <row r="16" spans="1:22">
      <c r="A16" s="1">
        <v>77</v>
      </c>
      <c r="B16" s="1" t="s">
        <v>5</v>
      </c>
      <c r="C16" s="1">
        <v>9</v>
      </c>
      <c r="D16" s="1">
        <v>5</v>
      </c>
      <c r="E16" s="1">
        <v>3</v>
      </c>
      <c r="F16" s="1">
        <f>SUMIF(Scores!$E$2:$E$820, 'Next Gen'!$A16, INDEX(Scores!$H$2:$P$820, 0, MATCH($B16, Scores!$H$1:$P$1, 0)))</f>
        <v>5</v>
      </c>
      <c r="G16" s="1" t="str">
        <f>INDEX(Scores!$B$2:$B$820, MATCH('Next Gen'!$A17, Scores!$E$2:$E$820, 0))</f>
        <v>mid</v>
      </c>
      <c r="H16" s="4">
        <f>INDEX(Scores!$D$2:$D$820, MATCH('Next Gen'!$A17, Scores!$E$2:$E$820, 0))</f>
        <v>45776</v>
      </c>
      <c r="K16"/>
      <c r="L16"/>
      <c r="M16"/>
    </row>
    <row r="17" spans="1:15">
      <c r="A17" s="1">
        <v>77</v>
      </c>
      <c r="B17" s="1" t="s">
        <v>6</v>
      </c>
      <c r="C17" s="1">
        <v>9</v>
      </c>
      <c r="D17" s="1">
        <v>5</v>
      </c>
      <c r="E17" s="1">
        <v>3</v>
      </c>
      <c r="F17" s="1">
        <f>SUMIF(Scores!$E$2:$E$820, 'Next Gen'!$A17, INDEX(Scores!$H$2:$P$820, 0, MATCH($B17, Scores!$H$1:$P$1, 0)))</f>
        <v>8</v>
      </c>
      <c r="G17" s="1" t="str">
        <f>INDEX(Scores!$B$2:$B$820, MATCH('Next Gen'!$A18, Scores!$E$2:$E$820, 0))</f>
        <v>mid</v>
      </c>
      <c r="H17" s="4">
        <f>INDEX(Scores!$D$2:$D$820, MATCH('Next Gen'!$A18, Scores!$E$2:$E$820, 0))</f>
        <v>45776</v>
      </c>
      <c r="K17"/>
      <c r="L17"/>
      <c r="M17"/>
    </row>
    <row r="18" spans="1:15">
      <c r="A18" s="1">
        <v>77</v>
      </c>
      <c r="B18" s="1" t="s">
        <v>4</v>
      </c>
      <c r="C18" s="1">
        <v>9</v>
      </c>
      <c r="D18" s="1">
        <v>9</v>
      </c>
      <c r="E18" s="1">
        <v>1</v>
      </c>
      <c r="F18" s="1">
        <f>SUMIF(Scores!$E$2:$E$820, 'Next Gen'!$A18, INDEX(Scores!$H$2:$P$820, 0, MATCH($B18, Scores!$H$1:$P$1, 0)))</f>
        <v>1</v>
      </c>
      <c r="G18" s="1" t="str">
        <f>INDEX(Scores!$B$2:$B$820, MATCH('Next Gen'!$A16, Scores!$E$2:$E$820, 0))</f>
        <v>mid</v>
      </c>
      <c r="H18" s="4">
        <f>INDEX(Scores!$D$2:$D$820, MATCH('Next Gen'!$A16, Scores!$E$2:$E$820, 0))</f>
        <v>45776</v>
      </c>
      <c r="K18"/>
      <c r="L18"/>
      <c r="M18"/>
    </row>
    <row r="19" spans="1:15">
      <c r="A19" s="1">
        <v>78</v>
      </c>
      <c r="B19" s="1" t="s">
        <v>4</v>
      </c>
      <c r="C19" s="1">
        <v>9</v>
      </c>
      <c r="D19" s="1">
        <v>8</v>
      </c>
      <c r="E19" s="1">
        <v>5</v>
      </c>
      <c r="F19" s="1">
        <f>SUMIF(Scores!$E$2:$E$820, 'Next Gen'!$A19, INDEX(Scores!$H$2:$P$820, 0, MATCH($B19, Scores!$H$1:$P$1, 0)))</f>
        <v>9</v>
      </c>
      <c r="G19" s="1" t="str">
        <f>INDEX(Scores!$B$2:$B$820, MATCH('Next Gen'!$A19, Scores!$E$2:$E$820, 0))</f>
        <v>mid</v>
      </c>
      <c r="H19" s="4">
        <f>INDEX(Scores!$D$2:$D$820, MATCH('Next Gen'!$A19, Scores!$E$2:$E$820, 0))</f>
        <v>45776</v>
      </c>
      <c r="K19"/>
      <c r="L19"/>
      <c r="M19"/>
    </row>
    <row r="20" spans="1:15">
      <c r="A20" s="1">
        <v>78</v>
      </c>
      <c r="B20" s="1" t="s">
        <v>7</v>
      </c>
      <c r="C20" s="1">
        <v>9</v>
      </c>
      <c r="D20" s="1">
        <v>6</v>
      </c>
      <c r="E20" s="1">
        <v>2</v>
      </c>
      <c r="F20" s="1">
        <f>SUMIF(Scores!$E$2:$E$820, 'Next Gen'!$A20, INDEX(Scores!$H$2:$P$820, 0, MATCH($B20, Scores!$H$1:$P$1, 0)))</f>
        <v>4</v>
      </c>
      <c r="G20" s="1" t="str">
        <f>INDEX(Scores!$B$2:$B$820, MATCH('Next Gen'!$A20, Scores!$E$2:$E$820, 0))</f>
        <v>mid</v>
      </c>
      <c r="H20" s="4">
        <f>INDEX(Scores!$D$2:$D$820, MATCH('Next Gen'!$A20, Scores!$E$2:$E$820, 0))</f>
        <v>45776</v>
      </c>
      <c r="K20"/>
      <c r="L20"/>
      <c r="M20"/>
    </row>
    <row r="21" spans="1:15">
      <c r="A21" s="1">
        <v>79</v>
      </c>
      <c r="B21" s="1" t="s">
        <v>7</v>
      </c>
      <c r="C21" s="1">
        <v>9</v>
      </c>
      <c r="D21" s="1">
        <v>5</v>
      </c>
      <c r="E21" s="1">
        <v>3</v>
      </c>
      <c r="F21" s="1">
        <f>SUMIF(Scores!$E$2:$E$820, 'Next Gen'!$A21, INDEX(Scores!$H$2:$P$820, 0, MATCH($B21, Scores!$H$1:$P$1, 0)))</f>
        <v>5</v>
      </c>
      <c r="G21" s="1" t="str">
        <f>INDEX(Scores!$B$2:$B$820, MATCH('Next Gen'!$A24, Scores!$E$2:$E$820, 0))</f>
        <v>mid</v>
      </c>
      <c r="H21" s="4">
        <f>INDEX(Scores!$D$2:$D$820, MATCH('Next Gen'!$A24, Scores!$E$2:$E$820, 0))</f>
        <v>45776</v>
      </c>
      <c r="K21"/>
      <c r="L21"/>
      <c r="M21"/>
    </row>
    <row r="22" spans="1:15">
      <c r="A22" s="1">
        <v>79</v>
      </c>
      <c r="B22" s="1" t="s">
        <v>4</v>
      </c>
      <c r="C22" s="1">
        <v>9</v>
      </c>
      <c r="D22" s="1">
        <v>7</v>
      </c>
      <c r="E22" s="1">
        <v>3</v>
      </c>
      <c r="F22" s="1">
        <f>SUMIF(Scores!$E$2:$E$820, 'Next Gen'!$A22, INDEX(Scores!$H$2:$P$820, 0, MATCH($B22, Scores!$H$1:$P$1, 0)))</f>
        <v>7</v>
      </c>
      <c r="G22" s="1" t="str">
        <f>INDEX(Scores!$B$2:$B$820, MATCH('Next Gen'!$A21, Scores!$E$2:$E$820, 0))</f>
        <v>mid</v>
      </c>
      <c r="H22" s="4">
        <f>INDEX(Scores!$D$2:$D$820, MATCH('Next Gen'!$A21, Scores!$E$2:$E$820, 0))</f>
        <v>45776</v>
      </c>
      <c r="K22"/>
      <c r="L22"/>
      <c r="M22"/>
    </row>
    <row r="23" spans="1:15">
      <c r="A23" s="1">
        <v>79</v>
      </c>
      <c r="B23" s="1" t="s">
        <v>5</v>
      </c>
      <c r="C23" s="1">
        <v>9</v>
      </c>
      <c r="D23" s="1">
        <v>6</v>
      </c>
      <c r="E23" s="1">
        <v>1</v>
      </c>
      <c r="F23" s="1">
        <f>SUMIF(Scores!$E$2:$E$820, 'Next Gen'!$A23, INDEX(Scores!$H$2:$P$820, 0, MATCH($B23, Scores!$H$1:$P$1, 0)))</f>
        <v>1</v>
      </c>
      <c r="G23" s="1" t="str">
        <f>INDEX(Scores!$B$2:$B$820, MATCH('Next Gen'!$A22, Scores!$E$2:$E$820, 0))</f>
        <v>mid</v>
      </c>
      <c r="H23" s="4">
        <f>INDEX(Scores!$D$2:$D$820, MATCH('Next Gen'!$A22, Scores!$E$2:$E$820, 0))</f>
        <v>45776</v>
      </c>
      <c r="K23"/>
      <c r="L23"/>
      <c r="M23"/>
    </row>
    <row r="24" spans="1:15">
      <c r="A24" s="1">
        <v>79</v>
      </c>
      <c r="B24" s="1" t="s">
        <v>6</v>
      </c>
      <c r="C24" s="1">
        <v>9</v>
      </c>
      <c r="D24" s="1">
        <v>2</v>
      </c>
      <c r="E24" s="1">
        <v>1</v>
      </c>
      <c r="F24" s="1">
        <f>SUMIF(Scores!$E$2:$E$820, 'Next Gen'!$A24, INDEX(Scores!$H$2:$P$820, 0, MATCH($B24, Scores!$H$1:$P$1, 0)))</f>
        <v>1</v>
      </c>
      <c r="G24" s="1" t="str">
        <f>INDEX(Scores!$B$2:$B$820, MATCH('Next Gen'!$A23, Scores!$E$2:$E$820, 0))</f>
        <v>mid</v>
      </c>
      <c r="H24" s="4">
        <f>INDEX(Scores!$D$2:$D$820, MATCH('Next Gen'!$A23, Scores!$E$2:$E$820, 0))</f>
        <v>45776</v>
      </c>
      <c r="K24"/>
      <c r="L24"/>
    </row>
    <row r="25" spans="1:15">
      <c r="A25" s="1">
        <v>80</v>
      </c>
      <c r="B25" s="1" t="s">
        <v>4</v>
      </c>
      <c r="C25" s="1">
        <v>9</v>
      </c>
      <c r="D25" s="1">
        <v>8</v>
      </c>
      <c r="E25" s="1">
        <v>6</v>
      </c>
      <c r="F25" s="1">
        <f>SUMIF(Scores!$E$2:$E$820, 'Next Gen'!$A25, INDEX(Scores!$H$2:$P$820, 0, MATCH($B25, Scores!$H$1:$P$1, 0)))</f>
        <v>12</v>
      </c>
      <c r="G25" s="1" t="str">
        <f>INDEX(Scores!$B$2:$B$820, MATCH('Next Gen'!$A27, Scores!$E$2:$E$820, 0))</f>
        <v>mid</v>
      </c>
      <c r="H25" s="4">
        <f>INDEX(Scores!$D$2:$D$820, MATCH('Next Gen'!$A27, Scores!$E$2:$E$820, 0))</f>
        <v>45777</v>
      </c>
    </row>
    <row r="26" spans="1:15">
      <c r="A26" s="1">
        <v>80</v>
      </c>
      <c r="B26" s="1" t="s">
        <v>6</v>
      </c>
      <c r="C26" s="1">
        <v>9</v>
      </c>
      <c r="D26" s="1">
        <v>4</v>
      </c>
      <c r="E26" s="1">
        <v>3</v>
      </c>
      <c r="F26" s="1">
        <f>SUMIF(Scores!$E$2:$E$820, 'Next Gen'!$A26, INDEX(Scores!$H$2:$P$820, 0, MATCH($B26, Scores!$H$1:$P$1, 0)))</f>
        <v>4</v>
      </c>
      <c r="G26" s="1" t="str">
        <f>INDEX(Scores!$B$2:$B$820, MATCH('Next Gen'!$A26, Scores!$E$2:$E$820, 0))</f>
        <v>mid</v>
      </c>
      <c r="H26" s="4">
        <f>INDEX(Scores!$D$2:$D$820, MATCH('Next Gen'!$A26, Scores!$E$2:$E$820, 0))</f>
        <v>45777</v>
      </c>
      <c r="K26"/>
      <c r="L26"/>
      <c r="M26"/>
      <c r="N26"/>
      <c r="O26"/>
    </row>
    <row r="27" spans="1:15">
      <c r="A27" s="1">
        <v>80</v>
      </c>
      <c r="B27" s="1" t="s">
        <v>5</v>
      </c>
      <c r="C27" s="1">
        <v>9</v>
      </c>
      <c r="D27" s="1">
        <v>6</v>
      </c>
      <c r="E27" s="1">
        <v>2</v>
      </c>
      <c r="F27" s="1">
        <f>SUMIF(Scores!$E$2:$E$820, 'Next Gen'!$A27, INDEX(Scores!$H$2:$P$820, 0, MATCH($B27, Scores!$H$1:$P$1, 0)))</f>
        <v>3</v>
      </c>
      <c r="G27" s="1" t="str">
        <f>INDEX(Scores!$B$2:$B$820, MATCH('Next Gen'!$A25, Scores!$E$2:$E$820, 0))</f>
        <v>mid</v>
      </c>
      <c r="H27" s="4">
        <f>INDEX(Scores!$D$2:$D$820, MATCH('Next Gen'!$A25, Scores!$E$2:$E$820, 0))</f>
        <v>45777</v>
      </c>
      <c r="K27"/>
      <c r="L27"/>
      <c r="M27"/>
      <c r="N27"/>
      <c r="O27"/>
    </row>
    <row r="28" spans="1:15">
      <c r="A28" s="1">
        <v>81</v>
      </c>
      <c r="B28" s="1" t="s">
        <v>4</v>
      </c>
      <c r="C28" s="1">
        <v>9</v>
      </c>
      <c r="D28" s="1">
        <v>8</v>
      </c>
      <c r="E28" s="1">
        <v>4</v>
      </c>
      <c r="F28" s="1">
        <f>SUMIF(Scores!$E$2:$E$820, 'Next Gen'!$A28, INDEX(Scores!$H$2:$P$820, 0, MATCH($B28, Scores!$H$1:$P$1, 0)))</f>
        <v>6</v>
      </c>
      <c r="G28" s="1" t="str">
        <f>INDEX(Scores!$B$2:$B$820, MATCH('Next Gen'!$A28, Scores!$E$2:$E$820, 0))</f>
        <v>high</v>
      </c>
      <c r="H28" s="4">
        <f>INDEX(Scores!$D$2:$D$820, MATCH('Next Gen'!$A28, Scores!$E$2:$E$820, 0))</f>
        <v>45777</v>
      </c>
      <c r="K28"/>
      <c r="L28"/>
      <c r="M28"/>
      <c r="N28"/>
      <c r="O28"/>
    </row>
    <row r="29" spans="1:15">
      <c r="A29" s="1">
        <v>81</v>
      </c>
      <c r="B29" s="1" t="s">
        <v>5</v>
      </c>
      <c r="C29" s="1">
        <v>9</v>
      </c>
      <c r="D29" s="1">
        <v>4</v>
      </c>
      <c r="E29" s="1">
        <v>0</v>
      </c>
      <c r="F29" s="1">
        <f>SUMIF(Scores!$E$2:$E$820, 'Next Gen'!$A29, INDEX(Scores!$H$2:$P$820, 0, MATCH($B29, Scores!$H$1:$P$1, 0)))</f>
        <v>0</v>
      </c>
      <c r="G29" s="1" t="str">
        <f>INDEX(Scores!$B$2:$B$820, MATCH('Next Gen'!$A29, Scores!$E$2:$E$820, 0))</f>
        <v>high</v>
      </c>
      <c r="H29" s="4">
        <f>INDEX(Scores!$D$2:$D$820, MATCH('Next Gen'!$A29, Scores!$E$2:$E$820, 0))</f>
        <v>45777</v>
      </c>
      <c r="K29"/>
      <c r="L29"/>
      <c r="M29"/>
      <c r="N29"/>
      <c r="O29"/>
    </row>
    <row r="30" spans="1:15">
      <c r="A30" s="1">
        <v>82</v>
      </c>
      <c r="B30" s="1" t="s">
        <v>4</v>
      </c>
      <c r="C30" s="1">
        <v>9</v>
      </c>
      <c r="D30" s="1">
        <v>8</v>
      </c>
      <c r="E30" s="1">
        <v>6</v>
      </c>
      <c r="F30" s="1">
        <f>SUMIF(Scores!$E$2:$E$820, 'Next Gen'!$A30, INDEX(Scores!$H$2:$P$820, 0, MATCH($B30, Scores!$H$1:$P$1, 0)))</f>
        <v>12</v>
      </c>
      <c r="G30" s="1" t="str">
        <f>INDEX(Scores!$B$2:$B$820, MATCH('Next Gen'!$A30, Scores!$E$2:$E$820, 0))</f>
        <v>low</v>
      </c>
      <c r="H30" s="4">
        <f>INDEX(Scores!$D$2:$D$820, MATCH('Next Gen'!$A30, Scores!$E$2:$E$820, 0))</f>
        <v>45777</v>
      </c>
      <c r="K30"/>
      <c r="L30"/>
      <c r="M30"/>
      <c r="N30"/>
      <c r="O30"/>
    </row>
    <row r="31" spans="1:15">
      <c r="A31" s="1">
        <v>82</v>
      </c>
      <c r="B31" s="1" t="s">
        <v>7</v>
      </c>
      <c r="C31" s="1">
        <v>9</v>
      </c>
      <c r="D31" s="1">
        <v>3</v>
      </c>
      <c r="E31" s="1">
        <v>2</v>
      </c>
      <c r="F31" s="1">
        <f>SUMIF(Scores!$E$2:$E$820, 'Next Gen'!$A31, INDEX(Scores!$H$2:$P$820, 0, MATCH($B31, Scores!$H$1:$P$1, 0)))</f>
        <v>2</v>
      </c>
      <c r="G31" s="1" t="str">
        <f>INDEX(Scores!$B$2:$B$820, MATCH('Next Gen'!$A31, Scores!$E$2:$E$820, 0))</f>
        <v>low</v>
      </c>
      <c r="H31" s="4">
        <f>INDEX(Scores!$D$2:$D$820, MATCH('Next Gen'!$A31, Scores!$E$2:$E$820, 0))</f>
        <v>45777</v>
      </c>
      <c r="K31"/>
      <c r="L31"/>
      <c r="M31"/>
      <c r="N31"/>
      <c r="O31"/>
    </row>
    <row r="32" spans="1:15">
      <c r="A32" s="1">
        <v>82</v>
      </c>
      <c r="B32" s="1" t="s">
        <v>5</v>
      </c>
      <c r="C32" s="1">
        <v>9</v>
      </c>
      <c r="D32" s="1">
        <v>7</v>
      </c>
      <c r="E32" s="1">
        <v>2</v>
      </c>
      <c r="F32" s="1">
        <f>SUMIF(Scores!$E$2:$E$820, 'Next Gen'!$A32, INDEX(Scores!$H$2:$P$820, 0, MATCH($B32, Scores!$H$1:$P$1, 0)))</f>
        <v>5</v>
      </c>
      <c r="G32" s="1" t="str">
        <f>INDEX(Scores!$B$2:$B$820, MATCH('Next Gen'!$A32, Scores!$E$2:$E$820, 0))</f>
        <v>low</v>
      </c>
      <c r="H32" s="4">
        <f>INDEX(Scores!$D$2:$D$820, MATCH('Next Gen'!$A32, Scores!$E$2:$E$820, 0))</f>
        <v>45777</v>
      </c>
      <c r="K32"/>
      <c r="L32"/>
      <c r="M32"/>
      <c r="N32"/>
      <c r="O32"/>
    </row>
    <row r="33" spans="1:15">
      <c r="A33" s="1">
        <v>83</v>
      </c>
      <c r="B33" s="1" t="s">
        <v>4</v>
      </c>
      <c r="C33" s="1">
        <v>9</v>
      </c>
      <c r="D33" s="1">
        <v>9</v>
      </c>
      <c r="E33" s="1">
        <v>6</v>
      </c>
      <c r="F33" s="1">
        <f>SUMIF(Scores!$E$2:$E$820, 'Next Gen'!$A33, INDEX(Scores!$H$2:$P$820, 0, MATCH($B33, Scores!$H$1:$P$1, 0)))</f>
        <v>12</v>
      </c>
      <c r="G33" s="1" t="str">
        <f>INDEX(Scores!$B$2:$B$820, MATCH('Next Gen'!$A33, Scores!$E$2:$E$820, 0))</f>
        <v>mid</v>
      </c>
      <c r="H33" s="4">
        <f>INDEX(Scores!$D$2:$D$820, MATCH('Next Gen'!$A33, Scores!$E$2:$E$820, 0))</f>
        <v>45777</v>
      </c>
      <c r="K33"/>
      <c r="L33"/>
      <c r="M33"/>
      <c r="N33"/>
      <c r="O33"/>
    </row>
    <row r="34" spans="1:15">
      <c r="A34" s="1">
        <v>83</v>
      </c>
      <c r="B34" s="1" t="s">
        <v>5</v>
      </c>
      <c r="C34" s="1">
        <v>9</v>
      </c>
      <c r="D34" s="1">
        <v>5</v>
      </c>
      <c r="E34" s="1">
        <v>3</v>
      </c>
      <c r="F34" s="1">
        <f>SUMIF(Scores!$E$2:$E$820, 'Next Gen'!$A34, INDEX(Scores!$H$2:$P$820, 0, MATCH($B34, Scores!$H$1:$P$1, 0)))</f>
        <v>5</v>
      </c>
      <c r="G34" s="1" t="str">
        <f>INDEX(Scores!$B$2:$B$820, MATCH('Next Gen'!$A34, Scores!$E$2:$E$820, 0))</f>
        <v>mid</v>
      </c>
      <c r="H34" s="4">
        <f>INDEX(Scores!$D$2:$D$820, MATCH('Next Gen'!$A34, Scores!$E$2:$E$820, 0))</f>
        <v>45777</v>
      </c>
      <c r="K34"/>
      <c r="L34"/>
      <c r="M34"/>
      <c r="N34"/>
      <c r="O34"/>
    </row>
    <row r="35" spans="1:15">
      <c r="A35" s="1">
        <v>84</v>
      </c>
      <c r="B35" s="1" t="s">
        <v>4</v>
      </c>
      <c r="C35" s="1">
        <v>9</v>
      </c>
      <c r="D35" s="1">
        <v>9</v>
      </c>
      <c r="E35" s="1">
        <v>5</v>
      </c>
      <c r="F35" s="1">
        <f>SUMIF(Scores!$E$2:$E$820, 'Next Gen'!$A35, INDEX(Scores!$H$2:$P$820, 0, MATCH($B35, Scores!$H$1:$P$1, 0)))</f>
        <v>10</v>
      </c>
      <c r="G35" s="1" t="str">
        <f>INDEX(Scores!$B$2:$B$820, MATCH('Next Gen'!$A35, Scores!$E$2:$E$820, 0))</f>
        <v>mid</v>
      </c>
      <c r="H35" s="4">
        <f>INDEX(Scores!$D$2:$D$820, MATCH('Next Gen'!$A35, Scores!$E$2:$E$820, 0))</f>
        <v>45778</v>
      </c>
      <c r="K35"/>
      <c r="L35"/>
      <c r="M35"/>
      <c r="N35"/>
      <c r="O35"/>
    </row>
    <row r="36" spans="1:15">
      <c r="A36" s="1">
        <v>84</v>
      </c>
      <c r="B36" s="1" t="s">
        <v>5</v>
      </c>
      <c r="C36" s="1">
        <v>9</v>
      </c>
      <c r="D36" s="1">
        <v>4</v>
      </c>
      <c r="E36" s="1">
        <v>3</v>
      </c>
      <c r="F36" s="1">
        <f>SUMIF(Scores!$E$2:$E$820, 'Next Gen'!$A36, INDEX(Scores!$H$2:$P$820, 0, MATCH($B36, Scores!$H$1:$P$1, 0)))</f>
        <v>5</v>
      </c>
      <c r="G36" s="1" t="str">
        <f>INDEX(Scores!$B$2:$B$820, MATCH('Next Gen'!$A36, Scores!$E$2:$E$820, 0))</f>
        <v>mid</v>
      </c>
      <c r="H36" s="4">
        <f>INDEX(Scores!$D$2:$D$820, MATCH('Next Gen'!$A36, Scores!$E$2:$E$820, 0))</f>
        <v>45778</v>
      </c>
      <c r="K36"/>
      <c r="L36"/>
      <c r="M36"/>
      <c r="N36"/>
      <c r="O36"/>
    </row>
    <row r="37" spans="1:15">
      <c r="A37" s="1">
        <v>85</v>
      </c>
      <c r="B37" s="1" t="s">
        <v>4</v>
      </c>
      <c r="C37" s="1">
        <v>12</v>
      </c>
      <c r="D37" s="1">
        <v>10</v>
      </c>
      <c r="E37" s="1">
        <v>6</v>
      </c>
      <c r="F37" s="1">
        <f>SUMIF(Scores!$E$2:$E$820, 'Next Gen'!$A37, INDEX(Scores!$H$2:$P$820, 0, MATCH($B37, Scores!$H$1:$P$1, 0)))</f>
        <v>10</v>
      </c>
      <c r="G37" s="1" t="str">
        <f>INDEX(Scores!$B$2:$B$820, MATCH('Next Gen'!$A37, Scores!$E$2:$E$820, 0))</f>
        <v>high</v>
      </c>
      <c r="H37" s="4">
        <f>INDEX(Scores!$D$2:$D$820, MATCH('Next Gen'!$A37, Scores!$E$2:$E$820, 0))</f>
        <v>45778</v>
      </c>
      <c r="K37"/>
      <c r="L37"/>
      <c r="M37"/>
      <c r="N37"/>
      <c r="O37"/>
    </row>
    <row r="38" spans="1:15">
      <c r="A38" s="1">
        <v>85</v>
      </c>
      <c r="B38" s="1" t="s">
        <v>5</v>
      </c>
      <c r="C38" s="1">
        <v>12</v>
      </c>
      <c r="D38" s="1">
        <v>9</v>
      </c>
      <c r="E38" s="1">
        <v>3</v>
      </c>
      <c r="F38" s="1">
        <f>SUMIF(Scores!$E$2:$E$820, 'Next Gen'!$A38, INDEX(Scores!$H$2:$P$820, 0, MATCH($B38, Scores!$H$1:$P$1, 0)))</f>
        <v>6</v>
      </c>
      <c r="G38" s="1" t="str">
        <f>INDEX(Scores!$B$2:$B$820, MATCH('Next Gen'!$A38, Scores!$E$2:$E$820, 0))</f>
        <v>high</v>
      </c>
      <c r="H38" s="4">
        <f>INDEX(Scores!$D$2:$D$820, MATCH('Next Gen'!$A38, Scores!$E$2:$E$820, 0))</f>
        <v>45778</v>
      </c>
      <c r="K38"/>
      <c r="L38"/>
      <c r="M38"/>
      <c r="N38"/>
      <c r="O38"/>
    </row>
    <row r="39" spans="1:15">
      <c r="A39" s="1">
        <v>86</v>
      </c>
      <c r="B39" s="1" t="s">
        <v>4</v>
      </c>
      <c r="C39" s="1">
        <v>9</v>
      </c>
      <c r="D39" s="1">
        <v>6</v>
      </c>
      <c r="E39" s="1">
        <v>4</v>
      </c>
      <c r="F39" s="1">
        <f>SUMIF(Scores!$E$2:$E$820, 'Next Gen'!$A39, INDEX(Scores!$H$2:$P$820, 0, MATCH($B39, Scores!$H$1:$P$1, 0)))</f>
        <v>8</v>
      </c>
      <c r="G39" s="1" t="str">
        <f>INDEX(Scores!$B$2:$B$820, MATCH('Next Gen'!$A39, Scores!$E$2:$E$820, 0))</f>
        <v>low</v>
      </c>
      <c r="H39" s="4">
        <f>INDEX(Scores!$D$2:$D$820, MATCH('Next Gen'!$A39, Scores!$E$2:$E$820, 0))</f>
        <v>45778</v>
      </c>
      <c r="K39"/>
      <c r="L39"/>
      <c r="M39"/>
      <c r="N39"/>
      <c r="O39"/>
    </row>
    <row r="40" spans="1:15">
      <c r="A40" s="1">
        <v>86</v>
      </c>
      <c r="B40" s="1" t="s">
        <v>5</v>
      </c>
      <c r="C40" s="1">
        <v>9</v>
      </c>
      <c r="D40" s="1">
        <v>5</v>
      </c>
      <c r="E40" s="1">
        <v>2</v>
      </c>
      <c r="F40" s="1">
        <f>SUMIF(Scores!$E$2:$E$820, 'Next Gen'!$A40, INDEX(Scores!$H$2:$P$820, 0, MATCH($B40, Scores!$H$1:$P$1, 0)))</f>
        <v>4</v>
      </c>
      <c r="G40" s="1" t="str">
        <f>INDEX(Scores!$B$2:$B$820, MATCH('Next Gen'!$A40, Scores!$E$2:$E$820, 0))</f>
        <v>low</v>
      </c>
      <c r="H40" s="4">
        <f>INDEX(Scores!$D$2:$D$820, MATCH('Next Gen'!$A40, Scores!$E$2:$E$820, 0))</f>
        <v>45778</v>
      </c>
      <c r="K40"/>
      <c r="L40"/>
      <c r="M40"/>
      <c r="N40"/>
      <c r="O40"/>
    </row>
    <row r="41" spans="1:15">
      <c r="A41" s="1">
        <v>87</v>
      </c>
      <c r="B41" s="1" t="s">
        <v>4</v>
      </c>
      <c r="C41" s="1">
        <v>9</v>
      </c>
      <c r="D41" s="1">
        <v>7</v>
      </c>
      <c r="E41" s="1">
        <v>2</v>
      </c>
      <c r="F41" s="1">
        <f>SUMIF(Scores!$E$2:$E$820, 'Next Gen'!$A41, INDEX(Scores!$H$2:$P$820, 0, MATCH($B41, Scores!$H$1:$P$1, 0)))</f>
        <v>4</v>
      </c>
      <c r="G41" s="1" t="str">
        <f>INDEX(Scores!$B$2:$B$820, MATCH('Next Gen'!$A41, Scores!$E$2:$E$820, 0))</f>
        <v>low</v>
      </c>
      <c r="H41" s="4">
        <f>INDEX(Scores!$D$2:$D$820, MATCH('Next Gen'!$A41, Scores!$E$2:$E$820, 0))</f>
        <v>45778</v>
      </c>
      <c r="K41"/>
      <c r="L41"/>
      <c r="M41"/>
      <c r="N41"/>
      <c r="O41"/>
    </row>
    <row r="42" spans="1:15">
      <c r="A42" s="1">
        <v>87</v>
      </c>
      <c r="B42" s="1" t="s">
        <v>5</v>
      </c>
      <c r="C42" s="1">
        <v>9</v>
      </c>
      <c r="D42" s="1">
        <v>6</v>
      </c>
      <c r="E42" s="1">
        <v>1</v>
      </c>
      <c r="F42" s="1">
        <f>SUMIF(Scores!$E$2:$E$820, 'Next Gen'!$A42, INDEX(Scores!$H$2:$P$820, 0, MATCH($B42, Scores!$H$1:$P$1, 0)))</f>
        <v>3</v>
      </c>
      <c r="G42" s="1" t="str">
        <f>INDEX(Scores!$B$2:$B$820, MATCH('Next Gen'!$A42, Scores!$E$2:$E$820, 0))</f>
        <v>low</v>
      </c>
      <c r="H42" s="4">
        <f>INDEX(Scores!$D$2:$D$820, MATCH('Next Gen'!$A42, Scores!$E$2:$E$820, 0))</f>
        <v>45778</v>
      </c>
      <c r="K42"/>
      <c r="L42"/>
      <c r="M42"/>
      <c r="N42"/>
      <c r="O42"/>
    </row>
    <row r="43" spans="1:15">
      <c r="A43" s="1">
        <v>88</v>
      </c>
      <c r="B43" s="1" t="s">
        <v>5</v>
      </c>
      <c r="C43" s="1">
        <v>9</v>
      </c>
      <c r="D43" s="1">
        <v>7</v>
      </c>
      <c r="E43" s="1">
        <v>5</v>
      </c>
      <c r="F43" s="1">
        <f>SUMIF(Scores!$E$2:$E$820, 'Next Gen'!$A43, INDEX(Scores!$H$2:$P$820, 0, MATCH($B43, Scores!$H$1:$P$1, 0)))</f>
        <v>8</v>
      </c>
      <c r="G43" s="1" t="str">
        <f>INDEX(Scores!$B$2:$B$820, MATCH('Next Gen'!$A44, Scores!$E$2:$E$820, 0))</f>
        <v>mid</v>
      </c>
      <c r="H43" s="4">
        <f>INDEX(Scores!$D$2:$D$820, MATCH('Next Gen'!$A44, Scores!$E$2:$E$820, 0))</f>
        <v>45779</v>
      </c>
      <c r="K43"/>
      <c r="L43"/>
      <c r="M43"/>
      <c r="N43"/>
      <c r="O43"/>
    </row>
    <row r="44" spans="1:15">
      <c r="A44" s="1">
        <v>88</v>
      </c>
      <c r="B44" s="1" t="s">
        <v>4</v>
      </c>
      <c r="C44" s="1">
        <v>9</v>
      </c>
      <c r="D44" s="1">
        <v>9</v>
      </c>
      <c r="E44" s="1">
        <v>5</v>
      </c>
      <c r="F44" s="1">
        <f>SUMIF(Scores!$E$2:$E$820, 'Next Gen'!$A44, INDEX(Scores!$H$2:$P$820, 0, MATCH($B44, Scores!$H$1:$P$1, 0)))</f>
        <v>9</v>
      </c>
      <c r="G44" s="1" t="str">
        <f>INDEX(Scores!$B$2:$B$820, MATCH('Next Gen'!$A43, Scores!$E$2:$E$820, 0))</f>
        <v>mid</v>
      </c>
      <c r="H44" s="4">
        <f>INDEX(Scores!$D$2:$D$820, MATCH('Next Gen'!$A43, Scores!$E$2:$E$820, 0))</f>
        <v>45779</v>
      </c>
      <c r="K44"/>
      <c r="L44"/>
      <c r="M44"/>
      <c r="N44"/>
      <c r="O44"/>
    </row>
    <row r="45" spans="1:15">
      <c r="A45" s="1">
        <v>89</v>
      </c>
      <c r="B45" s="1" t="s">
        <v>5</v>
      </c>
      <c r="C45" s="1">
        <v>9</v>
      </c>
      <c r="D45" s="1">
        <v>6</v>
      </c>
      <c r="E45" s="1">
        <v>3</v>
      </c>
      <c r="F45" s="1">
        <f>SUMIF(Scores!$E$2:$E$820, 'Next Gen'!$A45, INDEX(Scores!$H$2:$P$820, 0, MATCH($B45, Scores!$H$1:$P$1, 0)))</f>
        <v>4</v>
      </c>
      <c r="G45" s="1" t="str">
        <f>INDEX(Scores!$B$2:$B$820, MATCH('Next Gen'!$A46, Scores!$E$2:$E$820, 0))</f>
        <v>high</v>
      </c>
      <c r="H45" s="4">
        <f>INDEX(Scores!$D$2:$D$820, MATCH('Next Gen'!$A46, Scores!$E$2:$E$820, 0))</f>
        <v>45779</v>
      </c>
      <c r="K45"/>
      <c r="L45"/>
      <c r="M45"/>
      <c r="N45"/>
      <c r="O45"/>
    </row>
    <row r="46" spans="1:15">
      <c r="A46" s="1">
        <v>89</v>
      </c>
      <c r="B46" s="1" t="s">
        <v>23</v>
      </c>
      <c r="C46" s="1">
        <v>9</v>
      </c>
      <c r="D46" s="1">
        <v>2</v>
      </c>
      <c r="E46" s="1">
        <v>2</v>
      </c>
      <c r="F46" s="1">
        <f>SUMIF(Scores!$E$2:$E$820, 'Next Gen'!$A46, INDEX(Scores!$H$2:$P$820, 0, MATCH($B46, Scores!$H$1:$P$1, 0)))</f>
        <v>2</v>
      </c>
      <c r="G46" s="1" t="str">
        <f>INDEX(Scores!$B$2:$B$820, MATCH('Next Gen'!$A47, Scores!$E$2:$E$820, 0))</f>
        <v>high</v>
      </c>
      <c r="H46" s="4">
        <f>INDEX(Scores!$D$2:$D$820, MATCH('Next Gen'!$A47, Scores!$E$2:$E$820, 0))</f>
        <v>45779</v>
      </c>
      <c r="K46"/>
      <c r="L46"/>
      <c r="M46"/>
      <c r="N46"/>
      <c r="O46"/>
    </row>
    <row r="47" spans="1:15">
      <c r="A47" s="1">
        <v>89</v>
      </c>
      <c r="B47" s="1" t="s">
        <v>4</v>
      </c>
      <c r="C47" s="1">
        <v>9</v>
      </c>
      <c r="D47" s="1">
        <v>8</v>
      </c>
      <c r="E47" s="1">
        <v>2</v>
      </c>
      <c r="F47" s="1">
        <f>SUMIF(Scores!$E$2:$E$820, 'Next Gen'!$A47, INDEX(Scores!$H$2:$P$820, 0, MATCH($B47, Scores!$H$1:$P$1, 0)))</f>
        <v>2</v>
      </c>
      <c r="G47" s="1" t="str">
        <f>INDEX(Scores!$B$2:$B$820, MATCH('Next Gen'!$A45, Scores!$E$2:$E$820, 0))</f>
        <v>high</v>
      </c>
      <c r="H47" s="4">
        <f>INDEX(Scores!$D$2:$D$820, MATCH('Next Gen'!$A45, Scores!$E$2:$E$820, 0))</f>
        <v>45779</v>
      </c>
      <c r="K47"/>
      <c r="L47"/>
      <c r="M47"/>
      <c r="N47"/>
      <c r="O47"/>
    </row>
    <row r="48" spans="1:15">
      <c r="A48" s="1">
        <v>90</v>
      </c>
      <c r="B48" s="1" t="s">
        <v>4</v>
      </c>
      <c r="C48" s="1">
        <v>9</v>
      </c>
      <c r="D48" s="1">
        <v>7</v>
      </c>
      <c r="E48" s="1">
        <v>2</v>
      </c>
      <c r="F48" s="1">
        <f>SUMIF(Scores!$E$2:$E$820, 'Next Gen'!$A48, INDEX(Scores!$H$2:$P$820, 0, MATCH($B48, Scores!$H$1:$P$1, 0)))</f>
        <v>2</v>
      </c>
      <c r="G48" s="1" t="str">
        <f>INDEX(Scores!$B$2:$B$820, MATCH('Next Gen'!$A48, Scores!$E$2:$E$820, 0))</f>
        <v>mid</v>
      </c>
      <c r="H48" s="4">
        <f>INDEX(Scores!$D$2:$D$820, MATCH('Next Gen'!$A48, Scores!$E$2:$E$820, 0))</f>
        <v>45782</v>
      </c>
      <c r="K48"/>
      <c r="L48"/>
      <c r="M48"/>
      <c r="N48"/>
      <c r="O48"/>
    </row>
    <row r="49" spans="1:15">
      <c r="A49" s="1">
        <v>90</v>
      </c>
      <c r="B49" s="1" t="s">
        <v>5</v>
      </c>
      <c r="C49" s="1">
        <v>9</v>
      </c>
      <c r="D49" s="1">
        <v>3</v>
      </c>
      <c r="E49" s="1">
        <v>1</v>
      </c>
      <c r="F49" s="1">
        <f>SUMIF(Scores!$E$2:$E$820, 'Next Gen'!$A49, INDEX(Scores!$H$2:$P$820, 0, MATCH($B49, Scores!$H$1:$P$1, 0)))</f>
        <v>1</v>
      </c>
      <c r="G49" s="1" t="str">
        <f>INDEX(Scores!$B$2:$B$820, MATCH('Next Gen'!$A49, Scores!$E$2:$E$820, 0))</f>
        <v>mid</v>
      </c>
      <c r="H49" s="4">
        <f>INDEX(Scores!$D$2:$D$820, MATCH('Next Gen'!$A49, Scores!$E$2:$E$820, 0))</f>
        <v>45782</v>
      </c>
      <c r="K49"/>
      <c r="L49"/>
      <c r="M49"/>
      <c r="N49"/>
      <c r="O49"/>
    </row>
    <row r="50" spans="1:15">
      <c r="A50" s="1">
        <v>91</v>
      </c>
      <c r="B50" s="1" t="s">
        <v>5</v>
      </c>
      <c r="C50" s="1">
        <v>9</v>
      </c>
      <c r="D50" s="1">
        <v>6</v>
      </c>
      <c r="E50" s="1">
        <v>6</v>
      </c>
      <c r="F50" s="1">
        <f>SUMIF(Scores!$E$2:$E$820, 'Next Gen'!$A50, INDEX(Scores!$H$2:$P$820, 0, MATCH($B50, Scores!$H$1:$P$1, 0)))</f>
        <v>11</v>
      </c>
      <c r="G50" s="1" t="str">
        <f>INDEX(Scores!$B$2:$B$820, MATCH('Next Gen'!$A51, Scores!$E$2:$E$820, 0))</f>
        <v>mid</v>
      </c>
      <c r="H50" s="4">
        <f>INDEX(Scores!$D$2:$D$820, MATCH('Next Gen'!$A51, Scores!$E$2:$E$820, 0))</f>
        <v>45782</v>
      </c>
      <c r="K50"/>
      <c r="L50"/>
      <c r="M50"/>
      <c r="N50"/>
      <c r="O50"/>
    </row>
    <row r="51" spans="1:15">
      <c r="A51" s="1">
        <v>91</v>
      </c>
      <c r="B51" s="1" t="s">
        <v>4</v>
      </c>
      <c r="C51" s="1">
        <v>9</v>
      </c>
      <c r="D51" s="1">
        <v>6</v>
      </c>
      <c r="E51" s="1">
        <v>3</v>
      </c>
      <c r="F51" s="1">
        <f>SUMIF(Scores!$E$2:$E$820, 'Next Gen'!$A51, INDEX(Scores!$H$2:$P$820, 0, MATCH($B51, Scores!$H$1:$P$1, 0)))</f>
        <v>7</v>
      </c>
      <c r="G51" s="1" t="str">
        <f>INDEX(Scores!$B$2:$B$820, MATCH('Next Gen'!$A50, Scores!$E$2:$E$820, 0))</f>
        <v>mid</v>
      </c>
      <c r="H51" s="4">
        <f>INDEX(Scores!$D$2:$D$820, MATCH('Next Gen'!$A50, Scores!$E$2:$E$820, 0))</f>
        <v>45782</v>
      </c>
      <c r="K51"/>
      <c r="L51"/>
      <c r="M51"/>
      <c r="N51"/>
      <c r="O51"/>
    </row>
    <row r="52" spans="1:15">
      <c r="A52" s="1">
        <v>92</v>
      </c>
      <c r="B52" s="1" t="s">
        <v>4</v>
      </c>
      <c r="C52" s="1">
        <v>9</v>
      </c>
      <c r="D52" s="1">
        <v>7</v>
      </c>
      <c r="E52" s="1">
        <v>4</v>
      </c>
      <c r="F52" s="1">
        <f>SUMIF(Scores!$E$2:$E$820, 'Next Gen'!$A52, INDEX(Scores!$H$2:$P$820, 0, MATCH($B52, Scores!$H$1:$P$1, 0)))</f>
        <v>7</v>
      </c>
      <c r="G52" s="1" t="str">
        <f>INDEX(Scores!$B$2:$B$820, MATCH('Next Gen'!$A52, Scores!$E$2:$E$820, 0))</f>
        <v>mid</v>
      </c>
      <c r="H52" s="4">
        <f>INDEX(Scores!$D$2:$D$820, MATCH('Next Gen'!$A52, Scores!$E$2:$E$820, 0))</f>
        <v>45783</v>
      </c>
      <c r="K52"/>
      <c r="L52"/>
      <c r="M52"/>
      <c r="N52"/>
      <c r="O52"/>
    </row>
    <row r="53" spans="1:15">
      <c r="A53" s="1">
        <v>92</v>
      </c>
      <c r="B53" s="1" t="s">
        <v>5</v>
      </c>
      <c r="C53" s="1">
        <v>9</v>
      </c>
      <c r="D53" s="1">
        <v>3</v>
      </c>
      <c r="E53" s="1">
        <v>1</v>
      </c>
      <c r="F53" s="1">
        <f>SUMIF(Scores!$E$2:$E$820, 'Next Gen'!$A53, INDEX(Scores!$H$2:$P$820, 0, MATCH($B53, Scores!$H$1:$P$1, 0)))</f>
        <v>3</v>
      </c>
      <c r="G53" s="1" t="str">
        <f>INDEX(Scores!$B$2:$B$820, MATCH('Next Gen'!$A53, Scores!$E$2:$E$820, 0))</f>
        <v>mid</v>
      </c>
      <c r="H53" s="4">
        <f>INDEX(Scores!$D$2:$D$820, MATCH('Next Gen'!$A53, Scores!$E$2:$E$820, 0))</f>
        <v>45783</v>
      </c>
      <c r="K53"/>
      <c r="L53"/>
      <c r="M53"/>
      <c r="N53"/>
      <c r="O53"/>
    </row>
    <row r="54" spans="1:15">
      <c r="A54" s="1">
        <v>93</v>
      </c>
      <c r="B54" s="1" t="s">
        <v>4</v>
      </c>
      <c r="C54" s="1">
        <v>9</v>
      </c>
      <c r="D54" s="1">
        <v>8</v>
      </c>
      <c r="E54" s="1">
        <v>7</v>
      </c>
      <c r="F54" s="1">
        <f>SUMIF(Scores!$E$2:$E$820, 'Next Gen'!$A54, INDEX(Scores!$H$2:$P$820, 0, MATCH($B54, Scores!$H$1:$P$1, 0)))</f>
        <v>14</v>
      </c>
      <c r="G54" s="1" t="str">
        <f>INDEX(Scores!$B$2:$B$820, MATCH('Next Gen'!$A54, Scores!$E$2:$E$820, 0))</f>
        <v>mid</v>
      </c>
      <c r="H54" s="4">
        <f>INDEX(Scores!$D$2:$D$820, MATCH('Next Gen'!$A54, Scores!$E$2:$E$820, 0))</f>
        <v>45784</v>
      </c>
      <c r="K54"/>
      <c r="L54"/>
      <c r="M54"/>
      <c r="N54"/>
      <c r="O54"/>
    </row>
    <row r="55" spans="1:15">
      <c r="A55" s="1">
        <v>93</v>
      </c>
      <c r="B55" s="1" t="s">
        <v>5</v>
      </c>
      <c r="C55" s="1">
        <v>9</v>
      </c>
      <c r="D55" s="1">
        <v>2</v>
      </c>
      <c r="E55" s="1">
        <v>1</v>
      </c>
      <c r="F55" s="1">
        <f>SUMIF(Scores!$E$2:$E$820, 'Next Gen'!$A55, INDEX(Scores!$H$2:$P$820, 0, MATCH($B55, Scores!$H$1:$P$1, 0)))</f>
        <v>1</v>
      </c>
      <c r="G55" s="1" t="str">
        <f>INDEX(Scores!$B$2:$B$820, MATCH('Next Gen'!$A55, Scores!$E$2:$E$820, 0))</f>
        <v>mid</v>
      </c>
      <c r="H55" s="4">
        <f>INDEX(Scores!$D$2:$D$820, MATCH('Next Gen'!$A55, Scores!$E$2:$E$820, 0))</f>
        <v>45784</v>
      </c>
      <c r="K55"/>
      <c r="L55"/>
      <c r="M55"/>
      <c r="N55"/>
      <c r="O55"/>
    </row>
    <row r="56" spans="1:15">
      <c r="A56" s="1">
        <v>94</v>
      </c>
      <c r="B56" s="1" t="s">
        <v>5</v>
      </c>
      <c r="C56" s="1">
        <v>9</v>
      </c>
      <c r="D56" s="1">
        <v>6</v>
      </c>
      <c r="E56" s="1">
        <v>5</v>
      </c>
      <c r="F56" s="1">
        <f>SUMIF(Scores!$E$2:$E$820, 'Next Gen'!$A56, INDEX(Scores!$H$2:$P$820, 0, MATCH($B56, Scores!$H$1:$P$1, 0)))</f>
        <v>8</v>
      </c>
      <c r="G56" s="1" t="str">
        <f>INDEX(Scores!$B$2:$B$820, MATCH('Next Gen'!$A57, Scores!$E$2:$E$820, 0))</f>
        <v>high</v>
      </c>
      <c r="H56" s="4">
        <f>INDEX(Scores!$D$2:$D$820, MATCH('Next Gen'!$A57, Scores!$E$2:$E$820, 0))</f>
        <v>45784</v>
      </c>
      <c r="K56"/>
      <c r="L56"/>
      <c r="M56"/>
      <c r="N56"/>
      <c r="O56"/>
    </row>
    <row r="57" spans="1:15">
      <c r="A57" s="1">
        <v>94</v>
      </c>
      <c r="B57" s="1" t="s">
        <v>4</v>
      </c>
      <c r="C57" s="1">
        <v>9</v>
      </c>
      <c r="D57" s="1">
        <v>8</v>
      </c>
      <c r="E57" s="1">
        <v>4</v>
      </c>
      <c r="F57" s="1">
        <f>SUMIF(Scores!$E$2:$E$820, 'Next Gen'!$A57, INDEX(Scores!$H$2:$P$820, 0, MATCH($B57, Scores!$H$1:$P$1, 0)))</f>
        <v>7</v>
      </c>
      <c r="G57" s="1" t="str">
        <f>INDEX(Scores!$B$2:$B$820, MATCH('Next Gen'!$A56, Scores!$E$2:$E$820, 0))</f>
        <v>high</v>
      </c>
      <c r="H57" s="4">
        <f>INDEX(Scores!$D$2:$D$820, MATCH('Next Gen'!$A56, Scores!$E$2:$E$820, 0))</f>
        <v>45784</v>
      </c>
      <c r="K57"/>
      <c r="L57"/>
      <c r="M57"/>
      <c r="N57"/>
      <c r="O57"/>
    </row>
    <row r="58" spans="1:15">
      <c r="A58" s="1">
        <v>95</v>
      </c>
      <c r="B58" s="1" t="s">
        <v>5</v>
      </c>
      <c r="C58" s="1">
        <v>9</v>
      </c>
      <c r="D58" s="1">
        <v>7</v>
      </c>
      <c r="E58" s="1">
        <v>1</v>
      </c>
      <c r="F58" s="1">
        <f>SUMIF(Scores!$E$2:$E$820, 'Next Gen'!$A58, INDEX(Scores!$H$2:$P$820, 0, MATCH($B58, Scores!$H$1:$P$1, 0)))</f>
        <v>1</v>
      </c>
      <c r="G58" s="1" t="str">
        <f>INDEX(Scores!$B$2:$B$820, MATCH('Next Gen'!$A59, Scores!$E$2:$E$820, 0))</f>
        <v>low</v>
      </c>
      <c r="H58" s="4">
        <f>INDEX(Scores!$D$2:$D$820, MATCH('Next Gen'!$A59, Scores!$E$2:$E$820, 0))</f>
        <v>45784</v>
      </c>
      <c r="K58"/>
      <c r="L58"/>
      <c r="M58"/>
      <c r="N58"/>
      <c r="O58"/>
    </row>
    <row r="59" spans="1:15">
      <c r="A59" s="1">
        <v>95</v>
      </c>
      <c r="B59" s="1" t="s">
        <v>4</v>
      </c>
      <c r="C59" s="1">
        <v>9</v>
      </c>
      <c r="D59" s="1">
        <v>8</v>
      </c>
      <c r="E59" s="1">
        <v>1</v>
      </c>
      <c r="F59" s="1">
        <f>SUMIF(Scores!$E$2:$E$820, 'Next Gen'!$A59, INDEX(Scores!$H$2:$P$820, 0, MATCH($B59, Scores!$H$1:$P$1, 0)))</f>
        <v>2</v>
      </c>
      <c r="G59" s="1" t="str">
        <f>INDEX(Scores!$B$2:$B$820, MATCH('Next Gen'!$A58, Scores!$E$2:$E$820, 0))</f>
        <v>low</v>
      </c>
      <c r="H59" s="4">
        <f>INDEX(Scores!$D$2:$D$820, MATCH('Next Gen'!$A58, Scores!$E$2:$E$820, 0))</f>
        <v>45784</v>
      </c>
      <c r="K59"/>
      <c r="L59"/>
      <c r="M59"/>
      <c r="N59"/>
      <c r="O59"/>
    </row>
    <row r="60" spans="1:15">
      <c r="A60" s="1">
        <v>96</v>
      </c>
      <c r="B60" s="1" t="s">
        <v>4</v>
      </c>
      <c r="C60" s="1">
        <v>9</v>
      </c>
      <c r="D60" s="1">
        <v>9</v>
      </c>
      <c r="E60" s="1">
        <v>3</v>
      </c>
      <c r="F60" s="1">
        <f>SUMIF(Scores!$E$2:$E$820, 'Next Gen'!$A60, INDEX(Scores!$H$2:$P$820, 0, MATCH($B60, Scores!$H$1:$P$1, 0)))</f>
        <v>5</v>
      </c>
      <c r="G60" s="1" t="str">
        <f>INDEX(Scores!$B$2:$B$820, MATCH('Next Gen'!$A60, Scores!$E$2:$E$820, 0))</f>
        <v>mid</v>
      </c>
      <c r="H60" s="4">
        <f>INDEX(Scores!$D$2:$D$820, MATCH('Next Gen'!$A60, Scores!$E$2:$E$820, 0))</f>
        <v>45790</v>
      </c>
      <c r="K60"/>
      <c r="L60"/>
      <c r="M60"/>
      <c r="N60"/>
      <c r="O60"/>
    </row>
    <row r="61" spans="1:15">
      <c r="A61" s="1">
        <v>96</v>
      </c>
      <c r="B61" s="1" t="s">
        <v>5</v>
      </c>
      <c r="C61" s="1">
        <v>9</v>
      </c>
      <c r="D61" s="1">
        <v>6</v>
      </c>
      <c r="E61" s="1">
        <v>2</v>
      </c>
      <c r="F61" s="1">
        <f>SUMIF(Scores!$E$2:$E$820, 'Next Gen'!$A61, INDEX(Scores!$H$2:$P$820, 0, MATCH($B61, Scores!$H$1:$P$1, 0)))</f>
        <v>3</v>
      </c>
      <c r="G61" s="1" t="str">
        <f>INDEX(Scores!$B$2:$B$820, MATCH('Next Gen'!$A61, Scores!$E$2:$E$820, 0))</f>
        <v>mid</v>
      </c>
      <c r="H61" s="4">
        <f>INDEX(Scores!$D$2:$D$820, MATCH('Next Gen'!$A61, Scores!$E$2:$E$820, 0))</f>
        <v>45790</v>
      </c>
      <c r="K61"/>
      <c r="L61"/>
      <c r="M61"/>
      <c r="N61"/>
      <c r="O61"/>
    </row>
    <row r="62" spans="1:15">
      <c r="A62" s="1">
        <v>98</v>
      </c>
      <c r="B62" s="1" t="s">
        <v>4</v>
      </c>
      <c r="C62" s="1">
        <v>9</v>
      </c>
      <c r="D62" s="1">
        <v>9</v>
      </c>
      <c r="E62" s="1">
        <v>4</v>
      </c>
      <c r="F62" s="1">
        <f>SUMIF(Scores!$E$2:$E$820, 'Next Gen'!$A62, INDEX(Scores!$H$2:$P$820, 0, MATCH($B62, Scores!$H$1:$P$1, 0)))</f>
        <v>11</v>
      </c>
      <c r="G62" s="1" t="str">
        <f>INDEX(Scores!$B$2:$B$820, MATCH('Next Gen'!$A62, Scores!$E$2:$E$820, 0))</f>
        <v>mid</v>
      </c>
      <c r="H62" s="4">
        <f>INDEX(Scores!$D$2:$D$820, MATCH('Next Gen'!$A62, Scores!$E$2:$E$820, 0))</f>
        <v>45791</v>
      </c>
      <c r="K62"/>
      <c r="L62"/>
      <c r="M62"/>
      <c r="N62"/>
      <c r="O62"/>
    </row>
    <row r="63" spans="1:15">
      <c r="A63" s="1">
        <v>98</v>
      </c>
      <c r="B63" s="1" t="s">
        <v>5</v>
      </c>
      <c r="C63" s="1">
        <v>9</v>
      </c>
      <c r="D63" s="1">
        <v>9</v>
      </c>
      <c r="E63" s="1">
        <v>2</v>
      </c>
      <c r="F63" s="1">
        <f>SUMIF(Scores!$E$2:$E$820, 'Next Gen'!$A63, INDEX(Scores!$H$2:$P$820, 0, MATCH($B63, Scores!$H$1:$P$1, 0)))</f>
        <v>2</v>
      </c>
      <c r="G63" s="1" t="str">
        <f>INDEX(Scores!$B$2:$B$820, MATCH('Next Gen'!$A63, Scores!$E$2:$E$820, 0))</f>
        <v>mid</v>
      </c>
      <c r="H63" s="4">
        <f>INDEX(Scores!$D$2:$D$820, MATCH('Next Gen'!$A63, Scores!$E$2:$E$820, 0))</f>
        <v>45791</v>
      </c>
      <c r="K63"/>
      <c r="L63"/>
      <c r="M63"/>
      <c r="N63"/>
      <c r="O63"/>
    </row>
    <row r="64" spans="1:15">
      <c r="A64" s="1">
        <v>98</v>
      </c>
      <c r="B64" s="1" t="s">
        <v>6</v>
      </c>
      <c r="C64" s="1">
        <v>9</v>
      </c>
      <c r="D64" s="1">
        <v>4</v>
      </c>
      <c r="E64" s="1">
        <v>1</v>
      </c>
      <c r="F64" s="1">
        <f>SUMIF(Scores!$E$2:$E$820, 'Next Gen'!$A64, INDEX(Scores!$H$2:$P$820, 0, MATCH($B64, Scores!$H$1:$P$1, 0)))</f>
        <v>3</v>
      </c>
      <c r="G64" s="1" t="str">
        <f>INDEX(Scores!$B$2:$B$820, MATCH('Next Gen'!$A64, Scores!$E$2:$E$820, 0))</f>
        <v>mid</v>
      </c>
      <c r="H64" s="4">
        <f>INDEX(Scores!$D$2:$D$820, MATCH('Next Gen'!$A64, Scores!$E$2:$E$820, 0))</f>
        <v>45791</v>
      </c>
      <c r="K64"/>
      <c r="L64"/>
      <c r="M64"/>
      <c r="N64"/>
      <c r="O64"/>
    </row>
    <row r="65" spans="1:15">
      <c r="A65" s="1">
        <v>99</v>
      </c>
      <c r="B65" s="1" t="s">
        <v>5</v>
      </c>
      <c r="C65" s="1">
        <v>9</v>
      </c>
      <c r="D65" s="1">
        <v>9</v>
      </c>
      <c r="E65" s="1">
        <v>4</v>
      </c>
      <c r="F65" s="1">
        <f>SUMIF(Scores!$E$2:$E$820, 'Next Gen'!$A65, INDEX(Scores!$H$2:$P$820, 0, MATCH($B65, Scores!$H$1:$P$1, 0)))</f>
        <v>7</v>
      </c>
      <c r="G65" s="1" t="str">
        <f>INDEX(Scores!$B$2:$B$820, MATCH('Next Gen'!$A66, Scores!$E$2:$E$820, 0))</f>
        <v>mid</v>
      </c>
      <c r="H65" s="4">
        <f>INDEX(Scores!$D$2:$D$820, MATCH('Next Gen'!$A66, Scores!$E$2:$E$820, 0))</f>
        <v>45791</v>
      </c>
      <c r="K65"/>
      <c r="L65"/>
      <c r="M65"/>
      <c r="N65"/>
      <c r="O65"/>
    </row>
    <row r="66" spans="1:15">
      <c r="A66" s="1">
        <v>99</v>
      </c>
      <c r="B66" s="1" t="s">
        <v>6</v>
      </c>
      <c r="C66" s="1">
        <v>9</v>
      </c>
      <c r="D66" s="1">
        <v>4</v>
      </c>
      <c r="E66" s="1">
        <v>4</v>
      </c>
      <c r="F66" s="1">
        <f>SUMIF(Scores!$E$2:$E$820, 'Next Gen'!$A66, INDEX(Scores!$H$2:$P$820, 0, MATCH($B66, Scores!$H$1:$P$1, 0)))</f>
        <v>9</v>
      </c>
      <c r="G66" s="1" t="str">
        <f>INDEX(Scores!$B$2:$B$820, MATCH('Next Gen'!$A67, Scores!$E$2:$E$820, 0))</f>
        <v>mid</v>
      </c>
      <c r="H66" s="4">
        <f>INDEX(Scores!$D$2:$D$820, MATCH('Next Gen'!$A67, Scores!$E$2:$E$820, 0))</f>
        <v>45791</v>
      </c>
      <c r="K66"/>
      <c r="L66"/>
      <c r="M66"/>
      <c r="N66"/>
      <c r="O66"/>
    </row>
    <row r="67" spans="1:15">
      <c r="A67" s="1">
        <v>99</v>
      </c>
      <c r="B67" s="1" t="s">
        <v>7</v>
      </c>
      <c r="C67" s="1">
        <v>9</v>
      </c>
      <c r="D67" s="1">
        <v>2</v>
      </c>
      <c r="E67" s="1">
        <v>2</v>
      </c>
      <c r="F67" s="1">
        <f>SUMIF(Scores!$E$2:$E$820, 'Next Gen'!$A67, INDEX(Scores!$H$2:$P$820, 0, MATCH($B67, Scores!$H$1:$P$1, 0)))</f>
        <v>5</v>
      </c>
      <c r="G67" s="1" t="str">
        <f>INDEX(Scores!$B$2:$B$820, MATCH('Next Gen'!$A68, Scores!$E$2:$E$820, 0))</f>
        <v>mid</v>
      </c>
      <c r="H67" s="4">
        <f>INDEX(Scores!$D$2:$D$820, MATCH('Next Gen'!$A68, Scores!$E$2:$E$820, 0))</f>
        <v>45791</v>
      </c>
      <c r="K67"/>
      <c r="L67"/>
      <c r="M67"/>
      <c r="N67"/>
      <c r="O67"/>
    </row>
    <row r="68" spans="1:15">
      <c r="A68" s="1">
        <v>99</v>
      </c>
      <c r="B68" s="1" t="s">
        <v>4</v>
      </c>
      <c r="C68" s="1">
        <v>9</v>
      </c>
      <c r="D68" s="1">
        <v>9</v>
      </c>
      <c r="E68" s="1">
        <v>1</v>
      </c>
      <c r="F68" s="1">
        <f>SUMIF(Scores!$E$2:$E$820, 'Next Gen'!$A68, INDEX(Scores!$H$2:$P$820, 0, MATCH($B68, Scores!$H$1:$P$1, 0)))</f>
        <v>3</v>
      </c>
      <c r="G68" s="1" t="str">
        <f>INDEX(Scores!$B$2:$B$820, MATCH('Next Gen'!$A65, Scores!$E$2:$E$820, 0))</f>
        <v>mid</v>
      </c>
      <c r="H68" s="4">
        <f>INDEX(Scores!$D$2:$D$820, MATCH('Next Gen'!$A65, Scores!$E$2:$E$820, 0))</f>
        <v>45791</v>
      </c>
      <c r="K68"/>
      <c r="L68"/>
      <c r="M68"/>
      <c r="N68"/>
      <c r="O68"/>
    </row>
    <row r="69" spans="1:15">
      <c r="A69" s="1">
        <v>100</v>
      </c>
      <c r="B69" s="1" t="s">
        <v>5</v>
      </c>
      <c r="C69" s="1">
        <v>9</v>
      </c>
      <c r="D69" s="1">
        <v>8</v>
      </c>
      <c r="E69" s="1">
        <v>4</v>
      </c>
      <c r="F69" s="1">
        <f>SUMIF(Scores!$E$2:$E$820, 'Next Gen'!$A69, INDEX(Scores!$H$2:$P$820, 0, MATCH($B69, Scores!$H$1:$P$1, 0)))</f>
        <v>7</v>
      </c>
      <c r="G69" s="1" t="str">
        <f>INDEX(Scores!$B$2:$B$820, MATCH('Next Gen'!$A70, Scores!$E$2:$E$820, 0))</f>
        <v>high</v>
      </c>
      <c r="H69" s="4">
        <f>INDEX(Scores!$D$2:$D$820, MATCH('Next Gen'!$A70, Scores!$E$2:$E$820, 0))</f>
        <v>45791</v>
      </c>
      <c r="K69"/>
      <c r="L69"/>
      <c r="M69"/>
      <c r="N69"/>
      <c r="O69"/>
    </row>
    <row r="70" spans="1:15">
      <c r="A70" s="1">
        <v>100</v>
      </c>
      <c r="B70" s="1" t="s">
        <v>4</v>
      </c>
      <c r="C70" s="1">
        <v>9</v>
      </c>
      <c r="D70" s="1">
        <v>9</v>
      </c>
      <c r="E70" s="1">
        <v>4</v>
      </c>
      <c r="F70" s="1">
        <f>SUMIF(Scores!$E$2:$E$820, 'Next Gen'!$A70, INDEX(Scores!$H$2:$P$820, 0, MATCH($B70, Scores!$H$1:$P$1, 0)))</f>
        <v>9</v>
      </c>
      <c r="G70" s="1" t="str">
        <f>INDEX(Scores!$B$2:$B$820, MATCH('Next Gen'!$A69, Scores!$E$2:$E$820, 0))</f>
        <v>high</v>
      </c>
      <c r="H70" s="4">
        <f>INDEX(Scores!$D$2:$D$820, MATCH('Next Gen'!$A69, Scores!$E$2:$E$820, 0))</f>
        <v>45791</v>
      </c>
      <c r="K70"/>
      <c r="L70"/>
      <c r="M70"/>
      <c r="N70"/>
      <c r="O70"/>
    </row>
    <row r="71" spans="1:15">
      <c r="A71" s="1">
        <v>101</v>
      </c>
      <c r="B71" s="1" t="s">
        <v>5</v>
      </c>
      <c r="C71" s="1">
        <v>9</v>
      </c>
      <c r="D71" s="1">
        <v>7</v>
      </c>
      <c r="E71" s="1">
        <v>5</v>
      </c>
      <c r="F71" s="1">
        <f>SUMIF(Scores!$E$2:$E$820, 'Next Gen'!$A71, INDEX(Scores!$H$2:$P$820, 0, MATCH($B71, Scores!$H$1:$P$1, 0)))</f>
        <v>9</v>
      </c>
      <c r="G71" s="1" t="str">
        <f>INDEX(Scores!$B$2:$B$820, MATCH('Next Gen'!$A71, Scores!$E$2:$E$820, 0))</f>
        <v>mid</v>
      </c>
      <c r="H71" s="4">
        <f>INDEX(Scores!$D$2:$D$820, MATCH('Next Gen'!$A71, Scores!$E$2:$E$820, 0))</f>
        <v>45797</v>
      </c>
      <c r="K71"/>
      <c r="L71"/>
      <c r="M71"/>
      <c r="N71"/>
      <c r="O71"/>
    </row>
    <row r="72" spans="1:15">
      <c r="A72" s="1">
        <v>101</v>
      </c>
      <c r="B72" s="1" t="s">
        <v>6</v>
      </c>
      <c r="C72" s="1">
        <v>9</v>
      </c>
      <c r="D72" s="1">
        <v>7</v>
      </c>
      <c r="E72" s="1">
        <v>2</v>
      </c>
      <c r="F72" s="1">
        <f>SUMIF(Scores!$E$2:$E$820, 'Next Gen'!$A72, INDEX(Scores!$H$2:$P$820, 0, MATCH($B72, Scores!$H$1:$P$1, 0)))</f>
        <v>6</v>
      </c>
      <c r="G72" s="1" t="str">
        <f>INDEX(Scores!$B$2:$B$820, MATCH('Next Gen'!$A72, Scores!$E$2:$E$820, 0))</f>
        <v>mid</v>
      </c>
      <c r="H72" s="4">
        <f>INDEX(Scores!$D$2:$D$820, MATCH('Next Gen'!$A72, Scores!$E$2:$E$820, 0))</f>
        <v>45797</v>
      </c>
      <c r="K72"/>
      <c r="L72"/>
      <c r="M72"/>
      <c r="N72"/>
      <c r="O72"/>
    </row>
    <row r="73" spans="1:15">
      <c r="A73" s="1">
        <v>102</v>
      </c>
      <c r="B73" s="1" t="s">
        <v>5</v>
      </c>
      <c r="C73" s="1">
        <v>9</v>
      </c>
      <c r="D73" s="1">
        <v>8</v>
      </c>
      <c r="E73" s="1">
        <v>5</v>
      </c>
      <c r="F73" s="1">
        <f>SUMIF(Scores!$E$2:$E$820, 'Next Gen'!$A73, INDEX(Scores!$H$2:$P$820, 0, MATCH($B73, Scores!$H$1:$P$1, 0)))</f>
        <v>8</v>
      </c>
      <c r="G73" s="1" t="str">
        <f>INDEX(Scores!$B$2:$B$820, MATCH('Next Gen'!$A73, Scores!$E$2:$E$820, 0))</f>
        <v>mid</v>
      </c>
      <c r="H73" s="4">
        <f>INDEX(Scores!$D$2:$D$820, MATCH('Next Gen'!$A73, Scores!$E$2:$E$820, 0))</f>
        <v>45797</v>
      </c>
      <c r="K73"/>
      <c r="L73"/>
      <c r="M73"/>
      <c r="N73"/>
      <c r="O73"/>
    </row>
    <row r="74" spans="1:15">
      <c r="A74" s="1">
        <v>102</v>
      </c>
      <c r="B74" s="1" t="s">
        <v>7</v>
      </c>
      <c r="C74" s="1">
        <v>9</v>
      </c>
      <c r="D74" s="1">
        <v>2</v>
      </c>
      <c r="E74" s="1">
        <v>1</v>
      </c>
      <c r="F74" s="1">
        <f>SUMIF(Scores!$E$2:$E$820, 'Next Gen'!$A74, INDEX(Scores!$H$2:$P$820, 0, MATCH($B74, Scores!$H$1:$P$1, 0)))</f>
        <v>1</v>
      </c>
      <c r="G74" s="1" t="str">
        <f>INDEX(Scores!$B$2:$B$820, MATCH('Next Gen'!$A74, Scores!$E$2:$E$820, 0))</f>
        <v>mid</v>
      </c>
      <c r="H74" s="4">
        <f>INDEX(Scores!$D$2:$D$820, MATCH('Next Gen'!$A74, Scores!$E$2:$E$820, 0))</f>
        <v>45797</v>
      </c>
      <c r="K74"/>
      <c r="L74"/>
      <c r="M74"/>
      <c r="N74"/>
      <c r="O74"/>
    </row>
    <row r="75" spans="1:15">
      <c r="A75" s="1">
        <v>103</v>
      </c>
      <c r="B75" s="1" t="s">
        <v>5</v>
      </c>
      <c r="C75" s="1">
        <v>9</v>
      </c>
      <c r="D75" s="1">
        <v>9</v>
      </c>
      <c r="E75" s="1">
        <v>7</v>
      </c>
      <c r="F75" s="1">
        <f>SUMIF(Scores!$E$2:$E$820, 'Next Gen'!$A75, INDEX(Scores!$H$2:$P$820, 0, MATCH($B75, Scores!$H$1:$P$1, 0)))</f>
        <v>12</v>
      </c>
      <c r="G75" s="1" t="str">
        <f>INDEX(Scores!$B$2:$B$820, MATCH('Next Gen'!$A75, Scores!$E$2:$E$820, 0))</f>
        <v>mid</v>
      </c>
      <c r="H75" s="4">
        <f>INDEX(Scores!$D$2:$D$820, MATCH('Next Gen'!$A75, Scores!$E$2:$E$820, 0))</f>
        <v>45798</v>
      </c>
      <c r="K75"/>
      <c r="L75"/>
      <c r="M75"/>
      <c r="N75"/>
      <c r="O75"/>
    </row>
    <row r="76" spans="1:15">
      <c r="A76" s="1">
        <v>103</v>
      </c>
      <c r="B76" s="1" t="s">
        <v>6</v>
      </c>
      <c r="C76" s="1">
        <v>9</v>
      </c>
      <c r="D76" s="1">
        <v>3</v>
      </c>
      <c r="E76" s="1">
        <v>3</v>
      </c>
      <c r="F76" s="1">
        <f>SUMIF(Scores!$E$2:$E$820, 'Next Gen'!$A76, INDEX(Scores!$H$2:$P$820, 0, MATCH($B76, Scores!$H$1:$P$1, 0)))</f>
        <v>5</v>
      </c>
      <c r="G76" s="1" t="str">
        <f>INDEX(Scores!$B$2:$B$820, MATCH('Next Gen'!$A76, Scores!$E$2:$E$820, 0))</f>
        <v>mid</v>
      </c>
      <c r="H76" s="4">
        <f>INDEX(Scores!$D$2:$D$820, MATCH('Next Gen'!$A76, Scores!$E$2:$E$820, 0))</f>
        <v>45798</v>
      </c>
      <c r="K76"/>
      <c r="L76"/>
      <c r="M76"/>
      <c r="N76"/>
      <c r="O76"/>
    </row>
    <row r="77" spans="1:15">
      <c r="A77" s="1">
        <v>104</v>
      </c>
      <c r="B77" s="1" t="s">
        <v>5</v>
      </c>
      <c r="C77" s="1">
        <v>9</v>
      </c>
      <c r="D77" s="1">
        <v>6</v>
      </c>
      <c r="E77" s="1">
        <v>2</v>
      </c>
      <c r="F77" s="1">
        <f>SUMIF(Scores!$E$2:$E$820, 'Next Gen'!$A77, INDEX(Scores!$H$2:$P$820, 0, MATCH($B77, Scores!$H$1:$P$1, 0)))</f>
        <v>4</v>
      </c>
      <c r="G77" s="1" t="str">
        <f>INDEX(Scores!$B$2:$B$820, MATCH('Next Gen'!$A77, Scores!$E$2:$E$820, 0))</f>
        <v>mid</v>
      </c>
      <c r="H77" s="4">
        <f>INDEX(Scores!$D$2:$D$820, MATCH('Next Gen'!$A77, Scores!$E$2:$E$820, 0))</f>
        <v>45799</v>
      </c>
      <c r="K77"/>
      <c r="L77"/>
      <c r="M77"/>
      <c r="N77"/>
      <c r="O77"/>
    </row>
    <row r="78" spans="1:15">
      <c r="A78" s="1">
        <v>104</v>
      </c>
      <c r="B78" s="1" t="s">
        <v>6</v>
      </c>
      <c r="C78" s="1">
        <v>9</v>
      </c>
      <c r="D78" s="1">
        <v>7</v>
      </c>
      <c r="E78" s="1">
        <v>1</v>
      </c>
      <c r="F78" s="1">
        <f>SUMIF(Scores!$E$2:$E$820, 'Next Gen'!$A78, INDEX(Scores!$H$2:$P$820, 0, MATCH($B78, Scores!$H$1:$P$1, 0)))</f>
        <v>1</v>
      </c>
      <c r="G78" s="1" t="str">
        <f>INDEX(Scores!$B$2:$B$820, MATCH('Next Gen'!$A78, Scores!$E$2:$E$820, 0))</f>
        <v>mid</v>
      </c>
      <c r="H78" s="4">
        <f>INDEX(Scores!$D$2:$D$820, MATCH('Next Gen'!$A78, Scores!$E$2:$E$820, 0))</f>
        <v>45799</v>
      </c>
      <c r="K78"/>
    </row>
    <row r="79" spans="1:15">
      <c r="A79" s="1">
        <v>105</v>
      </c>
      <c r="B79" s="1" t="s">
        <v>5</v>
      </c>
      <c r="C79" s="1">
        <v>9</v>
      </c>
      <c r="D79" s="1">
        <v>8</v>
      </c>
      <c r="E79" s="1">
        <v>3</v>
      </c>
      <c r="F79" s="1">
        <f>SUMIF(Scores!$E$2:$E$820, 'Next Gen'!$A79, INDEX(Scores!$H$2:$P$820, 0, MATCH($B79, Scores!$H$1:$P$1, 0)))</f>
        <v>3</v>
      </c>
      <c r="G79" s="1" t="str">
        <f>INDEX(Scores!$B$2:$B$820, MATCH('Next Gen'!$A79, Scores!$E$2:$E$820, 0))</f>
        <v>mid</v>
      </c>
      <c r="H79" s="4">
        <f>INDEX(Scores!$D$2:$D$820, MATCH('Next Gen'!$A79, Scores!$E$2:$E$820, 0))</f>
        <v>45811</v>
      </c>
      <c r="K79"/>
    </row>
    <row r="80" spans="1:15">
      <c r="A80" s="1">
        <v>105</v>
      </c>
      <c r="B80" s="1" t="s">
        <v>6</v>
      </c>
      <c r="C80" s="1">
        <v>9</v>
      </c>
      <c r="D80" s="1">
        <v>3</v>
      </c>
      <c r="E80" s="1">
        <v>1</v>
      </c>
      <c r="F80" s="1">
        <f>SUMIF(Scores!$E$2:$E$820, 'Next Gen'!$A80, INDEX(Scores!$H$2:$P$820, 0, MATCH($B80, Scores!$H$1:$P$1, 0)))</f>
        <v>1</v>
      </c>
      <c r="G80" s="1" t="str">
        <f>INDEX(Scores!$B$2:$B$820, MATCH('Next Gen'!$A80, Scores!$E$2:$E$820, 0))</f>
        <v>mid</v>
      </c>
      <c r="H80" s="4">
        <f>INDEX(Scores!$D$2:$D$820, MATCH('Next Gen'!$A80, Scores!$E$2:$E$820, 0))</f>
        <v>45811</v>
      </c>
      <c r="K80"/>
    </row>
    <row r="81" spans="1:11">
      <c r="A81" s="1">
        <v>106</v>
      </c>
      <c r="B81" s="1" t="s">
        <v>5</v>
      </c>
      <c r="C81" s="1">
        <v>9</v>
      </c>
      <c r="D81" s="1">
        <v>7</v>
      </c>
      <c r="E81" s="1">
        <v>2</v>
      </c>
      <c r="F81" s="1">
        <f>SUMIF(Scores!$E$2:$E$820, 'Next Gen'!$A81, INDEX(Scores!$H$2:$P$820, 0, MATCH($B81, Scores!$H$1:$P$1, 0)))</f>
        <v>3</v>
      </c>
      <c r="G81" s="1" t="str">
        <f>INDEX(Scores!$B$2:$B$820, MATCH('Next Gen'!$A81, Scores!$E$2:$E$820, 0))</f>
        <v>mid</v>
      </c>
      <c r="H81" s="4">
        <f>INDEX(Scores!$D$2:$D$820, MATCH('Next Gen'!$A81, Scores!$E$2:$E$820, 0))</f>
        <v>45811</v>
      </c>
      <c r="K81"/>
    </row>
    <row r="82" spans="1:11">
      <c r="A82" s="1">
        <v>106</v>
      </c>
      <c r="B82" s="1" t="s">
        <v>6</v>
      </c>
      <c r="C82" s="1">
        <v>9</v>
      </c>
      <c r="D82" s="1">
        <v>5</v>
      </c>
      <c r="E82" s="1">
        <v>2</v>
      </c>
      <c r="F82" s="1">
        <f>SUMIF(Scores!$E$2:$E$820, 'Next Gen'!$A82, INDEX(Scores!$H$2:$P$820, 0, MATCH($B82, Scores!$H$1:$P$1, 0)))</f>
        <v>2</v>
      </c>
      <c r="G82" s="1" t="str">
        <f>INDEX(Scores!$B$2:$B$820, MATCH('Next Gen'!$A82, Scores!$E$2:$E$820, 0))</f>
        <v>mid</v>
      </c>
      <c r="H82" s="4">
        <f>INDEX(Scores!$D$2:$D$820, MATCH('Next Gen'!$A82, Scores!$E$2:$E$820, 0))</f>
        <v>45811</v>
      </c>
      <c r="K82"/>
    </row>
    <row r="83" spans="1:11">
      <c r="A83" s="1">
        <v>107</v>
      </c>
      <c r="B83" s="1" t="s">
        <v>5</v>
      </c>
      <c r="C83" s="1">
        <v>9</v>
      </c>
      <c r="D83" s="1">
        <v>7</v>
      </c>
      <c r="E83" s="1">
        <v>4</v>
      </c>
      <c r="F83" s="1">
        <f>SUMIF(Scores!$E$2:$E$820, 'Next Gen'!$A83, INDEX(Scores!$H$2:$P$820, 0, MATCH($B83, Scores!$H$1:$P$1, 0)))</f>
        <v>5</v>
      </c>
      <c r="G83" s="1" t="str">
        <f>INDEX(Scores!$B$2:$B$820, MATCH('Next Gen'!$A83, Scores!$E$2:$E$820, 0))</f>
        <v>mid</v>
      </c>
      <c r="H83" s="4">
        <f>INDEX(Scores!$D$2:$D$820, MATCH('Next Gen'!$A83, Scores!$E$2:$E$820, 0))</f>
        <v>45818</v>
      </c>
      <c r="K83"/>
    </row>
    <row r="84" spans="1:11">
      <c r="A84" s="1">
        <v>107</v>
      </c>
      <c r="B84" s="1" t="s">
        <v>4</v>
      </c>
      <c r="C84" s="1">
        <v>9</v>
      </c>
      <c r="D84" s="1">
        <v>8</v>
      </c>
      <c r="E84" s="1">
        <v>3</v>
      </c>
      <c r="F84" s="1">
        <f>SUMIF(Scores!$E$2:$E$820, 'Next Gen'!$A84, INDEX(Scores!$H$2:$P$820, 0, MATCH($B84, Scores!$H$1:$P$1, 0)))</f>
        <v>6</v>
      </c>
      <c r="G84" s="1" t="str">
        <f>INDEX(Scores!$B$2:$B$820, MATCH('Next Gen'!$A84, Scores!$E$2:$E$820, 0))</f>
        <v>mid</v>
      </c>
      <c r="H84" s="4">
        <f>INDEX(Scores!$D$2:$D$820, MATCH('Next Gen'!$A84, Scores!$E$2:$E$820, 0))</f>
        <v>45818</v>
      </c>
      <c r="K84"/>
    </row>
    <row r="85" spans="1:11">
      <c r="A85" s="1">
        <v>108</v>
      </c>
      <c r="B85" s="1" t="s">
        <v>5</v>
      </c>
      <c r="C85" s="1">
        <v>9</v>
      </c>
      <c r="D85" s="1">
        <v>7</v>
      </c>
      <c r="E85" s="1">
        <v>4</v>
      </c>
      <c r="F85" s="1">
        <f>SUMIF(Scores!$E$2:$E$820, 'Next Gen'!$A85, INDEX(Scores!$H$2:$P$820, 0, MATCH($B85, Scores!$H$1:$P$1, 0)))</f>
        <v>6</v>
      </c>
      <c r="G85" s="1" t="str">
        <f>INDEX(Scores!$B$2:$B$820, MATCH('Next Gen'!$A85, Scores!$E$2:$E$820, 0))</f>
        <v>mid</v>
      </c>
      <c r="H85" s="4">
        <f>INDEX(Scores!$D$2:$D$820, MATCH('Next Gen'!$A85, Scores!$E$2:$E$820, 0))</f>
        <v>45819</v>
      </c>
      <c r="K85"/>
    </row>
    <row r="86" spans="1:11">
      <c r="A86" s="1">
        <v>108</v>
      </c>
      <c r="B86" s="1" t="s">
        <v>4</v>
      </c>
      <c r="C86" s="1">
        <v>9</v>
      </c>
      <c r="D86" s="1">
        <v>9</v>
      </c>
      <c r="E86" s="1">
        <v>4</v>
      </c>
      <c r="F86" s="1">
        <f>SUMIF(Scores!$E$2:$E$820, 'Next Gen'!$A86, INDEX(Scores!$H$2:$P$820, 0, MATCH($B86, Scores!$H$1:$P$1, 0)))</f>
        <v>8</v>
      </c>
      <c r="G86" s="1" t="str">
        <f>INDEX(Scores!$B$2:$B$820, MATCH('Next Gen'!$A86, Scores!$E$2:$E$820, 0))</f>
        <v>mid</v>
      </c>
      <c r="H86" s="4">
        <f>INDEX(Scores!$D$2:$D$820, MATCH('Next Gen'!$A86, Scores!$E$2:$E$820, 0))</f>
        <v>45819</v>
      </c>
      <c r="K86"/>
    </row>
    <row r="87" spans="1:11">
      <c r="A87" s="1">
        <v>109</v>
      </c>
      <c r="B87" s="1" t="s">
        <v>4</v>
      </c>
      <c r="C87" s="1">
        <v>9</v>
      </c>
      <c r="D87" s="1">
        <v>9</v>
      </c>
      <c r="E87" s="1">
        <v>4</v>
      </c>
      <c r="F87" s="1">
        <f>SUMIF(Scores!$E$2:$E$820, 'Next Gen'!$A87, INDEX(Scores!$H$2:$P$820, 0, MATCH($B87, Scores!$H$1:$P$1, 0)))</f>
        <v>5</v>
      </c>
      <c r="G87" s="1" t="str">
        <f>INDEX(Scores!$B$2:$B$820, MATCH('Next Gen'!$A88, Scores!$E$2:$E$820, 0))</f>
        <v>mid</v>
      </c>
      <c r="H87" s="4">
        <f>INDEX(Scores!$D$2:$D$820, MATCH('Next Gen'!$A88, Scores!$E$2:$E$820, 0))</f>
        <v>45820</v>
      </c>
      <c r="K87"/>
    </row>
    <row r="88" spans="1:11">
      <c r="A88" s="1">
        <v>109</v>
      </c>
      <c r="B88" s="1" t="s">
        <v>5</v>
      </c>
      <c r="C88" s="1">
        <v>9</v>
      </c>
      <c r="D88" s="1">
        <v>7</v>
      </c>
      <c r="E88" s="1">
        <v>3</v>
      </c>
      <c r="F88" s="1">
        <f>SUMIF(Scores!$E$2:$E$820, 'Next Gen'!$A88, INDEX(Scores!$H$2:$P$820, 0, MATCH($B88, Scores!$H$1:$P$1, 0)))</f>
        <v>8</v>
      </c>
      <c r="G88" s="1" t="str">
        <f>INDEX(Scores!$B$2:$B$820, MATCH('Next Gen'!$A87, Scores!$E$2:$E$820, 0))</f>
        <v>mid</v>
      </c>
      <c r="H88" s="4">
        <f>INDEX(Scores!$D$2:$D$820, MATCH('Next Gen'!$A87, Scores!$E$2:$E$820, 0))</f>
        <v>45820</v>
      </c>
      <c r="K88"/>
    </row>
    <row r="89" spans="1:11">
      <c r="A89" s="1">
        <v>110</v>
      </c>
      <c r="B89" s="1" t="s">
        <v>4</v>
      </c>
      <c r="C89" s="1">
        <v>9</v>
      </c>
      <c r="D89" s="1">
        <v>7</v>
      </c>
      <c r="E89" s="1">
        <v>3</v>
      </c>
      <c r="F89" s="1">
        <f>SUMIF(Scores!$E$2:$E$820, 'Next Gen'!$A89, INDEX(Scores!$H$2:$P$820, 0, MATCH($B89, Scores!$H$1:$P$1, 0)))</f>
        <v>5</v>
      </c>
      <c r="G89" s="1" t="str">
        <f>INDEX(Scores!$B$2:$B$820, MATCH('Next Gen'!$A90, Scores!$E$2:$E$820, 0))</f>
        <v>mid</v>
      </c>
      <c r="H89" s="4">
        <f>INDEX(Scores!$D$2:$D$820, MATCH('Next Gen'!$A90, Scores!$E$2:$E$820, 0))</f>
        <v>45821</v>
      </c>
      <c r="K89"/>
    </row>
    <row r="90" spans="1:11">
      <c r="A90" s="1">
        <v>110</v>
      </c>
      <c r="B90" s="1" t="s">
        <v>5</v>
      </c>
      <c r="C90" s="1">
        <v>9</v>
      </c>
      <c r="D90" s="1">
        <v>8</v>
      </c>
      <c r="E90" s="1">
        <v>1</v>
      </c>
      <c r="F90" s="1">
        <f>SUMIF(Scores!$E$2:$E$820, 'Next Gen'!$A90, INDEX(Scores!$H$2:$P$820, 0, MATCH($B90, Scores!$H$1:$P$1, 0)))</f>
        <v>3</v>
      </c>
      <c r="G90" s="1" t="str">
        <f>INDEX(Scores!$B$2:$B$820, MATCH('Next Gen'!$A89, Scores!$E$2:$E$820, 0))</f>
        <v>mid</v>
      </c>
      <c r="H90" s="4">
        <f>INDEX(Scores!$D$2:$D$820, MATCH('Next Gen'!$A89, Scores!$E$2:$E$820, 0))</f>
        <v>45821</v>
      </c>
      <c r="K90"/>
    </row>
    <row r="91" spans="1:11">
      <c r="A91" s="1">
        <v>111</v>
      </c>
      <c r="B91" s="1" t="s">
        <v>4</v>
      </c>
      <c r="C91" s="1">
        <v>9</v>
      </c>
      <c r="D91" s="1">
        <v>8</v>
      </c>
      <c r="E91" s="1">
        <v>4</v>
      </c>
      <c r="F91" s="1">
        <f>SUMIF(Scores!$E$2:$E$820, 'Next Gen'!$A91, INDEX(Scores!$H$2:$P$820, 0, MATCH($B91, Scores!$H$1:$P$1, 0)))</f>
        <v>7</v>
      </c>
      <c r="G91" s="1" t="str">
        <f>INDEX(Scores!$B$2:$B$820, MATCH('Next Gen'!$A92, Scores!$E$2:$E$820, 0))</f>
        <v>mid</v>
      </c>
      <c r="H91" s="4">
        <f>INDEX(Scores!$D$2:$D$820, MATCH('Next Gen'!$A92, Scores!$E$2:$E$820, 0))</f>
        <v>45824</v>
      </c>
      <c r="K91"/>
    </row>
    <row r="92" spans="1:11">
      <c r="A92" s="1">
        <v>111</v>
      </c>
      <c r="B92" s="1" t="s">
        <v>5</v>
      </c>
      <c r="C92" s="1">
        <v>9</v>
      </c>
      <c r="D92" s="1">
        <v>8</v>
      </c>
      <c r="E92" s="1">
        <v>2</v>
      </c>
      <c r="F92" s="1">
        <f>SUMIF(Scores!$E$2:$E$820, 'Next Gen'!$A92, INDEX(Scores!$H$2:$P$820, 0, MATCH($B92, Scores!$H$1:$P$1, 0)))</f>
        <v>4</v>
      </c>
      <c r="G92" s="1" t="str">
        <f>INDEX(Scores!$B$2:$B$820, MATCH('Next Gen'!$A91, Scores!$E$2:$E$820, 0))</f>
        <v>mid</v>
      </c>
      <c r="H92" s="4">
        <f>INDEX(Scores!$D$2:$D$820, MATCH('Next Gen'!$A91, Scores!$E$2:$E$820, 0))</f>
        <v>45824</v>
      </c>
      <c r="K92"/>
    </row>
    <row r="93" spans="1:11">
      <c r="A93" s="1">
        <v>112</v>
      </c>
      <c r="B93" s="1" t="s">
        <v>6</v>
      </c>
      <c r="C93" s="1">
        <v>9</v>
      </c>
      <c r="D93" s="1">
        <v>6</v>
      </c>
      <c r="E93" s="1">
        <v>3</v>
      </c>
      <c r="F93" s="1">
        <f>SUMIF(Scores!$E$2:$E$820, 'Next Gen'!$A93, INDEX(Scores!$H$2:$P$820, 0, MATCH($B93, Scores!$H$1:$P$1, 0)))</f>
        <v>4</v>
      </c>
      <c r="G93" s="1" t="str">
        <f>INDEX(Scores!$B$2:$B$820, MATCH('Next Gen'!$A95, Scores!$E$2:$E$820, 0))</f>
        <v>mid</v>
      </c>
      <c r="H93" s="4">
        <f>INDEX(Scores!$D$2:$D$820, MATCH('Next Gen'!$A95, Scores!$E$2:$E$820, 0))</f>
        <v>45824</v>
      </c>
      <c r="K93"/>
    </row>
    <row r="94" spans="1:11">
      <c r="A94" s="1">
        <v>112</v>
      </c>
      <c r="B94" s="1" t="s">
        <v>7</v>
      </c>
      <c r="C94" s="1">
        <v>9</v>
      </c>
      <c r="D94" s="1">
        <v>3</v>
      </c>
      <c r="E94" s="1">
        <v>2</v>
      </c>
      <c r="F94" s="1">
        <f>SUMIF(Scores!$E$2:$E$820, 'Next Gen'!$A94, INDEX(Scores!$H$2:$P$820, 0, MATCH($B94, Scores!$H$1:$P$1, 0)))</f>
        <v>6</v>
      </c>
      <c r="G94" s="1" t="str">
        <f>INDEX(Scores!$B$2:$B$820, MATCH('Next Gen'!$A96, Scores!$E$2:$E$820, 0))</f>
        <v>mid</v>
      </c>
      <c r="H94" s="4">
        <f>INDEX(Scores!$D$2:$D$820, MATCH('Next Gen'!$A96, Scores!$E$2:$E$820, 0))</f>
        <v>45824</v>
      </c>
      <c r="K94"/>
    </row>
    <row r="95" spans="1:11">
      <c r="A95" s="1">
        <v>112</v>
      </c>
      <c r="B95" s="1" t="s">
        <v>4</v>
      </c>
      <c r="C95" s="1">
        <v>9</v>
      </c>
      <c r="D95" s="1">
        <v>9</v>
      </c>
      <c r="E95" s="1">
        <v>2</v>
      </c>
      <c r="F95" s="1">
        <f>SUMIF(Scores!$E$2:$E$820, 'Next Gen'!$A95, INDEX(Scores!$H$2:$P$820, 0, MATCH($B95, Scores!$H$1:$P$1, 0)))</f>
        <v>3</v>
      </c>
      <c r="G95" s="1" t="str">
        <f>INDEX(Scores!$B$2:$B$820, MATCH('Next Gen'!$A94, Scores!$E$2:$E$820, 0))</f>
        <v>mid</v>
      </c>
      <c r="H95" s="4">
        <f>INDEX(Scores!$D$2:$D$820, MATCH('Next Gen'!$A94, Scores!$E$2:$E$820, 0))</f>
        <v>45824</v>
      </c>
      <c r="K95"/>
    </row>
    <row r="96" spans="1:11">
      <c r="A96" s="1">
        <v>112</v>
      </c>
      <c r="B96" s="1" t="s">
        <v>5</v>
      </c>
      <c r="C96" s="1">
        <v>9</v>
      </c>
      <c r="D96" s="1">
        <v>8</v>
      </c>
      <c r="E96" s="1">
        <v>1</v>
      </c>
      <c r="F96" s="1">
        <f>SUMIF(Scores!$E$2:$E$820, 'Next Gen'!$A96, INDEX(Scores!$H$2:$P$820, 0, MATCH($B96, Scores!$H$1:$P$1, 0)))</f>
        <v>1</v>
      </c>
      <c r="G96" s="1" t="str">
        <f>INDEX(Scores!$B$2:$B$820, MATCH('Next Gen'!$A93, Scores!$E$2:$E$820, 0))</f>
        <v>mid</v>
      </c>
      <c r="H96" s="4">
        <f>INDEX(Scores!$D$2:$D$820, MATCH('Next Gen'!$A93, Scores!$E$2:$E$820, 0))</f>
        <v>45824</v>
      </c>
      <c r="K96"/>
    </row>
    <row r="97" spans="1:11">
      <c r="A97" s="1">
        <v>113</v>
      </c>
      <c r="B97" s="1" t="s">
        <v>4</v>
      </c>
      <c r="C97" s="1">
        <v>9</v>
      </c>
      <c r="D97" s="1">
        <v>9</v>
      </c>
      <c r="E97" s="1">
        <v>7</v>
      </c>
      <c r="F97" s="1">
        <f>SUMIF(Scores!$E$2:$E$820, 'Next Gen'!$A97, INDEX(Scores!$H$2:$P$820, 0, MATCH($B97, Scores!$H$1:$P$1, 0)))</f>
        <v>12</v>
      </c>
      <c r="G97" s="1" t="str">
        <f>INDEX(Scores!$B$2:$B$820, MATCH('Next Gen'!$A98, Scores!$E$2:$E$820, 0))</f>
        <v>mid</v>
      </c>
      <c r="H97" s="4">
        <f>INDEX(Scores!$D$2:$D$820, MATCH('Next Gen'!$A98, Scores!$E$2:$E$820, 0))</f>
        <v>45825</v>
      </c>
      <c r="K97"/>
    </row>
    <row r="98" spans="1:11">
      <c r="A98" s="1">
        <v>113</v>
      </c>
      <c r="B98" s="1" t="s">
        <v>5</v>
      </c>
      <c r="C98" s="1">
        <v>9</v>
      </c>
      <c r="D98" s="1">
        <v>9</v>
      </c>
      <c r="E98" s="1">
        <v>3</v>
      </c>
      <c r="F98" s="1">
        <f>SUMIF(Scores!$E$2:$E$820, 'Next Gen'!$A98, INDEX(Scores!$H$2:$P$820, 0, MATCH($B98, Scores!$H$1:$P$1, 0)))</f>
        <v>7</v>
      </c>
      <c r="G98" s="1" t="str">
        <f>INDEX(Scores!$B$2:$B$820, MATCH('Next Gen'!$A97, Scores!$E$2:$E$820, 0))</f>
        <v>mid</v>
      </c>
      <c r="H98" s="4">
        <f>INDEX(Scores!$D$2:$D$820, MATCH('Next Gen'!$A97, Scores!$E$2:$E$820, 0))</f>
        <v>45825</v>
      </c>
      <c r="K98"/>
    </row>
    <row r="99" spans="1:11">
      <c r="A99" s="1">
        <v>114</v>
      </c>
      <c r="B99" s="1" t="s">
        <v>5</v>
      </c>
      <c r="C99" s="1">
        <v>9</v>
      </c>
      <c r="D99" s="1">
        <v>7</v>
      </c>
      <c r="E99" s="1">
        <v>4</v>
      </c>
      <c r="F99" s="1">
        <f>SUMIF(Scores!$E$2:$E$820, 'Next Gen'!$A99, INDEX(Scores!$H$2:$P$820, 0, MATCH($B99, Scores!$H$1:$P$1, 0)))</f>
        <v>11</v>
      </c>
      <c r="G99" s="1" t="str">
        <f>INDEX(Scores!$B$2:$B$820, MATCH('Next Gen'!$A99, Scores!$E$2:$E$820, 0))</f>
        <v>mid</v>
      </c>
      <c r="H99" s="4">
        <f>INDEX(Scores!$D$2:$D$820, MATCH('Next Gen'!$A99, Scores!$E$2:$E$820, 0))</f>
        <v>45825</v>
      </c>
      <c r="K99"/>
    </row>
    <row r="100" spans="1:11">
      <c r="A100" s="1">
        <v>114</v>
      </c>
      <c r="B100" s="1" t="s">
        <v>6</v>
      </c>
      <c r="C100" s="1">
        <v>9</v>
      </c>
      <c r="D100" s="1">
        <v>4</v>
      </c>
      <c r="E100" s="1">
        <v>1</v>
      </c>
      <c r="F100" s="1">
        <f>SUMIF(Scores!$E$2:$E$820, 'Next Gen'!$A100, INDEX(Scores!$H$2:$P$820, 0, MATCH($B100, Scores!$H$1:$P$1, 0)))</f>
        <v>1</v>
      </c>
      <c r="G100" s="1" t="str">
        <f>INDEX(Scores!$B$2:$B$820, MATCH('Next Gen'!$A101, Scores!$E$2:$E$820, 0))</f>
        <v>mid</v>
      </c>
      <c r="H100" s="4">
        <f>INDEX(Scores!$D$2:$D$820, MATCH('Next Gen'!$A101, Scores!$E$2:$E$820, 0))</f>
        <v>45825</v>
      </c>
      <c r="K100"/>
    </row>
    <row r="101" spans="1:11">
      <c r="A101" s="1">
        <v>114</v>
      </c>
      <c r="B101" s="1" t="s">
        <v>4</v>
      </c>
      <c r="C101" s="1">
        <v>9</v>
      </c>
      <c r="D101" s="1">
        <v>8</v>
      </c>
      <c r="E101" s="1">
        <v>0</v>
      </c>
      <c r="F101" s="1">
        <f>SUMIF(Scores!$E$2:$E$820, 'Next Gen'!$A101, INDEX(Scores!$H$2:$P$820, 0, MATCH($B101, Scores!$H$1:$P$1, 0)))</f>
        <v>0</v>
      </c>
      <c r="G101" s="1" t="str">
        <f>INDEX(Scores!$B$2:$B$820, MATCH('Next Gen'!$A100, Scores!$E$2:$E$820, 0))</f>
        <v>mid</v>
      </c>
      <c r="H101" s="4">
        <f>INDEX(Scores!$D$2:$D$820, MATCH('Next Gen'!$A100, Scores!$E$2:$E$820, 0))</f>
        <v>45825</v>
      </c>
      <c r="K101"/>
    </row>
    <row r="102" spans="1:11">
      <c r="A102" s="1">
        <v>115</v>
      </c>
      <c r="B102" s="1" t="s">
        <v>4</v>
      </c>
      <c r="C102" s="1">
        <v>9</v>
      </c>
      <c r="D102" s="1">
        <v>8</v>
      </c>
      <c r="E102" s="1">
        <v>5</v>
      </c>
      <c r="F102" s="1">
        <f>SUMIF(Scores!$E$2:$E$820, 'Next Gen'!$A102, INDEX(Scores!$H$2:$P$820, 0, MATCH($B102, Scores!$H$1:$P$1, 0)))</f>
        <v>14</v>
      </c>
      <c r="G102" s="1" t="str">
        <f>INDEX(Scores!$B$2:$B$820, MATCH('Next Gen'!$A103, Scores!$E$2:$E$820, 0))</f>
        <v>high</v>
      </c>
      <c r="H102" s="4">
        <f>INDEX(Scores!$D$2:$D$820, MATCH('Next Gen'!$A103, Scores!$E$2:$E$820, 0))</f>
        <v>45825</v>
      </c>
      <c r="K102"/>
    </row>
    <row r="103" spans="1:11">
      <c r="A103" s="1">
        <v>115</v>
      </c>
      <c r="B103" s="1" t="s">
        <v>5</v>
      </c>
      <c r="C103" s="1">
        <v>9</v>
      </c>
      <c r="D103" s="1">
        <v>8</v>
      </c>
      <c r="E103" s="1">
        <v>5</v>
      </c>
      <c r="F103" s="1">
        <f>SUMIF(Scores!$E$2:$E$820, 'Next Gen'!$A103, INDEX(Scores!$H$2:$P$820, 0, MATCH($B103, Scores!$H$1:$P$1, 0)))</f>
        <v>10</v>
      </c>
      <c r="G103" s="1" t="str">
        <f>INDEX(Scores!$B$2:$B$820, MATCH('Next Gen'!$A102, Scores!$E$2:$E$820, 0))</f>
        <v>high</v>
      </c>
      <c r="H103" s="4">
        <f>INDEX(Scores!$D$2:$D$820, MATCH('Next Gen'!$A102, Scores!$E$2:$E$820, 0))</f>
        <v>45825</v>
      </c>
      <c r="K103"/>
    </row>
    <row r="104" spans="1:11">
      <c r="A104" s="1">
        <v>115</v>
      </c>
      <c r="B104" s="1" t="s">
        <v>6</v>
      </c>
      <c r="C104" s="1">
        <v>9</v>
      </c>
      <c r="D104" s="1">
        <v>6</v>
      </c>
      <c r="E104" s="1">
        <v>2</v>
      </c>
      <c r="F104" s="1">
        <f>SUMIF(Scores!$E$2:$E$820, 'Next Gen'!$A104, INDEX(Scores!$H$2:$P$820, 0, MATCH($B104, Scores!$H$1:$P$1, 0)))</f>
        <v>2</v>
      </c>
      <c r="G104" s="1" t="str">
        <f>INDEX(Scores!$B$2:$B$820, MATCH('Next Gen'!$A104, Scores!$E$2:$E$820, 0))</f>
        <v>high</v>
      </c>
      <c r="H104" s="4">
        <f>INDEX(Scores!$D$2:$D$820, MATCH('Next Gen'!$A104, Scores!$E$2:$E$820, 0))</f>
        <v>45825</v>
      </c>
      <c r="K104"/>
    </row>
    <row r="105" spans="1:11">
      <c r="A105" s="1">
        <v>116</v>
      </c>
      <c r="B105" s="1" t="s">
        <v>5</v>
      </c>
      <c r="C105" s="1">
        <v>12</v>
      </c>
      <c r="D105" s="1">
        <v>10</v>
      </c>
      <c r="E105" s="1">
        <v>4</v>
      </c>
      <c r="F105" s="1">
        <f>SUMIF(Scores!$E$2:$E$820, 'Next Gen'!$A105, INDEX(Scores!$H$2:$P$820, 0, MATCH($B105, Scores!$H$1:$P$1, 0)))</f>
        <v>10</v>
      </c>
      <c r="G105" s="1" t="str">
        <f>INDEX(Scores!$B$2:$B$820, MATCH('Next Gen'!$A105, Scores!$E$2:$E$820, 0))</f>
        <v>mid</v>
      </c>
      <c r="H105" s="4">
        <f>INDEX(Scores!$D$2:$D$820, MATCH('Next Gen'!$A105, Scores!$E$2:$E$820, 0))</f>
        <v>45826</v>
      </c>
      <c r="K105"/>
    </row>
    <row r="106" spans="1:11">
      <c r="A106" s="1">
        <v>116</v>
      </c>
      <c r="B106" s="1" t="s">
        <v>4</v>
      </c>
      <c r="C106" s="1">
        <v>12</v>
      </c>
      <c r="D106" s="1">
        <v>10</v>
      </c>
      <c r="E106" s="1">
        <v>4</v>
      </c>
      <c r="F106" s="1">
        <f>SUMIF(Scores!$E$2:$E$820, 'Next Gen'!$A106, INDEX(Scores!$H$2:$P$820, 0, MATCH($B106, Scores!$H$1:$P$1, 0)))</f>
        <v>7</v>
      </c>
      <c r="G106" s="1" t="str">
        <f>INDEX(Scores!$B$2:$B$820, MATCH('Next Gen'!$A106, Scores!$E$2:$E$820, 0))</f>
        <v>mid</v>
      </c>
      <c r="H106" s="4">
        <f>INDEX(Scores!$D$2:$D$820, MATCH('Next Gen'!$A106, Scores!$E$2:$E$820, 0))</f>
        <v>45826</v>
      </c>
      <c r="K106"/>
    </row>
    <row r="107" spans="1:11">
      <c r="A107" s="1">
        <v>117</v>
      </c>
      <c r="B107" s="1" t="s">
        <v>4</v>
      </c>
      <c r="C107" s="1">
        <v>9</v>
      </c>
      <c r="D107" s="1">
        <v>9</v>
      </c>
      <c r="E107" s="1">
        <v>5</v>
      </c>
      <c r="F107" s="1">
        <f>SUMIF(Scores!$E$2:$E$820, 'Next Gen'!$A107, INDEX(Scores!$H$2:$P$820, 0, MATCH($B107, Scores!$H$1:$P$1, 0)))</f>
        <v>14</v>
      </c>
      <c r="G107" s="1" t="str">
        <f>INDEX(Scores!$B$2:$B$820, MATCH('Next Gen'!$A108, Scores!$E$2:$E$820, 0))</f>
        <v>low</v>
      </c>
      <c r="H107" s="4">
        <f>INDEX(Scores!$D$2:$D$820, MATCH('Next Gen'!$A108, Scores!$E$2:$E$820, 0))</f>
        <v>45826</v>
      </c>
      <c r="K107"/>
    </row>
    <row r="108" spans="1:11">
      <c r="A108" s="1">
        <v>117</v>
      </c>
      <c r="B108" s="1" t="s">
        <v>5</v>
      </c>
      <c r="C108" s="1">
        <v>9</v>
      </c>
      <c r="D108" s="1">
        <v>7</v>
      </c>
      <c r="E108" s="1">
        <v>2</v>
      </c>
      <c r="F108" s="1">
        <f>SUMIF(Scores!$E$2:$E$820, 'Next Gen'!$A108, INDEX(Scores!$H$2:$P$820, 0, MATCH($B108, Scores!$H$1:$P$1, 0)))</f>
        <v>2</v>
      </c>
      <c r="G108" s="1" t="str">
        <f>INDEX(Scores!$B$2:$B$820, MATCH('Next Gen'!$A107, Scores!$E$2:$E$820, 0))</f>
        <v>low</v>
      </c>
      <c r="H108" s="4">
        <f>INDEX(Scores!$D$2:$D$820, MATCH('Next Gen'!$A107, Scores!$E$2:$E$820, 0))</f>
        <v>45826</v>
      </c>
      <c r="K108"/>
    </row>
    <row r="109" spans="1:11">
      <c r="A109" s="1">
        <v>118</v>
      </c>
      <c r="B109" s="1" t="s">
        <v>4</v>
      </c>
      <c r="C109" s="1">
        <v>9</v>
      </c>
      <c r="D109" s="1">
        <v>7</v>
      </c>
      <c r="E109" s="1">
        <v>4</v>
      </c>
      <c r="F109" s="1">
        <f>SUMIF(Scores!$E$2:$E$820, 'Next Gen'!$A109, INDEX(Scores!$H$2:$P$820, 0, MATCH($B109, Scores!$H$1:$P$1, 0)))</f>
        <v>9</v>
      </c>
      <c r="G109" s="1" t="str">
        <f>INDEX(Scores!$B$2:$B$820, MATCH('Next Gen'!$A110, Scores!$E$2:$E$820, 0))</f>
        <v>high</v>
      </c>
      <c r="H109" s="4">
        <f>INDEX(Scores!$D$2:$D$820, MATCH('Next Gen'!$A110, Scores!$E$2:$E$820, 0))</f>
        <v>45826</v>
      </c>
      <c r="K109"/>
    </row>
    <row r="110" spans="1:11">
      <c r="A110" s="1">
        <v>118</v>
      </c>
      <c r="B110" s="1" t="s">
        <v>5</v>
      </c>
      <c r="C110" s="1">
        <v>9</v>
      </c>
      <c r="D110" s="1">
        <v>8</v>
      </c>
      <c r="E110" s="1">
        <v>2</v>
      </c>
      <c r="F110" s="1">
        <f>SUMIF(Scores!$E$2:$E$820, 'Next Gen'!$A110, INDEX(Scores!$H$2:$P$820, 0, MATCH($B110, Scores!$H$1:$P$1, 0)))</f>
        <v>5</v>
      </c>
      <c r="G110" s="1" t="str">
        <f>INDEX(Scores!$B$2:$B$820, MATCH('Next Gen'!$A109, Scores!$E$2:$E$820, 0))</f>
        <v>high</v>
      </c>
      <c r="H110" s="4">
        <f>INDEX(Scores!$D$2:$D$820, MATCH('Next Gen'!$A109, Scores!$E$2:$E$820, 0))</f>
        <v>45826</v>
      </c>
      <c r="K110"/>
    </row>
    <row r="111" spans="1:11">
      <c r="A111" s="1">
        <v>119</v>
      </c>
      <c r="B111" s="1" t="s">
        <v>5</v>
      </c>
      <c r="C111" s="1">
        <v>9</v>
      </c>
      <c r="D111" s="1">
        <v>9</v>
      </c>
      <c r="E111" s="1">
        <v>6</v>
      </c>
      <c r="F111" s="1">
        <f>SUMIF(Scores!$E$2:$E$820, 'Next Gen'!$A111, INDEX(Scores!$H$2:$P$820, 0, MATCH($B111, Scores!$H$1:$P$1, 0)))</f>
        <v>13</v>
      </c>
      <c r="G111" s="1" t="str">
        <f>INDEX(Scores!$B$2:$B$820, MATCH('Next Gen'!$A111, Scores!$E$2:$E$820, 0))</f>
        <v>mid</v>
      </c>
      <c r="H111" s="4">
        <f>INDEX(Scores!$D$2:$D$820, MATCH('Next Gen'!$A111, Scores!$E$2:$E$820, 0))</f>
        <v>45827</v>
      </c>
      <c r="K111"/>
    </row>
    <row r="112" spans="1:11">
      <c r="A112" s="1">
        <v>119</v>
      </c>
      <c r="B112" s="1" t="s">
        <v>4</v>
      </c>
      <c r="C112" s="1">
        <v>9</v>
      </c>
      <c r="D112" s="1">
        <v>9</v>
      </c>
      <c r="E112" s="1">
        <v>4</v>
      </c>
      <c r="F112" s="1">
        <f>SUMIF(Scores!$E$2:$E$820, 'Next Gen'!$A112, INDEX(Scores!$H$2:$P$820, 0, MATCH($B112, Scores!$H$1:$P$1, 0)))</f>
        <v>8</v>
      </c>
      <c r="G112" s="1" t="str">
        <f>INDEX(Scores!$B$2:$B$820, MATCH('Next Gen'!$A112, Scores!$E$2:$E$820, 0))</f>
        <v>mid</v>
      </c>
      <c r="H112" s="4">
        <f>INDEX(Scores!$D$2:$D$820, MATCH('Next Gen'!$A112, Scores!$E$2:$E$820, 0))</f>
        <v>45827</v>
      </c>
      <c r="K112"/>
    </row>
    <row r="113" spans="1:11" ht="17" customHeight="1">
      <c r="A113" s="1">
        <v>120</v>
      </c>
      <c r="B113" s="1" t="s">
        <v>4</v>
      </c>
      <c r="C113" s="1">
        <v>12</v>
      </c>
      <c r="D113" s="1">
        <v>12</v>
      </c>
      <c r="E113" s="1">
        <v>6</v>
      </c>
      <c r="F113" s="1">
        <f>SUMIF(Scores!$E$2:$E$820, 'Next Gen'!$A113, INDEX(Scores!$H$2:$P$820, 0, MATCH($B113, Scores!$H$1:$P$1, 0)))</f>
        <v>12</v>
      </c>
      <c r="G113" s="1" t="str">
        <f>INDEX(Scores!$B$2:$B$820, MATCH('Next Gen'!$A114, Scores!$E$2:$E$820, 0))</f>
        <v>mid</v>
      </c>
      <c r="H113" s="4">
        <f>INDEX(Scores!$D$2:$D$820, MATCH('Next Gen'!$A114, Scores!$E$2:$E$820, 0))</f>
        <v>45827</v>
      </c>
      <c r="K113"/>
    </row>
    <row r="114" spans="1:11">
      <c r="A114" s="1">
        <v>120</v>
      </c>
      <c r="B114" s="1" t="s">
        <v>5</v>
      </c>
      <c r="C114" s="1">
        <v>12</v>
      </c>
      <c r="D114" s="1">
        <v>12</v>
      </c>
      <c r="E114" s="1">
        <v>5</v>
      </c>
      <c r="F114" s="1">
        <f>SUMIF(Scores!$E$2:$E$820, 'Next Gen'!$A114, INDEX(Scores!$H$2:$P$820, 0, MATCH($B114, Scores!$H$1:$P$1, 0)))</f>
        <v>8</v>
      </c>
      <c r="G114" s="1" t="str">
        <f>INDEX(Scores!$B$2:$B$820, MATCH('Next Gen'!$A113, Scores!$E$2:$E$820, 0))</f>
        <v>mid</v>
      </c>
      <c r="H114" s="4">
        <f>INDEX(Scores!$D$2:$D$820, MATCH('Next Gen'!$A113, Scores!$E$2:$E$820, 0))</f>
        <v>45827</v>
      </c>
      <c r="K114"/>
    </row>
    <row r="115" spans="1:11" ht="17" customHeight="1">
      <c r="A115" s="1">
        <v>121</v>
      </c>
      <c r="B115" s="1" t="s">
        <v>4</v>
      </c>
      <c r="C115" s="1">
        <v>9</v>
      </c>
      <c r="D115" s="1">
        <v>7</v>
      </c>
      <c r="E115" s="1">
        <v>5</v>
      </c>
      <c r="F115" s="1">
        <f>SUMIF(Scores!$E$2:$E$820, 'Next Gen'!$A115, INDEX(Scores!$H$2:$P$820, 0, MATCH($B115, Scores!$H$1:$P$1, 0)))</f>
        <v>10</v>
      </c>
      <c r="G115" s="1" t="str">
        <f>INDEX(Scores!$B$2:$B$820, MATCH('Next Gen'!$A116, Scores!$E$2:$E$820, 0))</f>
        <v>mid</v>
      </c>
      <c r="H115" s="4">
        <f>INDEX(Scores!$D$2:$D$820, MATCH('Next Gen'!$A116, Scores!$E$2:$E$820, 0))</f>
        <v>45828</v>
      </c>
      <c r="K115"/>
    </row>
    <row r="116" spans="1:11">
      <c r="A116" s="1">
        <v>121</v>
      </c>
      <c r="B116" s="1" t="s">
        <v>5</v>
      </c>
      <c r="C116" s="1">
        <v>9</v>
      </c>
      <c r="D116" s="1">
        <v>7</v>
      </c>
      <c r="E116" s="1">
        <v>4</v>
      </c>
      <c r="F116" s="1">
        <f>SUMIF(Scores!$E$2:$E$820, 'Next Gen'!$A116, INDEX(Scores!$H$2:$P$820, 0, MATCH($B116, Scores!$H$1:$P$1, 0)))</f>
        <v>6</v>
      </c>
      <c r="G116" s="1" t="str">
        <f>INDEX(Scores!$B$2:$B$820, MATCH('Next Gen'!$A115, Scores!$E$2:$E$820, 0))</f>
        <v>mid</v>
      </c>
      <c r="H116" s="4">
        <f>INDEX(Scores!$D$2:$D$820, MATCH('Next Gen'!$A115, Scores!$E$2:$E$820, 0))</f>
        <v>45828</v>
      </c>
      <c r="K116"/>
    </row>
    <row r="117" spans="1:11" ht="17" customHeight="1">
      <c r="A117" s="1">
        <v>122</v>
      </c>
      <c r="B117" s="1" t="s">
        <v>5</v>
      </c>
      <c r="C117" s="1">
        <v>9</v>
      </c>
      <c r="D117" s="1">
        <v>7</v>
      </c>
      <c r="E117" s="1">
        <v>6</v>
      </c>
      <c r="F117" s="1">
        <f>SUMIF(Scores!$E$2:$E$820, 'Next Gen'!$A117, INDEX(Scores!$H$2:$P$820, 0, MATCH($B117, Scores!$H$1:$P$1, 0)))</f>
        <v>11</v>
      </c>
      <c r="G117" s="1" t="str">
        <f>INDEX(Scores!$B$2:$B$820, MATCH('Next Gen'!$A117, Scores!$E$2:$E$820, 0))</f>
        <v>high</v>
      </c>
      <c r="H117" s="4">
        <f>INDEX(Scores!$D$2:$D$820, MATCH('Next Gen'!$A117, Scores!$E$2:$E$820, 0))</f>
        <v>45828</v>
      </c>
      <c r="K117"/>
    </row>
    <row r="118" spans="1:11">
      <c r="A118" s="1">
        <v>122</v>
      </c>
      <c r="B118" s="1" t="s">
        <v>4</v>
      </c>
      <c r="C118" s="1">
        <v>9</v>
      </c>
      <c r="D118" s="1">
        <v>7</v>
      </c>
      <c r="E118" s="1">
        <v>3</v>
      </c>
      <c r="F118" s="1">
        <f>SUMIF(Scores!$E$2:$E$820, 'Next Gen'!$A118, INDEX(Scores!$H$2:$P$820, 0, MATCH($B118, Scores!$H$1:$P$1, 0)))</f>
        <v>7</v>
      </c>
      <c r="G118" s="1" t="str">
        <f>INDEX(Scores!$B$2:$B$820, MATCH('Next Gen'!$A118, Scores!$E$2:$E$820, 0))</f>
        <v>high</v>
      </c>
      <c r="H118" s="4">
        <f>INDEX(Scores!$D$2:$D$820, MATCH('Next Gen'!$A118, Scores!$E$2:$E$820, 0))</f>
        <v>45828</v>
      </c>
      <c r="K118"/>
    </row>
    <row r="119" spans="1:11" ht="17" customHeight="1">
      <c r="A119" s="1">
        <v>123</v>
      </c>
      <c r="B119" s="1" t="s">
        <v>4</v>
      </c>
      <c r="C119" s="1">
        <v>9</v>
      </c>
      <c r="D119" s="1">
        <v>8</v>
      </c>
      <c r="E119" s="1">
        <v>4</v>
      </c>
      <c r="F119" s="1">
        <f>SUMIF(Scores!$E$2:$E$820, 'Next Gen'!$A119, INDEX(Scores!$H$2:$P$820, 0, MATCH($B119, Scores!$H$1:$P$1, 0)))</f>
        <v>11</v>
      </c>
      <c r="G119" s="1" t="str">
        <f>INDEX(Scores!$B$2:$B$820, MATCH('Next Gen'!$A120, Scores!$E$2:$E$820, 0))</f>
        <v>low</v>
      </c>
      <c r="H119" s="4">
        <f>INDEX(Scores!$D$2:$D$820, MATCH('Next Gen'!$A120, Scores!$E$2:$E$820, 0))</f>
        <v>45828</v>
      </c>
      <c r="K119"/>
    </row>
    <row r="120" spans="1:11">
      <c r="A120" s="1">
        <v>123</v>
      </c>
      <c r="B120" s="1" t="s">
        <v>5</v>
      </c>
      <c r="C120" s="1">
        <v>9</v>
      </c>
      <c r="D120" s="1">
        <v>8</v>
      </c>
      <c r="E120" s="1">
        <v>2</v>
      </c>
      <c r="F120" s="1">
        <f>SUMIF(Scores!$E$2:$E$820, 'Next Gen'!$A120, INDEX(Scores!$H$2:$P$820, 0, MATCH($B120, Scores!$H$1:$P$1, 0)))</f>
        <v>3</v>
      </c>
      <c r="G120" s="1" t="str">
        <f>INDEX(Scores!$B$2:$B$820, MATCH('Next Gen'!$A119, Scores!$E$2:$E$820, 0))</f>
        <v>low</v>
      </c>
      <c r="H120" s="4">
        <f>INDEX(Scores!$D$2:$D$820, MATCH('Next Gen'!$A119, Scores!$E$2:$E$820, 0))</f>
        <v>45828</v>
      </c>
      <c r="K120"/>
    </row>
    <row r="121" spans="1:11" ht="17" customHeight="1">
      <c r="A121" s="1">
        <v>124</v>
      </c>
      <c r="B121" s="1" t="s">
        <v>5</v>
      </c>
      <c r="C121" s="1">
        <v>9</v>
      </c>
      <c r="D121" s="1">
        <v>7</v>
      </c>
      <c r="E121" s="1">
        <v>4</v>
      </c>
      <c r="F121" s="1">
        <f>SUMIF(Scores!$E$2:$E$820, 'Next Gen'!$A121, INDEX(Scores!$H$2:$P$820, 0, MATCH($B121, Scores!$H$1:$P$1, 0)))</f>
        <v>12</v>
      </c>
      <c r="G121" s="1" t="str">
        <f>INDEX(Scores!$B$2:$B$820, MATCH('Next Gen'!$A121, Scores!$E$2:$E$820, 0))</f>
        <v>mid</v>
      </c>
      <c r="H121" s="4">
        <f>INDEX(Scores!$D$2:$D$820, MATCH('Next Gen'!$A121, Scores!$E$2:$E$820, 0))</f>
        <v>45831</v>
      </c>
      <c r="K121"/>
    </row>
    <row r="122" spans="1:11">
      <c r="A122" s="1">
        <v>124</v>
      </c>
      <c r="B122" s="1" t="s">
        <v>78</v>
      </c>
      <c r="C122" s="1">
        <v>9</v>
      </c>
      <c r="D122" s="1">
        <v>2</v>
      </c>
      <c r="E122" s="1">
        <v>1</v>
      </c>
      <c r="F122" s="1">
        <f>SUMIF(Scores!$E$2:$E$820, 'Next Gen'!$A122, INDEX(Scores!$H$2:$P$820, 0, MATCH($B122, Scores!$H$1:$P$1, 0)))</f>
        <v>2</v>
      </c>
      <c r="G122" s="1" t="str">
        <f>INDEX(Scores!$B$2:$B$820, MATCH('Next Gen'!$A122, Scores!$E$2:$E$820, 0))</f>
        <v>mid</v>
      </c>
      <c r="H122" s="4">
        <f>INDEX(Scores!$D$2:$D$820, MATCH('Next Gen'!$A122, Scores!$E$2:$E$820, 0))</f>
        <v>45831</v>
      </c>
      <c r="K122"/>
    </row>
    <row r="123" spans="1:11" ht="17" customHeight="1">
      <c r="A123" s="1">
        <v>125</v>
      </c>
      <c r="B123" s="1" t="s">
        <v>5</v>
      </c>
      <c r="C123" s="1">
        <v>9</v>
      </c>
      <c r="D123" s="1">
        <v>8</v>
      </c>
      <c r="E123" s="1">
        <v>6</v>
      </c>
      <c r="F123" s="1">
        <f>SUMIF(Scores!$E$2:$E$820, 'Next Gen'!$A123, INDEX(Scores!$H$2:$P$820, 0, MATCH($B123, Scores!$H$1:$P$1, 0)))</f>
        <v>10</v>
      </c>
      <c r="G123" s="1" t="str">
        <f>INDEX(Scores!$B$2:$B$820, MATCH('Next Gen'!$A123, Scores!$E$2:$E$820, 0))</f>
        <v>mid</v>
      </c>
      <c r="H123" s="4">
        <f>INDEX(Scores!$D$2:$D$820, MATCH('Next Gen'!$A123, Scores!$E$2:$E$820, 0))</f>
        <v>45831</v>
      </c>
      <c r="K123"/>
    </row>
    <row r="124" spans="1:11">
      <c r="A124" s="1">
        <v>125</v>
      </c>
      <c r="B124" s="1" t="s">
        <v>4</v>
      </c>
      <c r="C124" s="1">
        <v>9</v>
      </c>
      <c r="D124" s="1">
        <v>9</v>
      </c>
      <c r="E124" s="1">
        <v>3</v>
      </c>
      <c r="F124" s="1">
        <f>SUMIF(Scores!$E$2:$E$820, 'Next Gen'!$A124, INDEX(Scores!$H$2:$P$820, 0, MATCH($B124, Scores!$H$1:$P$1, 0)))</f>
        <v>9</v>
      </c>
      <c r="G124" s="1" t="str">
        <f>INDEX(Scores!$B$2:$B$820, MATCH('Next Gen'!$A124, Scores!$E$2:$E$820, 0))</f>
        <v>mid</v>
      </c>
      <c r="H124" s="4">
        <f>INDEX(Scores!$D$2:$D$820, MATCH('Next Gen'!$A124, Scores!$E$2:$E$820, 0))</f>
        <v>45831</v>
      </c>
      <c r="K124"/>
    </row>
    <row r="125" spans="1:11" ht="17" customHeight="1">
      <c r="A125" s="1">
        <v>126</v>
      </c>
      <c r="B125" s="1" t="s">
        <v>4</v>
      </c>
      <c r="C125" s="1">
        <v>15</v>
      </c>
      <c r="D125" s="1">
        <v>13</v>
      </c>
      <c r="E125" s="1">
        <v>4</v>
      </c>
      <c r="F125" s="1">
        <f>SUMIF(Scores!$E$2:$E$820, 'Next Gen'!$A125, INDEX(Scores!$H$2:$P$820, 0, MATCH($B125, Scores!$H$1:$P$1, 0)))</f>
        <v>9</v>
      </c>
      <c r="G125" s="1" t="str">
        <f>INDEX(Scores!$B$2:$B$820, MATCH('Next Gen'!$A126, Scores!$E$2:$E$820, 0))</f>
        <v>mid</v>
      </c>
      <c r="H125" s="4">
        <f>INDEX(Scores!$D$2:$D$820, MATCH('Next Gen'!$A126, Scores!$E$2:$E$820, 0))</f>
        <v>45832</v>
      </c>
      <c r="K125"/>
    </row>
    <row r="126" spans="1:11">
      <c r="A126" s="1">
        <v>126</v>
      </c>
      <c r="B126" s="1" t="s">
        <v>5</v>
      </c>
      <c r="C126" s="1">
        <v>15</v>
      </c>
      <c r="D126" s="1">
        <v>13</v>
      </c>
      <c r="E126" s="1">
        <v>3</v>
      </c>
      <c r="F126" s="1">
        <f>SUMIF(Scores!$E$2:$E$820, 'Next Gen'!$A126, INDEX(Scores!$H$2:$P$820, 0, MATCH($B126, Scores!$H$1:$P$1, 0)))</f>
        <v>5</v>
      </c>
      <c r="G126" s="1" t="str">
        <f>INDEX(Scores!$B$2:$B$820, MATCH('Next Gen'!$A125, Scores!$E$2:$E$820, 0))</f>
        <v>mid</v>
      </c>
      <c r="H126" s="4">
        <f>INDEX(Scores!$D$2:$D$820, MATCH('Next Gen'!$A125, Scores!$E$2:$E$820, 0))</f>
        <v>45832</v>
      </c>
      <c r="K126"/>
    </row>
    <row r="127" spans="1:11" ht="17" customHeight="1">
      <c r="A127" s="1">
        <v>127</v>
      </c>
      <c r="B127" s="1" t="s">
        <v>5</v>
      </c>
      <c r="C127" s="1">
        <v>9</v>
      </c>
      <c r="D127" s="1">
        <v>9</v>
      </c>
      <c r="E127" s="1">
        <v>5</v>
      </c>
      <c r="F127" s="1">
        <f>SUMIF(Scores!$E$2:$E$820, 'Next Gen'!$A127, INDEX(Scores!$H$2:$P$820, 0, MATCH($B127, Scores!$H$1:$P$1, 0)))</f>
        <v>11</v>
      </c>
      <c r="G127" s="1" t="str">
        <f>INDEX(Scores!$B$2:$B$820, MATCH('Next Gen'!$A127, Scores!$E$2:$E$820, 0))</f>
        <v>mid</v>
      </c>
      <c r="H127" s="4">
        <f>INDEX(Scores!$D$2:$D$820, MATCH('Next Gen'!$A127, Scores!$E$2:$E$820, 0))</f>
        <v>45832</v>
      </c>
      <c r="K127"/>
    </row>
    <row r="128" spans="1:11">
      <c r="A128" s="1">
        <v>127</v>
      </c>
      <c r="B128" s="1" t="s">
        <v>6</v>
      </c>
      <c r="C128" s="1">
        <v>9</v>
      </c>
      <c r="D128" s="1">
        <v>4</v>
      </c>
      <c r="E128" s="1">
        <v>2</v>
      </c>
      <c r="F128" s="1">
        <f>SUMIF(Scores!$E$2:$E$820, 'Next Gen'!$A128, INDEX(Scores!$H$2:$P$820, 0, MATCH($B128, Scores!$H$1:$P$1, 0)))</f>
        <v>4</v>
      </c>
      <c r="G128" s="1" t="str">
        <f>INDEX(Scores!$B$2:$B$820, MATCH('Next Gen'!$A129, Scores!$E$2:$E$820, 0))</f>
        <v>mid</v>
      </c>
      <c r="H128" s="4">
        <f>INDEX(Scores!$D$2:$D$820, MATCH('Next Gen'!$A129, Scores!$E$2:$E$820, 0))</f>
        <v>45832</v>
      </c>
      <c r="K128"/>
    </row>
    <row r="129" spans="1:11">
      <c r="A129" s="1">
        <v>127</v>
      </c>
      <c r="B129" s="1" t="s">
        <v>4</v>
      </c>
      <c r="C129" s="1">
        <v>9</v>
      </c>
      <c r="D129" s="1">
        <v>9</v>
      </c>
      <c r="E129" s="1">
        <v>2</v>
      </c>
      <c r="F129" s="1">
        <f>SUMIF(Scores!$E$2:$E$820, 'Next Gen'!$A129, INDEX(Scores!$H$2:$P$820, 0, MATCH($B129, Scores!$H$1:$P$1, 0)))</f>
        <v>2</v>
      </c>
      <c r="G129" s="1" t="str">
        <f>INDEX(Scores!$B$2:$B$820, MATCH('Next Gen'!$A128, Scores!$E$2:$E$820, 0))</f>
        <v>mid</v>
      </c>
      <c r="H129" s="4">
        <f>INDEX(Scores!$D$2:$D$820, MATCH('Next Gen'!$A128, Scores!$E$2:$E$820, 0))</f>
        <v>45832</v>
      </c>
      <c r="K129"/>
    </row>
    <row r="130" spans="1:11">
      <c r="A130" s="1">
        <v>128</v>
      </c>
      <c r="B130" s="1" t="s">
        <v>4</v>
      </c>
      <c r="C130" s="1">
        <v>9</v>
      </c>
      <c r="D130" s="1">
        <v>8</v>
      </c>
      <c r="E130" s="1">
        <v>5</v>
      </c>
      <c r="F130" s="1">
        <f>SUMIF(Scores!$E$2:$E$820, 'Next Gen'!$A130, INDEX(Scores!$H$2:$P$820, 0, MATCH($B130, Scores!$H$1:$P$1, 0)))</f>
        <v>7</v>
      </c>
      <c r="G130" s="1" t="str">
        <f>INDEX(Scores!$B$2:$B$820, MATCH('Next Gen'!$A130, Scores!$E$2:$E$820, 0))</f>
        <v>mid</v>
      </c>
      <c r="H130" s="4">
        <f>INDEX(Scores!$D$2:$D$820, MATCH('Next Gen'!$A130, Scores!$E$2:$E$820, 0))</f>
        <v>45832</v>
      </c>
      <c r="K130"/>
    </row>
    <row r="131" spans="1:11">
      <c r="A131" s="1">
        <v>128</v>
      </c>
      <c r="B131" s="1" t="s">
        <v>5</v>
      </c>
      <c r="C131" s="1">
        <v>9</v>
      </c>
      <c r="D131" s="1">
        <v>8</v>
      </c>
      <c r="E131" s="1">
        <v>2</v>
      </c>
      <c r="F131" s="1">
        <f>SUMIF(Scores!$E$2:$E$820, 'Next Gen'!$A131, INDEX(Scores!$H$2:$P$820, 0, MATCH($B131, Scores!$H$1:$P$1, 0)))</f>
        <v>2</v>
      </c>
      <c r="G131" s="1" t="str">
        <f>INDEX(Scores!$B$2:$B$820, MATCH('Next Gen'!$A131, Scores!$E$2:$E$820, 0))</f>
        <v>mid</v>
      </c>
      <c r="H131" s="4">
        <f>INDEX(Scores!$D$2:$D$820, MATCH('Next Gen'!$A131, Scores!$E$2:$E$820, 0))</f>
        <v>45832</v>
      </c>
      <c r="K131"/>
    </row>
    <row r="132" spans="1:11">
      <c r="A132" s="1">
        <v>129</v>
      </c>
      <c r="B132" s="1" t="s">
        <v>5</v>
      </c>
      <c r="C132" s="1">
        <v>9</v>
      </c>
      <c r="D132" s="1">
        <v>8</v>
      </c>
      <c r="E132" s="1">
        <v>4</v>
      </c>
      <c r="F132" s="1">
        <f>SUMIF(Scores!$E$2:$E$820, 'Next Gen'!$A132, INDEX(Scores!$H$2:$P$820, 0, MATCH($B132, Scores!$H$1:$P$1, 0)))</f>
        <v>7</v>
      </c>
      <c r="G132" s="1" t="str">
        <f>INDEX(Scores!$B$2:$B$820, MATCH('Next Gen'!$A133, Scores!$E$2:$E$820, 0))</f>
        <v>mid</v>
      </c>
      <c r="H132" s="4">
        <f>INDEX(Scores!$D$2:$D$820, MATCH('Next Gen'!$A133, Scores!$E$2:$E$820, 0))</f>
        <v>45833</v>
      </c>
      <c r="K132"/>
    </row>
    <row r="133" spans="1:11">
      <c r="A133" s="1">
        <v>129</v>
      </c>
      <c r="B133" s="1" t="s">
        <v>4</v>
      </c>
      <c r="C133" s="1">
        <v>9</v>
      </c>
      <c r="D133" s="1">
        <v>9</v>
      </c>
      <c r="E133" s="1">
        <v>0</v>
      </c>
      <c r="F133" s="1">
        <f>SUMIF(Scores!$E$2:$E$820, 'Next Gen'!$A133, INDEX(Scores!$H$2:$P$820, 0, MATCH($B133, Scores!$H$1:$P$1, 0)))</f>
        <v>0</v>
      </c>
      <c r="G133" s="1" t="str">
        <f>INDEX(Scores!$B$2:$B$820, MATCH('Next Gen'!$A132, Scores!$E$2:$E$820, 0))</f>
        <v>mid</v>
      </c>
      <c r="H133" s="4">
        <f>INDEX(Scores!$D$2:$D$820, MATCH('Next Gen'!$A132, Scores!$E$2:$E$820, 0))</f>
        <v>45833</v>
      </c>
      <c r="K133"/>
    </row>
    <row r="134" spans="1:11">
      <c r="A134" s="1">
        <v>130</v>
      </c>
      <c r="B134" s="1" t="s">
        <v>4</v>
      </c>
      <c r="C134" s="1">
        <v>9</v>
      </c>
      <c r="D134" s="1">
        <v>9</v>
      </c>
      <c r="E134" s="1">
        <v>6</v>
      </c>
      <c r="F134" s="1">
        <f>SUMIF(Scores!$E$2:$E$820, 'Next Gen'!$A134, INDEX(Scores!$H$2:$P$820, 0, MATCH($B134, Scores!$H$1:$P$1, 0)))</f>
        <v>14</v>
      </c>
      <c r="G134" s="1" t="str">
        <f>INDEX(Scores!$B$2:$B$820, MATCH('Next Gen'!$A135, Scores!$E$2:$E$820, 0))</f>
        <v>mid</v>
      </c>
      <c r="H134" s="4">
        <f>INDEX(Scores!$D$2:$D$820, MATCH('Next Gen'!$A135, Scores!$E$2:$E$820, 0))</f>
        <v>45833</v>
      </c>
      <c r="K134"/>
    </row>
    <row r="135" spans="1:11">
      <c r="A135" s="1">
        <v>130</v>
      </c>
      <c r="B135" s="1" t="s">
        <v>78</v>
      </c>
      <c r="C135" s="1">
        <v>9</v>
      </c>
      <c r="D135" s="1">
        <v>4</v>
      </c>
      <c r="E135" s="1">
        <v>1</v>
      </c>
      <c r="F135" s="1">
        <f>SUMIF(Scores!$E$2:$E$820, 'Next Gen'!$A135, INDEX(Scores!$H$2:$P$820, 0, MATCH($B135, Scores!$H$1:$P$1, 0)))</f>
        <v>1</v>
      </c>
      <c r="G135" s="1" t="str">
        <f>INDEX(Scores!$B$2:$B$820, MATCH('Next Gen'!$A136, Scores!$E$2:$E$820, 0))</f>
        <v>mid</v>
      </c>
      <c r="H135" s="4">
        <f>INDEX(Scores!$D$2:$D$820, MATCH('Next Gen'!$A136, Scores!$E$2:$E$820, 0))</f>
        <v>45833</v>
      </c>
      <c r="K135"/>
    </row>
    <row r="136" spans="1:11">
      <c r="A136" s="1">
        <v>130</v>
      </c>
      <c r="B136" s="1" t="s">
        <v>5</v>
      </c>
      <c r="C136" s="1">
        <v>9</v>
      </c>
      <c r="D136" s="1">
        <v>7</v>
      </c>
      <c r="E136" s="1">
        <v>0</v>
      </c>
      <c r="F136" s="1">
        <f>SUMIF(Scores!$E$2:$E$820, 'Next Gen'!$A136, INDEX(Scores!$H$2:$P$820, 0, MATCH($B136, Scores!$H$1:$P$1, 0)))</f>
        <v>0</v>
      </c>
      <c r="G136" s="1" t="str">
        <f>INDEX(Scores!$B$2:$B$820, MATCH('Next Gen'!$A134, Scores!$E$2:$E$820, 0))</f>
        <v>mid</v>
      </c>
      <c r="H136" s="4">
        <f>INDEX(Scores!$D$2:$D$820, MATCH('Next Gen'!$A134, Scores!$E$2:$E$820, 0))</f>
        <v>45833</v>
      </c>
      <c r="K136"/>
    </row>
    <row r="137" spans="1:11">
      <c r="A137" s="1">
        <v>131</v>
      </c>
      <c r="B137" s="1" t="s">
        <v>4</v>
      </c>
      <c r="C137" s="1">
        <v>12</v>
      </c>
      <c r="D137" s="1">
        <v>12</v>
      </c>
      <c r="E137" s="1">
        <v>5</v>
      </c>
      <c r="F137" s="1">
        <f>SUMIF(Scores!$E$2:$E$820, 'Next Gen'!$A137, INDEX(Scores!$H$2:$P$820, 0, MATCH($B137, Scores!$H$1:$P$1, 0)))</f>
        <v>9</v>
      </c>
      <c r="G137" s="1" t="str">
        <f>INDEX(Scores!$B$2:$B$820, MATCH('Next Gen'!$A137, Scores!$E$2:$E$820, 0))</f>
        <v>mid</v>
      </c>
      <c r="H137" s="4">
        <f>INDEX(Scores!$D$2:$D$820, MATCH('Next Gen'!$A137, Scores!$E$2:$E$820, 0))</f>
        <v>45833</v>
      </c>
      <c r="K137"/>
    </row>
    <row r="138" spans="1:11">
      <c r="A138" s="1">
        <v>131</v>
      </c>
      <c r="B138" s="1" t="s">
        <v>5</v>
      </c>
      <c r="C138" s="1">
        <v>12</v>
      </c>
      <c r="D138" s="1">
        <v>10</v>
      </c>
      <c r="E138" s="1">
        <v>5</v>
      </c>
      <c r="F138" s="1">
        <f>SUMIF(Scores!$E$2:$E$820, 'Next Gen'!$A138, INDEX(Scores!$H$2:$P$820, 0, MATCH($B138, Scores!$H$1:$P$1, 0)))</f>
        <v>7</v>
      </c>
      <c r="G138" s="1" t="str">
        <f>INDEX(Scores!$B$2:$B$820, MATCH('Next Gen'!$A138, Scores!$E$2:$E$820, 0))</f>
        <v>mid</v>
      </c>
      <c r="H138" s="4">
        <f>INDEX(Scores!$D$2:$D$820, MATCH('Next Gen'!$A138, Scores!$E$2:$E$820, 0))</f>
        <v>45833</v>
      </c>
      <c r="K138"/>
    </row>
    <row r="139" spans="1:11">
      <c r="A139" s="1">
        <v>132</v>
      </c>
      <c r="B139" s="1" t="s">
        <v>4</v>
      </c>
      <c r="C139" s="1">
        <v>9</v>
      </c>
      <c r="D139" s="1">
        <v>9</v>
      </c>
      <c r="E139" s="1">
        <v>4</v>
      </c>
      <c r="F139" s="1">
        <f>SUMIF(Scores!$E$2:$E$820, 'Next Gen'!$A139, INDEX(Scores!$H$2:$P$820, 0, MATCH($B139, Scores!$H$1:$P$1, 0)))</f>
        <v>10</v>
      </c>
      <c r="G139" s="1" t="str">
        <f>INDEX(Scores!$B$2:$B$820, MATCH('Next Gen'!$A139, Scores!$E$2:$E$820, 0))</f>
        <v>mid</v>
      </c>
      <c r="H139" s="4">
        <f>INDEX(Scores!$D$2:$D$820, MATCH('Next Gen'!$A139, Scores!$E$2:$E$820, 0))</f>
        <v>45834</v>
      </c>
      <c r="K139"/>
    </row>
    <row r="140" spans="1:11">
      <c r="A140" s="1">
        <v>132</v>
      </c>
      <c r="B140" s="1" t="s">
        <v>5</v>
      </c>
      <c r="C140" s="1">
        <v>9</v>
      </c>
      <c r="D140" s="1">
        <v>8</v>
      </c>
      <c r="E140" s="1">
        <v>2</v>
      </c>
      <c r="F140" s="1">
        <f>SUMIF(Scores!$E$2:$E$820, 'Next Gen'!$A140, INDEX(Scores!$H$2:$P$820, 0, MATCH($B140, Scores!$H$1:$P$1, 0)))</f>
        <v>4</v>
      </c>
      <c r="G140" s="1" t="str">
        <f>INDEX(Scores!$B$2:$B$820, MATCH('Next Gen'!$A140, Scores!$E$2:$E$820, 0))</f>
        <v>mid</v>
      </c>
      <c r="H140" s="4">
        <f>INDEX(Scores!$D$2:$D$820, MATCH('Next Gen'!$A140, Scores!$E$2:$E$820, 0))</f>
        <v>45834</v>
      </c>
      <c r="K140"/>
    </row>
    <row r="141" spans="1:11">
      <c r="A141" s="1">
        <v>132</v>
      </c>
      <c r="B141" s="1" t="s">
        <v>78</v>
      </c>
      <c r="C141" s="1">
        <v>9</v>
      </c>
      <c r="D141" s="1">
        <v>4</v>
      </c>
      <c r="E141" s="1">
        <v>2</v>
      </c>
      <c r="F141" s="1">
        <f>SUMIF(Scores!$E$2:$E$820, 'Next Gen'!$A141, INDEX(Scores!$H$2:$P$820, 0, MATCH($B141, Scores!$H$1:$P$1, 0)))</f>
        <v>4</v>
      </c>
      <c r="G141" s="1" t="str">
        <f>INDEX(Scores!$B$2:$B$820, MATCH('Next Gen'!$A141, Scores!$E$2:$E$820, 0))</f>
        <v>mid</v>
      </c>
      <c r="H141" s="4">
        <f>INDEX(Scores!$D$2:$D$820, MATCH('Next Gen'!$A141, Scores!$E$2:$E$820, 0))</f>
        <v>45834</v>
      </c>
      <c r="K141"/>
    </row>
    <row r="142" spans="1:11">
      <c r="A142" s="1">
        <v>133</v>
      </c>
      <c r="B142" s="1" t="s">
        <v>4</v>
      </c>
      <c r="C142" s="1">
        <v>9</v>
      </c>
      <c r="D142" s="1">
        <v>9</v>
      </c>
      <c r="E142" s="1">
        <v>5</v>
      </c>
      <c r="F142" s="1">
        <f>SUMIF(Scores!$E$2:$E$820, 'Next Gen'!$A142, INDEX(Scores!$H$2:$P$820, 0, MATCH($B142, Scores!$H$1:$P$1, 0)))</f>
        <v>10</v>
      </c>
      <c r="G142" s="1" t="str">
        <f>INDEX(Scores!$B$2:$B$820, MATCH('Next Gen'!$A142, Scores!$E$2:$E$820, 0))</f>
        <v>mid</v>
      </c>
      <c r="H142" s="4">
        <f>INDEX(Scores!$D$2:$D$820, MATCH('Next Gen'!$A142, Scores!$E$2:$E$820, 0))</f>
        <v>45834</v>
      </c>
      <c r="K142"/>
    </row>
    <row r="143" spans="1:11">
      <c r="A143" s="1">
        <v>133</v>
      </c>
      <c r="B143" s="1" t="s">
        <v>5</v>
      </c>
      <c r="C143" s="1">
        <v>9</v>
      </c>
      <c r="D143" s="1">
        <v>8</v>
      </c>
      <c r="E143" s="1">
        <v>3</v>
      </c>
      <c r="F143" s="1">
        <f>SUMIF(Scores!$E$2:$E$820, 'Next Gen'!$A143, INDEX(Scores!$H$2:$P$820, 0, MATCH($B143, Scores!$H$1:$P$1, 0)))</f>
        <v>4</v>
      </c>
      <c r="G143" s="1" t="str">
        <f>INDEX(Scores!$B$2:$B$820, MATCH('Next Gen'!$A143, Scores!$E$2:$E$820, 0))</f>
        <v>mid</v>
      </c>
      <c r="H143" s="4">
        <f>INDEX(Scores!$D$2:$D$820, MATCH('Next Gen'!$A143, Scores!$E$2:$E$820, 0))</f>
        <v>45834</v>
      </c>
      <c r="K143"/>
    </row>
    <row r="144" spans="1:11">
      <c r="A144" s="1">
        <v>134</v>
      </c>
      <c r="B144" s="1" t="s">
        <v>4</v>
      </c>
      <c r="C144" s="1">
        <v>9</v>
      </c>
      <c r="D144" s="1">
        <v>9</v>
      </c>
      <c r="E144" s="1">
        <v>3</v>
      </c>
      <c r="F144" s="1">
        <f>SUMIF(Scores!$E$2:$E$820, 'Next Gen'!$A144, INDEX(Scores!$H$2:$P$820, 0, MATCH($B144, Scores!$H$1:$P$1, 0)))</f>
        <v>6</v>
      </c>
      <c r="G144" s="1" t="str">
        <f>INDEX(Scores!$B$2:$B$820, MATCH('Next Gen'!$A144, Scores!$E$2:$E$820, 0))</f>
        <v>mid</v>
      </c>
      <c r="H144" s="4">
        <f>INDEX(Scores!$D$2:$D$820, MATCH('Next Gen'!$A144, Scores!$E$2:$E$820, 0))</f>
        <v>45835</v>
      </c>
      <c r="K144"/>
    </row>
    <row r="145" spans="1:11">
      <c r="A145" s="1">
        <v>134</v>
      </c>
      <c r="B145" s="1" t="s">
        <v>78</v>
      </c>
      <c r="C145" s="1">
        <v>9</v>
      </c>
      <c r="D145" s="1">
        <v>5</v>
      </c>
      <c r="E145" s="1">
        <v>1</v>
      </c>
      <c r="F145" s="1">
        <f>SUMIF(Scores!$E$2:$E$820, 'Next Gen'!$A145, INDEX(Scores!$H$2:$P$820, 0, MATCH($B145, Scores!$H$1:$P$1, 0)))</f>
        <v>3</v>
      </c>
      <c r="G145" s="1" t="str">
        <f>INDEX(Scores!$B$2:$B$820, MATCH('Next Gen'!$A145, Scores!$E$2:$E$820, 0))</f>
        <v>mid</v>
      </c>
      <c r="H145" s="4">
        <f>INDEX(Scores!$D$2:$D$820, MATCH('Next Gen'!$A145, Scores!$E$2:$E$820, 0))</f>
        <v>45835</v>
      </c>
      <c r="K145"/>
    </row>
    <row r="146" spans="1:11">
      <c r="A146" s="1">
        <v>135</v>
      </c>
      <c r="B146" s="1" t="s">
        <v>4</v>
      </c>
      <c r="C146" s="1">
        <v>9</v>
      </c>
      <c r="D146" s="1">
        <v>8</v>
      </c>
      <c r="E146" s="1">
        <v>6</v>
      </c>
      <c r="F146" s="1">
        <f>SUMIF(Scores!$E$2:$E$820, 'Next Gen'!$A146, INDEX(Scores!$H$2:$P$820, 0, MATCH($B146, Scores!$H$1:$P$1, 0)))</f>
        <v>16</v>
      </c>
      <c r="G146" s="1" t="str">
        <f>INDEX(Scores!$B$2:$B$820, MATCH('Next Gen'!$A146, Scores!$E$2:$E$820, 0))</f>
        <v>mid</v>
      </c>
      <c r="H146" s="4">
        <f>INDEX(Scores!$D$2:$D$820, MATCH('Next Gen'!$A146, Scores!$E$2:$E$820, 0))</f>
        <v>45835</v>
      </c>
      <c r="K146"/>
    </row>
    <row r="147" spans="1:11">
      <c r="A147" s="1">
        <v>135</v>
      </c>
      <c r="B147" s="1" t="s">
        <v>5</v>
      </c>
      <c r="C147" s="1">
        <v>9</v>
      </c>
      <c r="D147" s="1">
        <v>5</v>
      </c>
      <c r="E147" s="1">
        <v>0</v>
      </c>
      <c r="F147" s="1">
        <f>SUMIF(Scores!$E$2:$E$820, 'Next Gen'!$A147, INDEX(Scores!$H$2:$P$820, 0, MATCH($B147, Scores!$H$1:$P$1, 0)))</f>
        <v>0</v>
      </c>
      <c r="G147" s="1" t="str">
        <f>INDEX(Scores!$B$2:$B$820, MATCH('Next Gen'!$A147, Scores!$E$2:$E$820, 0))</f>
        <v>mid</v>
      </c>
      <c r="H147" s="4">
        <f>INDEX(Scores!$D$2:$D$820, MATCH('Next Gen'!$A147, Scores!$E$2:$E$820, 0))</f>
        <v>45835</v>
      </c>
      <c r="K147"/>
    </row>
    <row r="148" spans="1:11">
      <c r="A148" s="1">
        <v>136</v>
      </c>
      <c r="B148" s="1" t="s">
        <v>5</v>
      </c>
      <c r="C148" s="1">
        <v>9</v>
      </c>
      <c r="D148" s="1">
        <v>8</v>
      </c>
      <c r="E148" s="1">
        <v>4</v>
      </c>
      <c r="F148" s="1">
        <f>SUMIF(Scores!$E$2:$E$820, 'Next Gen'!$A148, INDEX(Scores!$H$2:$P$820, 0, MATCH($B148, Scores!$H$1:$P$1, 0)))</f>
        <v>9</v>
      </c>
      <c r="G148" s="1" t="str">
        <f>INDEX(Scores!$B$2:$B$820, MATCH('Next Gen'!$A149, Scores!$E$2:$E$820, 0))</f>
        <v>high</v>
      </c>
      <c r="H148" s="4">
        <f>INDEX(Scores!$D$2:$D$820, MATCH('Next Gen'!$A149, Scores!$E$2:$E$820, 0))</f>
        <v>45835</v>
      </c>
      <c r="K148"/>
    </row>
    <row r="149" spans="1:11">
      <c r="A149" s="1">
        <v>136</v>
      </c>
      <c r="B149" s="1" t="s">
        <v>4</v>
      </c>
      <c r="C149" s="1">
        <v>9</v>
      </c>
      <c r="D149" s="1">
        <v>7</v>
      </c>
      <c r="E149" s="1">
        <v>2</v>
      </c>
      <c r="F149" s="1">
        <f>SUMIF(Scores!$E$2:$E$820, 'Next Gen'!$A149, INDEX(Scores!$H$2:$P$820, 0, MATCH($B149, Scores!$H$1:$P$1, 0)))</f>
        <v>4</v>
      </c>
      <c r="G149" s="1" t="str">
        <f>INDEX(Scores!$B$2:$B$820, MATCH('Next Gen'!$A148, Scores!$E$2:$E$820, 0))</f>
        <v>high</v>
      </c>
      <c r="H149" s="4">
        <f>INDEX(Scores!$D$2:$D$820, MATCH('Next Gen'!$A148, Scores!$E$2:$E$820, 0))</f>
        <v>45835</v>
      </c>
      <c r="K149"/>
    </row>
    <row r="150" spans="1:11">
      <c r="A150" s="1">
        <v>137</v>
      </c>
      <c r="B150" s="1" t="s">
        <v>5</v>
      </c>
      <c r="C150" s="1">
        <v>9</v>
      </c>
      <c r="D150" s="1">
        <v>9</v>
      </c>
      <c r="E150" s="1">
        <v>4</v>
      </c>
      <c r="F150" s="1">
        <f>SUMIF(Scores!$E$2:$E$820, 'Next Gen'!$A150, INDEX(Scores!$H$2:$P$820, 0, MATCH($B150, Scores!$H$1:$P$1, 0)))</f>
        <v>9</v>
      </c>
      <c r="G150" s="1" t="str">
        <f>INDEX(Scores!$B$2:$B$820, MATCH('Next Gen'!$A151, Scores!$E$2:$E$820, 0))</f>
        <v>mid</v>
      </c>
      <c r="H150" s="4">
        <f>INDEX(Scores!$D$2:$D$820, MATCH('Next Gen'!$A151, Scores!$E$2:$E$820, 0))</f>
        <v>45838</v>
      </c>
      <c r="K150"/>
    </row>
    <row r="151" spans="1:11">
      <c r="A151" s="1">
        <v>137</v>
      </c>
      <c r="B151" s="1" t="s">
        <v>78</v>
      </c>
      <c r="C151" s="1">
        <v>9</v>
      </c>
      <c r="D151" s="1">
        <v>5</v>
      </c>
      <c r="E151" s="1">
        <v>1</v>
      </c>
      <c r="F151" s="1">
        <f>SUMIF(Scores!$E$2:$E$820, 'Next Gen'!$A151, INDEX(Scores!$H$2:$P$820, 0, MATCH($B151, Scores!$H$1:$P$1, 0)))</f>
        <v>1</v>
      </c>
      <c r="G151" s="1" t="str">
        <f>INDEX(Scores!$B$2:$B$820, MATCH('Next Gen'!$A152, Scores!$E$2:$E$820, 0))</f>
        <v>mid</v>
      </c>
      <c r="H151" s="4">
        <f>INDEX(Scores!$D$2:$D$820, MATCH('Next Gen'!$A152, Scores!$E$2:$E$820, 0))</f>
        <v>45838</v>
      </c>
      <c r="K151"/>
    </row>
    <row r="152" spans="1:11">
      <c r="A152" s="1">
        <v>137</v>
      </c>
      <c r="B152" s="1" t="s">
        <v>4</v>
      </c>
      <c r="C152" s="1">
        <v>9</v>
      </c>
      <c r="D152" s="1">
        <v>9</v>
      </c>
      <c r="E152" s="1">
        <v>1</v>
      </c>
      <c r="F152" s="1">
        <f>SUMIF(Scores!$E$2:$E$820, 'Next Gen'!$A152, INDEX(Scores!$H$2:$P$820, 0, MATCH($B152, Scores!$H$1:$P$1, 0)))</f>
        <v>5</v>
      </c>
      <c r="G152" s="1" t="str">
        <f>INDEX(Scores!$B$2:$B$820, MATCH('Next Gen'!$A150, Scores!$E$2:$E$820, 0))</f>
        <v>mid</v>
      </c>
      <c r="H152" s="4">
        <f>INDEX(Scores!$D$2:$D$820, MATCH('Next Gen'!$A150, Scores!$E$2:$E$820, 0))</f>
        <v>45838</v>
      </c>
    </row>
    <row r="153" spans="1:11">
      <c r="A153" s="1">
        <v>138</v>
      </c>
      <c r="B153" s="1" t="s">
        <v>4</v>
      </c>
      <c r="C153" s="1">
        <v>9</v>
      </c>
      <c r="D153" s="1">
        <v>8</v>
      </c>
      <c r="E153" s="1">
        <v>5</v>
      </c>
      <c r="F153" s="1">
        <f>SUMIF(Scores!$E$2:$E$820, 'Next Gen'!$A153, INDEX(Scores!$H$2:$P$820, 0, MATCH($B153, Scores!$H$1:$P$1, 0)))</f>
        <v>13</v>
      </c>
      <c r="G153" s="1" t="str">
        <f>INDEX(Scores!$B$2:$B$820, MATCH('Next Gen'!$A153, Scores!$E$2:$E$820, 0))</f>
        <v>high</v>
      </c>
      <c r="H153" s="4">
        <f>INDEX(Scores!$D$2:$D$820, MATCH('Next Gen'!$A153, Scores!$E$2:$E$820, 0))</f>
        <v>45838</v>
      </c>
    </row>
    <row r="154" spans="1:11">
      <c r="A154" s="1">
        <v>138</v>
      </c>
      <c r="B154" s="1" t="s">
        <v>78</v>
      </c>
      <c r="C154" s="1">
        <v>9</v>
      </c>
      <c r="D154" s="1">
        <v>5</v>
      </c>
      <c r="E154" s="1">
        <v>3</v>
      </c>
      <c r="F154" s="1">
        <f>SUMIF(Scores!$E$2:$E$820, 'Next Gen'!$A154, INDEX(Scores!$H$2:$P$820, 0, MATCH($B154, Scores!$H$1:$P$1, 0)))</f>
        <v>3</v>
      </c>
      <c r="G154" s="1" t="str">
        <f>INDEX(Scores!$B$2:$B$820, MATCH('Next Gen'!$A155, Scores!$E$2:$E$820, 0))</f>
        <v>high</v>
      </c>
      <c r="H154" s="4">
        <f>INDEX(Scores!$D$2:$D$820, MATCH('Next Gen'!$A155, Scores!$E$2:$E$820, 0))</f>
        <v>45838</v>
      </c>
    </row>
    <row r="155" spans="1:11">
      <c r="A155" s="1">
        <v>138</v>
      </c>
      <c r="B155" s="1" t="s">
        <v>5</v>
      </c>
      <c r="C155" s="1">
        <v>9</v>
      </c>
      <c r="D155" s="1">
        <v>5</v>
      </c>
      <c r="E155" s="1">
        <v>2</v>
      </c>
      <c r="F155" s="1">
        <f>SUMIF(Scores!$E$2:$E$820, 'Next Gen'!$A155, INDEX(Scores!$H$2:$P$820, 0, MATCH($B155, Scores!$H$1:$P$1, 0)))</f>
        <v>3</v>
      </c>
      <c r="G155" s="1" t="str">
        <f>INDEX(Scores!$B$2:$B$820, MATCH('Next Gen'!$A154, Scores!$E$2:$E$820, 0))</f>
        <v>high</v>
      </c>
      <c r="H155" s="4">
        <f>INDEX(Scores!$D$2:$D$820, MATCH('Next Gen'!$A154, Scores!$E$2:$E$820, 0))</f>
        <v>45838</v>
      </c>
    </row>
    <row r="156" spans="1:11">
      <c r="A156" s="1">
        <v>139</v>
      </c>
      <c r="B156" s="1" t="s">
        <v>5</v>
      </c>
      <c r="C156" s="1">
        <v>9</v>
      </c>
      <c r="D156" s="1">
        <v>9</v>
      </c>
      <c r="E156" s="1">
        <v>3</v>
      </c>
      <c r="F156" s="1">
        <f>SUMIF(Scores!$E$2:$E$820, 'Next Gen'!$A156, INDEX(Scores!$H$2:$P$820, 0, MATCH($B156, Scores!$H$1:$P$1, 0)))</f>
        <v>4</v>
      </c>
      <c r="G156" s="1" t="str">
        <f>INDEX(Scores!$B$2:$B$820, MATCH('Next Gen'!$A157, Scores!$E$2:$E$820, 0))</f>
        <v>mid</v>
      </c>
      <c r="H156" s="4">
        <f>INDEX(Scores!$D$2:$D$820, MATCH('Next Gen'!$A157, Scores!$E$2:$E$820, 0))</f>
        <v>45838</v>
      </c>
    </row>
    <row r="157" spans="1:11">
      <c r="A157" s="1">
        <v>139</v>
      </c>
      <c r="B157" s="1" t="s">
        <v>6</v>
      </c>
      <c r="C157" s="1">
        <v>9</v>
      </c>
      <c r="D157" s="1">
        <v>5</v>
      </c>
      <c r="E157" s="1">
        <v>3</v>
      </c>
      <c r="F157" s="1">
        <f>SUMIF(Scores!$E$2:$E$820, 'Next Gen'!$A157, INDEX(Scores!$H$2:$P$820, 0, MATCH($B157, Scores!$H$1:$P$1, 0)))</f>
        <v>5</v>
      </c>
      <c r="G157" s="1" t="str">
        <f>INDEX(Scores!$B$2:$B$820, MATCH('Next Gen'!$A158, Scores!$E$2:$E$820, 0))</f>
        <v>mid</v>
      </c>
      <c r="H157" s="4">
        <f>INDEX(Scores!$D$2:$D$820, MATCH('Next Gen'!$A158, Scores!$E$2:$E$820, 0))</f>
        <v>45838</v>
      </c>
    </row>
    <row r="158" spans="1:11">
      <c r="A158" s="1">
        <v>139</v>
      </c>
      <c r="B158" s="1" t="s">
        <v>4</v>
      </c>
      <c r="C158" s="1">
        <v>9</v>
      </c>
      <c r="D158" s="1">
        <v>8</v>
      </c>
      <c r="E158" s="1">
        <v>2</v>
      </c>
      <c r="F158" s="1">
        <f>SUMIF(Scores!$E$2:$E$820, 'Next Gen'!$A158, INDEX(Scores!$H$2:$P$820, 0, MATCH($B158, Scores!$H$1:$P$1, 0)))</f>
        <v>4</v>
      </c>
      <c r="G158" s="1" t="str">
        <f>INDEX(Scores!$B$2:$B$820, MATCH('Next Gen'!$A156, Scores!$E$2:$E$820, 0))</f>
        <v>mid</v>
      </c>
      <c r="H158" s="4">
        <f>INDEX(Scores!$D$2:$D$820, MATCH('Next Gen'!$A156, Scores!$E$2:$E$820, 0))</f>
        <v>45838</v>
      </c>
    </row>
    <row r="159" spans="1:11">
      <c r="A159" s="1">
        <v>140</v>
      </c>
      <c r="B159" s="1" t="s">
        <v>5</v>
      </c>
      <c r="C159" s="1">
        <v>12</v>
      </c>
      <c r="D159" s="1">
        <v>12</v>
      </c>
      <c r="E159" s="1">
        <v>8</v>
      </c>
      <c r="F159" s="1">
        <f>SUMIF(Scores!$E$2:$E$820, 'Next Gen'!$A159, INDEX(Scores!$H$2:$P$820, 0, MATCH($B159, Scores!$H$1:$P$1, 0)))</f>
        <v>14</v>
      </c>
      <c r="G159" s="1" t="str">
        <f>INDEX(Scores!$B$2:$B$820, MATCH('Next Gen'!$A160, Scores!$E$2:$E$820, 0))</f>
        <v>mid</v>
      </c>
      <c r="H159" s="4">
        <f>INDEX(Scores!$D$2:$D$820, MATCH('Next Gen'!$A160, Scores!$E$2:$E$820, 0))</f>
        <v>45839</v>
      </c>
    </row>
    <row r="160" spans="1:11">
      <c r="A160" s="1">
        <v>140</v>
      </c>
      <c r="B160" s="1" t="s">
        <v>4</v>
      </c>
      <c r="C160" s="1">
        <v>12</v>
      </c>
      <c r="D160" s="1">
        <v>12</v>
      </c>
      <c r="E160" s="1">
        <v>4</v>
      </c>
      <c r="F160" s="1">
        <f>SUMIF(Scores!$E$2:$E$820, 'Next Gen'!$A160, INDEX(Scores!$H$2:$P$820, 0, MATCH($B160, Scores!$H$1:$P$1, 0)))</f>
        <v>8</v>
      </c>
      <c r="G160" s="1" t="str">
        <f>INDEX(Scores!$B$2:$B$820, MATCH('Next Gen'!$A159, Scores!$E$2:$E$820, 0))</f>
        <v>mid</v>
      </c>
      <c r="H160" s="4">
        <f>INDEX(Scores!$D$2:$D$820, MATCH('Next Gen'!$A159, Scores!$E$2:$E$820, 0))</f>
        <v>45839</v>
      </c>
    </row>
    <row r="161" spans="1:8">
      <c r="A161" s="1">
        <v>140</v>
      </c>
      <c r="B161" s="1" t="s">
        <v>78</v>
      </c>
      <c r="C161" s="1">
        <v>9</v>
      </c>
      <c r="D161" s="1">
        <v>5</v>
      </c>
      <c r="E161" s="1">
        <v>2</v>
      </c>
      <c r="F161" s="1">
        <f>SUMIF(Scores!$E$2:$E$820, 'Next Gen'!$A161, INDEX(Scores!$H$2:$P$820, 0, MATCH($B161, Scores!$H$1:$P$1, 0)))</f>
        <v>2</v>
      </c>
      <c r="G161" s="1" t="str">
        <f>INDEX(Scores!$B$2:$B$820, MATCH('Next Gen'!$A161, Scores!$E$2:$E$820, 0))</f>
        <v>mid</v>
      </c>
      <c r="H161" s="4">
        <f>INDEX(Scores!$D$2:$D$820, MATCH('Next Gen'!$A161, Scores!$E$2:$E$820, 0))</f>
        <v>45839</v>
      </c>
    </row>
    <row r="162" spans="1:8">
      <c r="A162" s="1">
        <v>141</v>
      </c>
      <c r="B162" s="1" t="s">
        <v>5</v>
      </c>
      <c r="C162" s="1">
        <v>9</v>
      </c>
      <c r="D162" s="1">
        <v>8</v>
      </c>
      <c r="E162" s="1">
        <v>5</v>
      </c>
      <c r="F162" s="1">
        <f>SUMIF(Scores!$E$2:$E$820, 'Next Gen'!$A162, INDEX(Scores!$H$2:$P$820, 0, MATCH($B162, Scores!$H$1:$P$1, 0)))</f>
        <v>14</v>
      </c>
      <c r="G162" s="1" t="str">
        <f>INDEX(Scores!$B$2:$B$820, MATCH('Next Gen'!$A163, Scores!$E$2:$E$820, 0))</f>
        <v>high</v>
      </c>
      <c r="H162" s="4">
        <f>INDEX(Scores!$D$2:$D$820, MATCH('Next Gen'!$A163, Scores!$E$2:$E$820, 0))</f>
        <v>45839</v>
      </c>
    </row>
    <row r="163" spans="1:8">
      <c r="A163" s="1">
        <v>141</v>
      </c>
      <c r="B163" s="1" t="s">
        <v>4</v>
      </c>
      <c r="C163" s="1">
        <v>9</v>
      </c>
      <c r="D163" s="1">
        <v>7</v>
      </c>
      <c r="E163" s="1">
        <v>4</v>
      </c>
      <c r="F163" s="1">
        <f>SUMIF(Scores!$E$2:$E$820, 'Next Gen'!$A163, INDEX(Scores!$H$2:$P$820, 0, MATCH($B163, Scores!$H$1:$P$1, 0)))</f>
        <v>3</v>
      </c>
      <c r="G163" s="1" t="str">
        <f>INDEX(Scores!$B$2:$B$820, MATCH('Next Gen'!$A162, Scores!$E$2:$E$820, 0))</f>
        <v>high</v>
      </c>
      <c r="H163" s="4">
        <f>INDEX(Scores!$D$2:$D$820, MATCH('Next Gen'!$A162, Scores!$E$2:$E$820, 0))</f>
        <v>45839</v>
      </c>
    </row>
    <row r="164" spans="1:8">
      <c r="A164" s="1">
        <v>141</v>
      </c>
      <c r="B164" s="1" t="s">
        <v>6</v>
      </c>
      <c r="C164" s="1">
        <v>9</v>
      </c>
      <c r="D164" s="1">
        <v>6</v>
      </c>
      <c r="E164" s="1">
        <v>3</v>
      </c>
      <c r="F164" s="1">
        <f>SUMIF(Scores!$E$2:$E$820, 'Next Gen'!$A164, INDEX(Scores!$H$2:$P$820, 0, MATCH($B164, Scores!$H$1:$P$1, 0)))</f>
        <v>5</v>
      </c>
      <c r="G164" s="1" t="str">
        <f>INDEX(Scores!$B$2:$B$820, MATCH('Next Gen'!$A164, Scores!$E$2:$E$820, 0))</f>
        <v>high</v>
      </c>
      <c r="H164" s="4">
        <f>INDEX(Scores!$D$2:$D$820, MATCH('Next Gen'!$A164, Scores!$E$2:$E$820, 0))</f>
        <v>45839</v>
      </c>
    </row>
    <row r="165" spans="1:8">
      <c r="A165" s="1">
        <v>142</v>
      </c>
      <c r="B165" s="1" t="s">
        <v>5</v>
      </c>
      <c r="C165" s="1">
        <v>9</v>
      </c>
      <c r="D165" s="1">
        <v>9</v>
      </c>
      <c r="E165" s="1">
        <v>5</v>
      </c>
      <c r="F165" s="1">
        <f>SUMIF(Scores!$E$2:$E$820, 'Next Gen'!$A165, INDEX(Scores!$H$2:$P$820, 0, MATCH($B165, Scores!$H$1:$P$1, 0)))</f>
        <v>8</v>
      </c>
      <c r="G165" s="1" t="str">
        <f>INDEX(Scores!$B$2:$B$820, MATCH('Next Gen'!$A166, Scores!$E$2:$E$820, 0))</f>
        <v>mid</v>
      </c>
      <c r="H165" s="4">
        <f>INDEX(Scores!$D$2:$D$820, MATCH('Next Gen'!$A166, Scores!$E$2:$E$820, 0))</f>
        <v>45839</v>
      </c>
    </row>
    <row r="166" spans="1:8">
      <c r="A166" s="1">
        <v>142</v>
      </c>
      <c r="B166" s="1" t="s">
        <v>6</v>
      </c>
      <c r="C166" s="1">
        <v>9</v>
      </c>
      <c r="D166" s="1">
        <v>6</v>
      </c>
      <c r="E166" s="1">
        <v>3</v>
      </c>
      <c r="F166" s="1">
        <f>SUMIF(Scores!$E$2:$E$820, 'Next Gen'!$A166, INDEX(Scores!$H$2:$P$820, 0, MATCH($B166, Scores!$H$1:$P$1, 0)))</f>
        <v>4</v>
      </c>
      <c r="G166" s="1" t="str">
        <f>INDEX(Scores!$B$2:$B$820, MATCH('Next Gen'!$A167, Scores!$E$2:$E$820, 0))</f>
        <v>mid</v>
      </c>
      <c r="H166" s="4">
        <f>INDEX(Scores!$D$2:$D$820, MATCH('Next Gen'!$A167, Scores!$E$2:$E$820, 0))</f>
        <v>45839</v>
      </c>
    </row>
    <row r="167" spans="1:8">
      <c r="A167" s="1">
        <v>142</v>
      </c>
      <c r="B167" s="1" t="s">
        <v>4</v>
      </c>
      <c r="C167" s="1">
        <v>9</v>
      </c>
      <c r="D167" s="1">
        <v>9</v>
      </c>
      <c r="E167" s="1">
        <v>2</v>
      </c>
      <c r="F167" s="1">
        <f>SUMIF(Scores!$E$2:$E$820, 'Next Gen'!$A167, INDEX(Scores!$H$2:$P$820, 0, MATCH($B167, Scores!$H$1:$P$1, 0)))</f>
        <v>6</v>
      </c>
      <c r="G167" s="1" t="str">
        <f>INDEX(Scores!$B$2:$B$820, MATCH('Next Gen'!$A165, Scores!$E$2:$E$820, 0))</f>
        <v>mid</v>
      </c>
      <c r="H167" s="4">
        <f>INDEX(Scores!$D$2:$D$820, MATCH('Next Gen'!$A165, Scores!$E$2:$E$820, 0))</f>
        <v>45839</v>
      </c>
    </row>
    <row r="168" spans="1:8">
      <c r="A168" s="1">
        <v>143</v>
      </c>
      <c r="B168" s="1" t="s">
        <v>5</v>
      </c>
      <c r="C168" s="1">
        <v>9</v>
      </c>
      <c r="D168" s="1">
        <v>9</v>
      </c>
      <c r="E168" s="1">
        <v>4</v>
      </c>
      <c r="F168" s="1">
        <f>SUMIF(Scores!$E$2:$E$820, 'Next Gen'!$A168, INDEX(Scores!$H$2:$P$820, 0, MATCH($B168, Scores!$H$1:$P$1, 0)))</f>
        <v>10</v>
      </c>
      <c r="G168" s="1" t="str">
        <f>INDEX(Scores!$B$2:$B$820, MATCH('Next Gen'!$A168, Scores!$E$2:$E$820, 0))</f>
        <v>mid</v>
      </c>
      <c r="H168" s="4">
        <f>INDEX(Scores!$D$2:$D$820, MATCH('Next Gen'!$A168, Scores!$E$2:$E$820, 0))</f>
        <v>45840</v>
      </c>
    </row>
    <row r="169" spans="1:8">
      <c r="A169" s="1">
        <v>143</v>
      </c>
      <c r="B169" s="1" t="s">
        <v>78</v>
      </c>
      <c r="C169" s="1">
        <v>9</v>
      </c>
      <c r="D169" s="1">
        <v>5</v>
      </c>
      <c r="E169" s="1">
        <v>3</v>
      </c>
      <c r="F169" s="1">
        <f>SUMIF(Scores!$E$2:$E$820, 'Next Gen'!$A169, INDEX(Scores!$H$2:$P$820, 0, MATCH($B169, Scores!$H$1:$P$1, 0)))</f>
        <v>8</v>
      </c>
      <c r="G169" s="1" t="str">
        <f>INDEX(Scores!$B$2:$B$820, MATCH('Next Gen'!$A170, Scores!$E$2:$E$820, 0))</f>
        <v>mid</v>
      </c>
      <c r="H169" s="4">
        <f>INDEX(Scores!$D$2:$D$820, MATCH('Next Gen'!$A170, Scores!$E$2:$E$820, 0))</f>
        <v>45840</v>
      </c>
    </row>
    <row r="170" spans="1:8">
      <c r="A170" s="1">
        <v>143</v>
      </c>
      <c r="B170" s="1" t="s">
        <v>6</v>
      </c>
      <c r="C170" s="1">
        <v>9</v>
      </c>
      <c r="D170" s="1">
        <v>6</v>
      </c>
      <c r="E170" s="1">
        <v>2</v>
      </c>
      <c r="F170" s="1">
        <f>SUMIF(Scores!$E$2:$E$820, 'Next Gen'!$A170, INDEX(Scores!$H$2:$P$820, 0, MATCH($B170, Scores!$H$1:$P$1, 0)))</f>
        <v>3</v>
      </c>
      <c r="G170" s="1" t="str">
        <f>INDEX(Scores!$B$2:$B$820, MATCH('Next Gen'!$A171, Scores!$E$2:$E$820, 0))</f>
        <v>mid</v>
      </c>
      <c r="H170" s="4">
        <f>INDEX(Scores!$D$2:$D$820, MATCH('Next Gen'!$A171, Scores!$E$2:$E$820, 0))</f>
        <v>45840</v>
      </c>
    </row>
    <row r="171" spans="1:8">
      <c r="A171" s="1">
        <v>143</v>
      </c>
      <c r="B171" s="1" t="s">
        <v>4</v>
      </c>
      <c r="C171" s="1">
        <v>9</v>
      </c>
      <c r="D171" s="1">
        <v>9</v>
      </c>
      <c r="E171" s="1">
        <v>2</v>
      </c>
      <c r="F171" s="1">
        <f>SUMIF(Scores!$E$2:$E$820, 'Next Gen'!$A171, INDEX(Scores!$H$2:$P$820, 0, MATCH($B171, Scores!$H$1:$P$1, 0)))</f>
        <v>4</v>
      </c>
      <c r="G171" s="1" t="str">
        <f>INDEX(Scores!$B$2:$B$820, MATCH('Next Gen'!$A169, Scores!$E$2:$E$820, 0))</f>
        <v>mid</v>
      </c>
      <c r="H171" s="4">
        <f>INDEX(Scores!$D$2:$D$820, MATCH('Next Gen'!$A169, Scores!$E$2:$E$820, 0))</f>
        <v>45840</v>
      </c>
    </row>
    <row r="172" spans="1:8">
      <c r="A172" s="1">
        <v>144</v>
      </c>
      <c r="B172" s="1" t="s">
        <v>4</v>
      </c>
      <c r="C172" s="1">
        <v>9</v>
      </c>
      <c r="D172" s="1">
        <v>9</v>
      </c>
      <c r="E172" s="1">
        <v>7</v>
      </c>
      <c r="F172" s="1">
        <f>SUMIF(Scores!$E$2:$E$820, 'Next Gen'!$A172, INDEX(Scores!$H$2:$P$820, 0, MATCH($B172, Scores!$H$1:$P$1, 0)))</f>
        <v>17</v>
      </c>
      <c r="G172" s="1" t="str">
        <f>INDEX(Scores!$B$2:$B$820, MATCH('Next Gen'!$A172, Scores!$E$2:$E$820, 0))</f>
        <v>mid</v>
      </c>
      <c r="H172" s="4">
        <f>INDEX(Scores!$D$2:$D$820, MATCH('Next Gen'!$A172, Scores!$E$2:$E$820, 0))</f>
        <v>45840</v>
      </c>
    </row>
    <row r="173" spans="1:8">
      <c r="A173" s="1">
        <v>144</v>
      </c>
      <c r="B173" s="1" t="s">
        <v>5</v>
      </c>
      <c r="C173" s="1">
        <v>9</v>
      </c>
      <c r="D173" s="1">
        <v>6</v>
      </c>
      <c r="E173" s="1">
        <v>5</v>
      </c>
      <c r="F173" s="1">
        <f>SUMIF(Scores!$E$2:$E$820, 'Next Gen'!$A173, INDEX(Scores!$H$2:$P$820, 0, MATCH($B173, Scores!$H$1:$P$1, 0)))</f>
        <v>9</v>
      </c>
      <c r="G173" s="1" t="str">
        <f>INDEX(Scores!$B$2:$B$820, MATCH('Next Gen'!$A173, Scores!$E$2:$E$820, 0))</f>
        <v>mid</v>
      </c>
      <c r="H173" s="4">
        <f>INDEX(Scores!$D$2:$D$820, MATCH('Next Gen'!$A173, Scores!$E$2:$E$820, 0))</f>
        <v>45840</v>
      </c>
    </row>
    <row r="174" spans="1:8">
      <c r="A174" s="1">
        <v>144</v>
      </c>
      <c r="B174" s="1" t="s">
        <v>6</v>
      </c>
      <c r="C174" s="1">
        <v>9</v>
      </c>
      <c r="D174" s="1">
        <v>4</v>
      </c>
      <c r="E174" s="1">
        <v>2</v>
      </c>
      <c r="F174" s="1">
        <f>SUMIF(Scores!$E$2:$E$820, 'Next Gen'!$A174, INDEX(Scores!$H$2:$P$820, 0, MATCH($B174, Scores!$H$1:$P$1, 0)))</f>
        <v>2</v>
      </c>
      <c r="G174" s="1" t="str">
        <f>INDEX(Scores!$B$2:$B$820, MATCH('Next Gen'!$A174, Scores!$E$2:$E$820, 0))</f>
        <v>mid</v>
      </c>
      <c r="H174" s="4">
        <f>INDEX(Scores!$D$2:$D$820, MATCH('Next Gen'!$A174, Scores!$E$2:$E$820, 0))</f>
        <v>45840</v>
      </c>
    </row>
    <row r="175" spans="1:8">
      <c r="A175" s="1">
        <v>145</v>
      </c>
      <c r="B175" s="1" t="s">
        <v>4</v>
      </c>
      <c r="C175" s="1">
        <v>9</v>
      </c>
      <c r="D175" s="1">
        <v>9</v>
      </c>
      <c r="E175" s="1">
        <v>4</v>
      </c>
      <c r="F175" s="1">
        <f>SUMIF(Scores!$E$2:$E$820, 'Next Gen'!$A175, INDEX(Scores!$H$2:$P$820, 0, MATCH($B175, Scores!$H$1:$P$1, 0)))</f>
        <v>5</v>
      </c>
      <c r="G175" s="1" t="str">
        <f>INDEX(Scores!$B$2:$B$820, MATCH('Next Gen'!$A175, Scores!$E$2:$E$820, 0))</f>
        <v>mid</v>
      </c>
      <c r="H175" s="4">
        <f>INDEX(Scores!$D$2:$D$820, MATCH('Next Gen'!$A175, Scores!$E$2:$E$820, 0))</f>
        <v>45841</v>
      </c>
    </row>
    <row r="176" spans="1:8">
      <c r="A176" s="1">
        <v>145</v>
      </c>
      <c r="B176" s="1" t="s">
        <v>5</v>
      </c>
      <c r="C176" s="1">
        <v>9</v>
      </c>
      <c r="D176" s="1">
        <v>7</v>
      </c>
      <c r="E176" s="1">
        <v>2</v>
      </c>
      <c r="F176" s="1">
        <f>SUMIF(Scores!$E$2:$E$820, 'Next Gen'!$A176, INDEX(Scores!$H$2:$P$820, 0, MATCH($B176, Scores!$H$1:$P$1, 0)))</f>
        <v>4</v>
      </c>
      <c r="G176" s="1" t="str">
        <f>INDEX(Scores!$B$2:$B$820, MATCH('Next Gen'!$A176, Scores!$E$2:$E$820, 0))</f>
        <v>mid</v>
      </c>
      <c r="H176" s="4">
        <f>INDEX(Scores!$D$2:$D$820, MATCH('Next Gen'!$A176, Scores!$E$2:$E$820, 0))</f>
        <v>45841</v>
      </c>
    </row>
    <row r="177" spans="1:8">
      <c r="A177" s="1">
        <v>145</v>
      </c>
      <c r="B177" s="1" t="s">
        <v>78</v>
      </c>
      <c r="C177" s="1">
        <v>9</v>
      </c>
      <c r="D177" s="1">
        <v>5</v>
      </c>
      <c r="E177" s="1">
        <v>1</v>
      </c>
      <c r="F177" s="1">
        <f>SUMIF(Scores!$E$2:$E$820, 'Next Gen'!$A177, INDEX(Scores!$H$2:$P$820, 0, MATCH($B177, Scores!$H$1:$P$1, 0)))</f>
        <v>1</v>
      </c>
      <c r="G177" s="1" t="str">
        <f>INDEX(Scores!$B$2:$B$820, MATCH('Next Gen'!$A177, Scores!$E$2:$E$820, 0))</f>
        <v>mid</v>
      </c>
      <c r="H177" s="4">
        <f>INDEX(Scores!$D$2:$D$820, MATCH('Next Gen'!$A177, Scores!$E$2:$E$820, 0))</f>
        <v>45841</v>
      </c>
    </row>
    <row r="178" spans="1:8">
      <c r="A178" s="1">
        <v>146</v>
      </c>
      <c r="B178" s="1" t="s">
        <v>5</v>
      </c>
      <c r="C178" s="1">
        <v>9</v>
      </c>
      <c r="D178" s="1">
        <v>8</v>
      </c>
      <c r="E178" s="1">
        <v>5</v>
      </c>
      <c r="F178" s="1">
        <f>SUMIF(Scores!$E$2:$E$820, 'Next Gen'!$A178, INDEX(Scores!$H$2:$P$820, 0, MATCH($B178, Scores!$H$1:$P$1, 0)))</f>
        <v>13</v>
      </c>
      <c r="G178" s="1" t="str">
        <f>INDEX(Scores!$B$2:$B$820, MATCH('Next Gen'!$A180, Scores!$E$2:$E$820, 0))</f>
        <v>high</v>
      </c>
      <c r="H178" s="4">
        <f>INDEX(Scores!$D$2:$D$820, MATCH('Next Gen'!$A180, Scores!$E$2:$E$820, 0))</f>
        <v>45841</v>
      </c>
    </row>
    <row r="179" spans="1:8">
      <c r="A179" s="1">
        <v>146</v>
      </c>
      <c r="B179" s="1" t="s">
        <v>4</v>
      </c>
      <c r="C179" s="1">
        <v>9</v>
      </c>
      <c r="D179" s="1">
        <v>9</v>
      </c>
      <c r="E179" s="1">
        <v>4</v>
      </c>
      <c r="F179" s="1">
        <f>SUMIF(Scores!$E$2:$E$820, 'Next Gen'!$A179, INDEX(Scores!$H$2:$P$820, 0, MATCH($B179, Scores!$H$1:$P$1, 0)))</f>
        <v>9</v>
      </c>
      <c r="G179" s="1" t="str">
        <f>INDEX(Scores!$B$2:$B$820, MATCH('Next Gen'!$A179, Scores!$E$2:$E$820, 0))</f>
        <v>high</v>
      </c>
      <c r="H179" s="4">
        <f>INDEX(Scores!$D$2:$D$820, MATCH('Next Gen'!$A179, Scores!$E$2:$E$820, 0))</f>
        <v>45841</v>
      </c>
    </row>
    <row r="180" spans="1:8">
      <c r="A180" s="1">
        <v>146</v>
      </c>
      <c r="B180" s="1" t="s">
        <v>78</v>
      </c>
      <c r="C180" s="1">
        <v>9</v>
      </c>
      <c r="D180" s="1">
        <v>4</v>
      </c>
      <c r="E180" s="1">
        <v>1</v>
      </c>
      <c r="F180" s="1">
        <f>SUMIF(Scores!$E$2:$E$820, 'Next Gen'!$A180, INDEX(Scores!$H$2:$P$820, 0, MATCH($B180, Scores!$H$1:$P$1, 0)))</f>
        <v>3</v>
      </c>
      <c r="G180" s="1" t="str">
        <f>INDEX(Scores!$B$2:$B$820, MATCH('Next Gen'!$A178, Scores!$E$2:$E$820, 0))</f>
        <v>high</v>
      </c>
      <c r="H180" s="4">
        <f>INDEX(Scores!$D$2:$D$820, MATCH('Next Gen'!$A178, Scores!$E$2:$E$820, 0))</f>
        <v>45841</v>
      </c>
    </row>
    <row r="181" spans="1:8">
      <c r="A181" s="1">
        <v>147</v>
      </c>
      <c r="B181" s="1" t="s">
        <v>4</v>
      </c>
      <c r="C181" s="1">
        <v>9</v>
      </c>
      <c r="D181" s="1">
        <v>7</v>
      </c>
      <c r="E181" s="1">
        <v>5</v>
      </c>
      <c r="F181" s="1">
        <f>SUMIF(Scores!$E$2:$E$820, 'Next Gen'!$A181, INDEX(Scores!$H$2:$P$820, 0, MATCH($B181, Scores!$H$1:$P$1, 0)))</f>
        <v>15</v>
      </c>
      <c r="G181" s="1" t="str">
        <f>INDEX(Scores!$B$2:$B$820, MATCH('Next Gen'!$A182, Scores!$E$2:$E$820, 0))</f>
        <v>low</v>
      </c>
      <c r="H181" s="4">
        <f>INDEX(Scores!$D$2:$D$820, MATCH('Next Gen'!$A182, Scores!$E$2:$E$820, 0))</f>
        <v>45841</v>
      </c>
    </row>
    <row r="182" spans="1:8">
      <c r="A182" s="1">
        <v>147</v>
      </c>
      <c r="B182" s="1" t="s">
        <v>78</v>
      </c>
      <c r="C182" s="1">
        <v>9</v>
      </c>
      <c r="D182" s="1">
        <v>6</v>
      </c>
      <c r="E182" s="1">
        <v>2</v>
      </c>
      <c r="F182" s="1">
        <f>SUMIF(Scores!$E$2:$E$820, 'Next Gen'!$A182, INDEX(Scores!$H$2:$P$820, 0, MATCH($B182, Scores!$H$1:$P$1, 0)))</f>
        <v>3</v>
      </c>
      <c r="G182" s="1" t="str">
        <f>INDEX(Scores!$B$2:$B$820, MATCH('Next Gen'!$A181, Scores!$E$2:$E$820, 0))</f>
        <v>low</v>
      </c>
      <c r="H182" s="4">
        <f>INDEX(Scores!$D$2:$D$820, MATCH('Next Gen'!$A181, Scores!$E$2:$E$820, 0))</f>
        <v>45841</v>
      </c>
    </row>
    <row r="183" spans="1:8">
      <c r="A183" s="1">
        <v>147</v>
      </c>
      <c r="B183" s="1" t="s">
        <v>5</v>
      </c>
      <c r="C183" s="1">
        <v>9</v>
      </c>
      <c r="D183" s="1">
        <v>6</v>
      </c>
      <c r="E183" s="1">
        <v>2</v>
      </c>
      <c r="F183" s="1">
        <f>SUMIF(Scores!$E$2:$E$820, 'Next Gen'!$A183, INDEX(Scores!$H$2:$P$820, 0, MATCH($B183, Scores!$H$1:$P$1, 0)))</f>
        <v>4</v>
      </c>
      <c r="G183" s="1" t="str">
        <f>INDEX(Scores!$B$2:$B$820, MATCH('Next Gen'!$A183, Scores!$E$2:$E$820, 0))</f>
        <v>low</v>
      </c>
      <c r="H183" s="4">
        <f>INDEX(Scores!$D$2:$D$820, MATCH('Next Gen'!$A183, Scores!$E$2:$E$820, 0))</f>
        <v>45841</v>
      </c>
    </row>
    <row r="184" spans="1:8">
      <c r="A184" s="1">
        <v>148</v>
      </c>
      <c r="B184" s="1" t="s">
        <v>6</v>
      </c>
      <c r="C184" s="1">
        <v>9</v>
      </c>
      <c r="D184" s="1">
        <v>5</v>
      </c>
      <c r="E184" s="1">
        <v>3</v>
      </c>
      <c r="F184" s="1">
        <f>SUMIF(Scores!$E$2:$E$820, 'Next Gen'!$A184, INDEX(Scores!$H$2:$P$820, 0, MATCH($B184, Scores!$H$1:$P$1, 0)))</f>
        <v>5</v>
      </c>
      <c r="G184" s="1" t="str">
        <f>INDEX(Scores!$B$2:$B$820, MATCH('Next Gen'!$A186, Scores!$E$2:$E$820, 0))</f>
        <v>mid</v>
      </c>
      <c r="H184" s="4">
        <f>INDEX(Scores!$D$2:$D$820, MATCH('Next Gen'!$A186, Scores!$E$2:$E$820, 0))</f>
        <v>45845</v>
      </c>
    </row>
    <row r="185" spans="1:8">
      <c r="A185" s="1">
        <v>148</v>
      </c>
      <c r="B185" s="1" t="s">
        <v>78</v>
      </c>
      <c r="C185" s="1">
        <v>9</v>
      </c>
      <c r="D185" s="1">
        <v>5</v>
      </c>
      <c r="E185" s="1">
        <v>2</v>
      </c>
      <c r="F185" s="1">
        <f>SUMIF(Scores!$E$2:$E$820, 'Next Gen'!$A185, INDEX(Scores!$H$2:$P$820, 0, MATCH($B185, Scores!$H$1:$P$1, 0)))</f>
        <v>4</v>
      </c>
      <c r="G185" s="1" t="str">
        <f>INDEX(Scores!$B$2:$B$820, MATCH('Next Gen'!$A184, Scores!$E$2:$E$820, 0))</f>
        <v>mid</v>
      </c>
      <c r="H185" s="4">
        <f>INDEX(Scores!$D$2:$D$820, MATCH('Next Gen'!$A184, Scores!$E$2:$E$820, 0))</f>
        <v>45845</v>
      </c>
    </row>
    <row r="186" spans="1:8">
      <c r="A186" s="1">
        <v>148</v>
      </c>
      <c r="B186" s="1" t="s">
        <v>4</v>
      </c>
      <c r="C186" s="1">
        <v>9</v>
      </c>
      <c r="D186" s="1">
        <v>8</v>
      </c>
      <c r="E186" s="1">
        <v>1</v>
      </c>
      <c r="F186" s="1">
        <f>SUMIF(Scores!$E$2:$E$820, 'Next Gen'!$A186, INDEX(Scores!$H$2:$P$820, 0, MATCH($B186, Scores!$H$1:$P$1, 0)))</f>
        <v>1</v>
      </c>
      <c r="G186" s="1" t="str">
        <f>INDEX(Scores!$B$2:$B$820, MATCH('Next Gen'!$A185, Scores!$E$2:$E$820, 0))</f>
        <v>mid</v>
      </c>
      <c r="H186" s="4">
        <f>INDEX(Scores!$D$2:$D$820, MATCH('Next Gen'!$A185, Scores!$E$2:$E$820, 0))</f>
        <v>45845</v>
      </c>
    </row>
    <row r="187" spans="1:8">
      <c r="A187" s="1">
        <v>149</v>
      </c>
      <c r="B187" s="1" t="s">
        <v>4</v>
      </c>
      <c r="C187" s="1">
        <v>9</v>
      </c>
      <c r="D187" s="1">
        <v>8</v>
      </c>
      <c r="E187" s="1">
        <v>5</v>
      </c>
      <c r="F187" s="1">
        <f>SUMIF(Scores!$E$2:$E$820, 'Next Gen'!$A187, INDEX(Scores!$H$2:$P$820, 0, MATCH($B187, Scores!$H$1:$P$1, 0)))</f>
        <v>9</v>
      </c>
      <c r="G187" s="1" t="str">
        <f>INDEX(Scores!$B$2:$B$820, MATCH('Next Gen'!$A188, Scores!$E$2:$E$820, 0))</f>
        <v>mid</v>
      </c>
      <c r="H187" s="4">
        <f>INDEX(Scores!$D$2:$D$820, MATCH('Next Gen'!$A188, Scores!$E$2:$E$820, 0))</f>
        <v>45845</v>
      </c>
    </row>
    <row r="188" spans="1:8">
      <c r="A188" s="1">
        <v>149</v>
      </c>
      <c r="B188" s="1" t="s">
        <v>78</v>
      </c>
      <c r="C188" s="1">
        <v>9</v>
      </c>
      <c r="D188" s="1">
        <v>3</v>
      </c>
      <c r="E188" s="1">
        <v>2</v>
      </c>
      <c r="F188" s="1">
        <f>SUMIF(Scores!$E$2:$E$820, 'Next Gen'!$A188, INDEX(Scores!$H$2:$P$820, 0, MATCH($B188, Scores!$H$1:$P$1, 0)))</f>
        <v>6</v>
      </c>
      <c r="G188" s="1" t="str">
        <f>INDEX(Scores!$B$2:$B$820, MATCH('Next Gen'!$A187, Scores!$E$2:$E$820, 0))</f>
        <v>mid</v>
      </c>
      <c r="H188" s="4">
        <f>INDEX(Scores!$D$2:$D$820, MATCH('Next Gen'!$A187, Scores!$E$2:$E$820, 0))</f>
        <v>45845</v>
      </c>
    </row>
    <row r="189" spans="1:8">
      <c r="A189" s="1">
        <v>149</v>
      </c>
      <c r="B189" s="1" t="s">
        <v>6</v>
      </c>
      <c r="C189" s="1">
        <v>9</v>
      </c>
      <c r="D189" s="1">
        <v>4</v>
      </c>
      <c r="E189" s="1">
        <v>1</v>
      </c>
      <c r="F189" s="1">
        <f>SUMIF(Scores!$E$2:$E$820, 'Next Gen'!$A189, INDEX(Scores!$H$2:$P$820, 0, MATCH($B189, Scores!$H$1:$P$1, 0)))</f>
        <v>5</v>
      </c>
      <c r="G189" s="1" t="str">
        <f>INDEX(Scores!$B$2:$B$820, MATCH('Next Gen'!$A189, Scores!$E$2:$E$820, 0))</f>
        <v>mid</v>
      </c>
      <c r="H189" s="4">
        <f>INDEX(Scores!$D$2:$D$820, MATCH('Next Gen'!$A189, Scores!$E$2:$E$820, 0))</f>
        <v>45845</v>
      </c>
    </row>
    <row r="190" spans="1:8">
      <c r="A190" s="1">
        <v>150</v>
      </c>
      <c r="B190" s="1" t="s">
        <v>4</v>
      </c>
      <c r="C190" s="1">
        <v>9</v>
      </c>
      <c r="D190" s="1">
        <v>9</v>
      </c>
      <c r="E190" s="1">
        <v>5</v>
      </c>
      <c r="F190" s="1">
        <f>SUMIF(Scores!$E$2:$E$820, 'Next Gen'!$A190, INDEX(Scores!$H$2:$P$820, 0, MATCH($B190, Scores!$H$1:$P$1, 0)))</f>
        <v>9</v>
      </c>
      <c r="G190" s="1" t="str">
        <f>INDEX(Scores!$B$2:$B$820, MATCH('Next Gen'!$A191, Scores!$E$2:$E$820, 0))</f>
        <v>mid</v>
      </c>
      <c r="H190" s="4">
        <f>INDEX(Scores!$D$2:$D$820, MATCH('Next Gen'!$A191, Scores!$E$2:$E$820, 0))</f>
        <v>45845</v>
      </c>
    </row>
    <row r="191" spans="1:8">
      <c r="A191" s="1">
        <v>150</v>
      </c>
      <c r="B191" s="1" t="s">
        <v>78</v>
      </c>
      <c r="C191" s="1">
        <v>9</v>
      </c>
      <c r="D191" s="1">
        <v>6</v>
      </c>
      <c r="E191" s="1">
        <v>4</v>
      </c>
      <c r="F191" s="1">
        <f>SUMIF(Scores!$E$2:$E$820, 'Next Gen'!$A191, INDEX(Scores!$H$2:$P$820, 0, MATCH($B191, Scores!$H$1:$P$1, 0)))</f>
        <v>11</v>
      </c>
      <c r="G191" s="1" t="str">
        <f>INDEX(Scores!$B$2:$B$820, MATCH('Next Gen'!$A190, Scores!$E$2:$E$820, 0))</f>
        <v>mid</v>
      </c>
      <c r="H191" s="4">
        <f>INDEX(Scores!$D$2:$D$820, MATCH('Next Gen'!$A190, Scores!$E$2:$E$820, 0))</f>
        <v>45845</v>
      </c>
    </row>
    <row r="192" spans="1:8">
      <c r="A192" s="1">
        <v>151</v>
      </c>
      <c r="B192" s="1" t="s">
        <v>4</v>
      </c>
      <c r="C192" s="1">
        <v>9</v>
      </c>
      <c r="D192" s="1">
        <v>9</v>
      </c>
      <c r="E192" s="1">
        <v>5</v>
      </c>
      <c r="F192" s="1">
        <f>SUMIF(Scores!$E$2:$E$820, 'Next Gen'!$A192, INDEX(Scores!$H$2:$P$820, 0, MATCH($B192, Scores!$H$1:$P$1, 0)))</f>
        <v>17</v>
      </c>
      <c r="G192" s="1" t="str">
        <f>INDEX(Scores!$B$2:$B$820, MATCH('Next Gen'!$A193, Scores!$E$2:$E$820, 0))</f>
        <v>mid</v>
      </c>
      <c r="H192" s="4">
        <f>INDEX(Scores!$D$2:$D$820, MATCH('Next Gen'!$A193, Scores!$E$2:$E$820, 0))</f>
        <v>45846</v>
      </c>
    </row>
    <row r="193" spans="1:8">
      <c r="A193" s="1">
        <v>151</v>
      </c>
      <c r="B193" s="1" t="s">
        <v>78</v>
      </c>
      <c r="C193" s="1">
        <v>9</v>
      </c>
      <c r="D193" s="1">
        <v>4</v>
      </c>
      <c r="E193" s="1">
        <v>2</v>
      </c>
      <c r="F193" s="1">
        <f>SUMIF(Scores!$E$2:$E$820, 'Next Gen'!$A193, INDEX(Scores!$H$2:$P$820, 0, MATCH($B193, Scores!$H$1:$P$1, 0)))</f>
        <v>6</v>
      </c>
      <c r="G193" s="1" t="str">
        <f>INDEX(Scores!$B$2:$B$820, MATCH('Next Gen'!$A192, Scores!$E$2:$E$820, 0))</f>
        <v>mid</v>
      </c>
      <c r="H193" s="4">
        <f>INDEX(Scores!$D$2:$D$820, MATCH('Next Gen'!$A192, Scores!$E$2:$E$820, 0))</f>
        <v>45846</v>
      </c>
    </row>
    <row r="194" spans="1:8">
      <c r="A194" s="1">
        <v>152</v>
      </c>
      <c r="B194" s="1" t="s">
        <v>4</v>
      </c>
      <c r="C194" s="1">
        <v>12</v>
      </c>
      <c r="D194" s="1">
        <v>12</v>
      </c>
      <c r="E194" s="1">
        <v>5</v>
      </c>
      <c r="F194" s="1">
        <f>SUMIF(Scores!$E$2:$E$820, 'Next Gen'!$A194, INDEX(Scores!$H$2:$P$820, 0, MATCH($B194, Scores!$H$1:$P$1, 0)))</f>
        <v>11</v>
      </c>
      <c r="G194" s="1" t="str">
        <f>INDEX(Scores!$B$2:$B$820, MATCH('Next Gen'!$A195, Scores!$E$2:$E$820, 0))</f>
        <v>high</v>
      </c>
      <c r="H194" s="4">
        <f>INDEX(Scores!$D$2:$D$820, MATCH('Next Gen'!$A195, Scores!$E$2:$E$820, 0))</f>
        <v>45846</v>
      </c>
    </row>
    <row r="195" spans="1:8">
      <c r="A195" s="1">
        <v>152</v>
      </c>
      <c r="B195" s="1" t="s">
        <v>78</v>
      </c>
      <c r="C195" s="1">
        <v>12</v>
      </c>
      <c r="D195" s="1">
        <v>6</v>
      </c>
      <c r="E195" s="1">
        <v>4</v>
      </c>
      <c r="F195" s="1">
        <f>SUMIF(Scores!$E$2:$E$820, 'Next Gen'!$A195, INDEX(Scores!$H$2:$P$820, 0, MATCH($B195, Scores!$H$1:$P$1, 0)))</f>
        <v>5</v>
      </c>
      <c r="G195" s="1" t="str">
        <f>INDEX(Scores!$B$2:$B$820, MATCH('Next Gen'!$A194, Scores!$E$2:$E$820, 0))</f>
        <v>high</v>
      </c>
      <c r="H195" s="4">
        <f>INDEX(Scores!$D$2:$D$820, MATCH('Next Gen'!$A194, Scores!$E$2:$E$820, 0))</f>
        <v>45846</v>
      </c>
    </row>
    <row r="196" spans="1:8">
      <c r="A196" s="1">
        <v>153</v>
      </c>
      <c r="B196" s="1" t="s">
        <v>78</v>
      </c>
      <c r="C196" s="1">
        <v>9</v>
      </c>
      <c r="D196" s="1">
        <v>7</v>
      </c>
      <c r="E196" s="1">
        <v>4</v>
      </c>
      <c r="F196" s="1">
        <f>SUMIF(Scores!$E$2:$E$820, 'Next Gen'!$A196, INDEX(Scores!$H$2:$P$820, 0, MATCH($B196, Scores!$H$1:$P$1, 0)))</f>
        <v>10</v>
      </c>
      <c r="G196" s="1" t="str">
        <f>INDEX(Scores!$B$2:$B$820, MATCH('Next Gen'!$A196, Scores!$E$2:$E$820, 0))</f>
        <v>mid</v>
      </c>
      <c r="H196" s="4">
        <f>INDEX(Scores!$D$2:$D$820, MATCH('Next Gen'!$A196, Scores!$E$2:$E$820, 0))</f>
        <v>45847</v>
      </c>
    </row>
    <row r="197" spans="1:8">
      <c r="A197" s="1">
        <v>153</v>
      </c>
      <c r="B197" s="1" t="s">
        <v>4</v>
      </c>
      <c r="C197" s="1">
        <v>9</v>
      </c>
      <c r="D197" s="1">
        <v>9</v>
      </c>
      <c r="E197" s="1">
        <v>2</v>
      </c>
      <c r="F197" s="1">
        <f>SUMIF(Scores!$E$2:$E$820, 'Next Gen'!$A197, INDEX(Scores!$H$2:$P$820, 0, MATCH($B197, Scores!$H$1:$P$1, 0)))</f>
        <v>4</v>
      </c>
      <c r="G197" s="1" t="str">
        <f>INDEX(Scores!$B$2:$B$820, MATCH('Next Gen'!$A197, Scores!$E$2:$E$820, 0))</f>
        <v>mid</v>
      </c>
      <c r="H197" s="4">
        <f>INDEX(Scores!$D$2:$D$820, MATCH('Next Gen'!$A197, Scores!$E$2:$E$820, 0))</f>
        <v>45847</v>
      </c>
    </row>
    <row r="198" spans="1:8">
      <c r="A198" s="1">
        <v>154</v>
      </c>
      <c r="B198" s="1" t="s">
        <v>78</v>
      </c>
      <c r="C198" s="1">
        <v>9</v>
      </c>
      <c r="D198" s="1">
        <v>7</v>
      </c>
      <c r="E198" s="1">
        <v>3</v>
      </c>
      <c r="F198" s="1">
        <f>SUMIF(Scores!$E$2:$E$820, 'Next Gen'!$A198, INDEX(Scores!$H$2:$P$820, 0, MATCH($B198, Scores!$H$1:$P$1, 0)))</f>
        <v>2</v>
      </c>
      <c r="G198" s="1" t="str">
        <f>INDEX(Scores!$B$2:$B$820, MATCH('Next Gen'!$A198, Scores!$E$2:$E$820, 0))</f>
        <v>high</v>
      </c>
      <c r="H198" s="4">
        <f>INDEX(Scores!$D$2:$D$820, MATCH('Next Gen'!$A198, Scores!$E$2:$E$820, 0))</f>
        <v>45847</v>
      </c>
    </row>
    <row r="199" spans="1:8">
      <c r="A199" s="1">
        <v>154</v>
      </c>
      <c r="B199" s="1" t="s">
        <v>4</v>
      </c>
      <c r="C199" s="1">
        <v>9</v>
      </c>
      <c r="D199" s="1">
        <v>5</v>
      </c>
      <c r="E199" s="1">
        <v>2</v>
      </c>
      <c r="F199" s="1">
        <f>SUMIF(Scores!$E$2:$E$820, 'Next Gen'!$A199, INDEX(Scores!$H$2:$P$820, 0, MATCH($B199, Scores!$H$1:$P$1, 0)))</f>
        <v>5</v>
      </c>
      <c r="G199" s="1" t="str">
        <f>INDEX(Scores!$B$2:$B$820, MATCH('Next Gen'!$A199, Scores!$E$2:$E$820, 0))</f>
        <v>high</v>
      </c>
      <c r="H199" s="4">
        <f>INDEX(Scores!$D$2:$D$820, MATCH('Next Gen'!$A199, Scores!$E$2:$E$820, 0))</f>
        <v>45847</v>
      </c>
    </row>
    <row r="200" spans="1:8">
      <c r="A200" s="1">
        <v>155</v>
      </c>
      <c r="B200" s="1" t="s">
        <v>4</v>
      </c>
      <c r="C200" s="1">
        <v>9</v>
      </c>
      <c r="D200" s="1">
        <v>8</v>
      </c>
      <c r="E200" s="1">
        <v>4</v>
      </c>
      <c r="F200" s="1">
        <f>SUMIF(Scores!$E$2:$E$820, 'Next Gen'!$A200, INDEX(Scores!$H$2:$P$820, 0, MATCH($B200, Scores!$H$1:$P$1, 0)))</f>
        <v>9</v>
      </c>
      <c r="G200" s="1" t="str">
        <f>INDEX(Scores!$B$2:$B$820, MATCH('Next Gen'!$A201, Scores!$E$2:$E$820, 0))</f>
        <v>mid</v>
      </c>
      <c r="H200" s="4">
        <f>INDEX(Scores!$D$2:$D$820, MATCH('Next Gen'!$A201, Scores!$E$2:$E$820, 0))</f>
        <v>45847</v>
      </c>
    </row>
    <row r="201" spans="1:8">
      <c r="A201" s="1">
        <v>155</v>
      </c>
      <c r="B201" s="1" t="s">
        <v>78</v>
      </c>
      <c r="C201" s="1">
        <v>9</v>
      </c>
      <c r="D201" s="1">
        <v>4</v>
      </c>
      <c r="E201" s="1">
        <v>1</v>
      </c>
      <c r="F201" s="1">
        <f>SUMIF(Scores!$E$2:$E$820, 'Next Gen'!$A201, INDEX(Scores!$H$2:$P$820, 0, MATCH($B201, Scores!$H$1:$P$1, 0)))</f>
        <v>1</v>
      </c>
      <c r="G201" s="1" t="str">
        <f>INDEX(Scores!$B$2:$B$820, MATCH('Next Gen'!$A200, Scores!$E$2:$E$820, 0))</f>
        <v>mid</v>
      </c>
      <c r="H201" s="4">
        <f>INDEX(Scores!$D$2:$D$820, MATCH('Next Gen'!$A200, Scores!$E$2:$E$820, 0))</f>
        <v>45847</v>
      </c>
    </row>
    <row r="202" spans="1:8">
      <c r="A202" s="1">
        <v>156</v>
      </c>
      <c r="B202" s="1" t="s">
        <v>4</v>
      </c>
      <c r="C202" s="1">
        <v>9</v>
      </c>
      <c r="D202" s="1">
        <v>9</v>
      </c>
      <c r="E202" s="1">
        <v>5</v>
      </c>
      <c r="F202" s="1">
        <f>SUMIF(Scores!$E$2:$E$820, 'Next Gen'!$A202, INDEX(Scores!$H$2:$P$820, 0, MATCH($B202, Scores!$H$1:$P$1, 0)))</f>
        <v>13</v>
      </c>
      <c r="G202" s="1" t="str">
        <f>INDEX(Scores!$B$2:$B$820, MATCH('Next Gen'!$A203, Scores!$E$2:$E$820, 0))</f>
        <v>mid</v>
      </c>
      <c r="H202" s="4">
        <f>INDEX(Scores!$D$2:$D$820, MATCH('Next Gen'!$A203, Scores!$E$2:$E$820, 0))</f>
        <v>45848</v>
      </c>
    </row>
    <row r="203" spans="1:8">
      <c r="A203" s="1">
        <v>156</v>
      </c>
      <c r="B203" s="1" t="s">
        <v>78</v>
      </c>
      <c r="C203" s="1">
        <v>9</v>
      </c>
      <c r="D203" s="1">
        <v>3</v>
      </c>
      <c r="E203" s="1">
        <v>1</v>
      </c>
      <c r="F203" s="1">
        <f>SUMIF(Scores!$E$2:$E$820, 'Next Gen'!$A203, INDEX(Scores!$H$2:$P$820, 0, MATCH($B203, Scores!$H$1:$P$1, 0)))</f>
        <v>1</v>
      </c>
      <c r="G203" s="1" t="str">
        <f>INDEX(Scores!$B$2:$B$820, MATCH('Next Gen'!$A202, Scores!$E$2:$E$820, 0))</f>
        <v>mid</v>
      </c>
      <c r="H203" s="4">
        <f>INDEX(Scores!$D$2:$D$820, MATCH('Next Gen'!$A202, Scores!$E$2:$E$820, 0))</f>
        <v>45848</v>
      </c>
    </row>
    <row r="204" spans="1:8">
      <c r="A204" s="1">
        <v>157</v>
      </c>
      <c r="B204" s="1" t="s">
        <v>4</v>
      </c>
      <c r="C204" s="1">
        <v>15</v>
      </c>
      <c r="D204" s="1">
        <v>12</v>
      </c>
      <c r="E204" s="1">
        <v>4</v>
      </c>
      <c r="F204" s="1">
        <f>SUMIF(Scores!$E$2:$E$820, 'Next Gen'!$A204, INDEX(Scores!$H$2:$P$820, 0, MATCH($B204, Scores!$H$1:$P$1, 0)))</f>
        <v>4</v>
      </c>
      <c r="G204" s="1" t="str">
        <f>INDEX(Scores!$B$2:$B$820, MATCH('Next Gen'!$A205, Scores!$E$2:$E$820, 0))</f>
        <v>low</v>
      </c>
      <c r="H204" s="4">
        <f>INDEX(Scores!$D$2:$D$820, MATCH('Next Gen'!$A205, Scores!$E$2:$E$820, 0))</f>
        <v>45848</v>
      </c>
    </row>
    <row r="205" spans="1:8">
      <c r="A205" s="1">
        <v>157</v>
      </c>
      <c r="B205" s="1" t="s">
        <v>78</v>
      </c>
      <c r="C205" s="1">
        <v>15</v>
      </c>
      <c r="D205" s="1">
        <v>4</v>
      </c>
      <c r="E205" s="1">
        <v>2</v>
      </c>
      <c r="F205" s="1">
        <f>SUMIF(Scores!$E$2:$E$820, 'Next Gen'!$A205, INDEX(Scores!$H$2:$P$820, 0, MATCH($B205, Scores!$H$1:$P$1, 0)))</f>
        <v>3</v>
      </c>
      <c r="G205" s="1" t="str">
        <f>INDEX(Scores!$B$2:$B$820, MATCH('Next Gen'!$A204, Scores!$E$2:$E$820, 0))</f>
        <v>low</v>
      </c>
      <c r="H205" s="4">
        <f>INDEX(Scores!$D$2:$D$820, MATCH('Next Gen'!$A204, Scores!$E$2:$E$820, 0))</f>
        <v>45848</v>
      </c>
    </row>
    <row r="206" spans="1:8">
      <c r="A206" s="1">
        <v>158</v>
      </c>
      <c r="B206" s="1" t="s">
        <v>4</v>
      </c>
      <c r="C206" s="1">
        <v>9</v>
      </c>
      <c r="D206" s="1">
        <v>9</v>
      </c>
      <c r="E206" s="1">
        <v>4</v>
      </c>
      <c r="F206" s="1">
        <f>SUMIF(Scores!$E$2:$E$820, 'Next Gen'!$A206, INDEX(Scores!$H$2:$P$820, 0, MATCH($B206, Scores!$H$1:$P$1, 0)))</f>
        <v>6</v>
      </c>
      <c r="G206" s="1" t="str">
        <f>INDEX(Scores!$B$2:$B$820, MATCH('Next Gen'!$A207, Scores!$E$2:$E$820, 0))</f>
        <v>high</v>
      </c>
      <c r="H206" s="4">
        <f>INDEX(Scores!$D$2:$D$820, MATCH('Next Gen'!$A207, Scores!$E$2:$E$820, 0))</f>
        <v>45848</v>
      </c>
    </row>
    <row r="207" spans="1:8">
      <c r="A207" s="1">
        <v>158</v>
      </c>
      <c r="B207" s="1" t="s">
        <v>78</v>
      </c>
      <c r="C207" s="1">
        <v>9</v>
      </c>
      <c r="D207" s="1">
        <v>4</v>
      </c>
      <c r="E207" s="1">
        <v>0</v>
      </c>
      <c r="F207" s="1">
        <f>SUMIF(Scores!$E$2:$E$820, 'Next Gen'!$A207, INDEX(Scores!$H$2:$P$820, 0, MATCH($B207, Scores!$H$1:$P$1, 0)))</f>
        <v>0</v>
      </c>
      <c r="G207" s="1" t="str">
        <f>INDEX(Scores!$B$2:$B$820, MATCH('Next Gen'!$A206, Scores!$E$2:$E$820, 0))</f>
        <v>high</v>
      </c>
      <c r="H207" s="4">
        <f>INDEX(Scores!$D$2:$D$820, MATCH('Next Gen'!$A206, Scores!$E$2:$E$820, 0))</f>
        <v>45848</v>
      </c>
    </row>
    <row r="208" spans="1:8">
      <c r="A208" s="1">
        <v>159</v>
      </c>
      <c r="B208" s="1" t="s">
        <v>4</v>
      </c>
      <c r="C208" s="1">
        <v>9</v>
      </c>
      <c r="D208" s="1">
        <v>9</v>
      </c>
      <c r="E208" s="1">
        <v>5</v>
      </c>
      <c r="F208" s="1">
        <f>SUMIF(Scores!$E$2:$E$820, 'Next Gen'!$A208, INDEX(Scores!$H$2:$P$820, 0, MATCH($B208, Scores!$H$1:$P$1, 0)))</f>
        <v>12</v>
      </c>
      <c r="G208" s="1" t="str">
        <f>INDEX(Scores!$B$2:$B$820, MATCH('Next Gen'!$A209, Scores!$E$2:$E$820, 0))</f>
        <v>mid</v>
      </c>
      <c r="H208" s="4">
        <f>INDEX(Scores!$D$2:$D$820, MATCH('Next Gen'!$A209, Scores!$E$2:$E$820, 0))</f>
        <v>45849</v>
      </c>
    </row>
    <row r="209" spans="1:8">
      <c r="A209" s="1">
        <v>159</v>
      </c>
      <c r="B209" s="1" t="s">
        <v>78</v>
      </c>
      <c r="C209" s="1">
        <v>9</v>
      </c>
      <c r="D209" s="1">
        <v>6</v>
      </c>
      <c r="E209" s="1">
        <v>3</v>
      </c>
      <c r="F209" s="1">
        <f>SUMIF(Scores!$E$2:$E$820, 'Next Gen'!$A209, INDEX(Scores!$H$2:$P$820, 0, MATCH($B209, Scores!$H$1:$P$1, 0)))</f>
        <v>6</v>
      </c>
      <c r="G209" s="1" t="str">
        <f>INDEX(Scores!$B$2:$B$820, MATCH('Next Gen'!$A208, Scores!$E$2:$E$820, 0))</f>
        <v>mid</v>
      </c>
      <c r="H209" s="4">
        <f>INDEX(Scores!$D$2:$D$820, MATCH('Next Gen'!$A208, Scores!$E$2:$E$820, 0))</f>
        <v>45849</v>
      </c>
    </row>
    <row r="210" spans="1:8">
      <c r="A210" s="1">
        <v>160</v>
      </c>
      <c r="B210" s="1" t="s">
        <v>78</v>
      </c>
      <c r="C210" s="1">
        <v>9</v>
      </c>
      <c r="D210" s="1">
        <v>2</v>
      </c>
      <c r="E210" s="1">
        <v>1</v>
      </c>
      <c r="F210" s="1">
        <f>SUMIF(Scores!$E$2:$E$820, 'Next Gen'!$A210, INDEX(Scores!$H$2:$P$820, 0, MATCH($B210, Scores!$H$1:$P$1, 0)))</f>
        <v>1</v>
      </c>
      <c r="G210" s="1" t="str">
        <f>INDEX(Scores!$B$2:$B$820, MATCH('Next Gen'!$A210, Scores!$E$2:$E$820, 0))</f>
        <v>mid</v>
      </c>
      <c r="H210" s="4">
        <f>INDEX(Scores!$D$2:$D$820, MATCH('Next Gen'!$A210, Scores!$E$2:$E$820, 0))</f>
        <v>45849</v>
      </c>
    </row>
    <row r="211" spans="1:8">
      <c r="A211" s="1">
        <v>160</v>
      </c>
      <c r="B211" s="1" t="s">
        <v>4</v>
      </c>
      <c r="C211" s="1">
        <v>9</v>
      </c>
      <c r="D211" s="1">
        <v>8</v>
      </c>
      <c r="E211" s="1">
        <v>1</v>
      </c>
      <c r="F211" s="1">
        <f>SUMIF(Scores!$E$2:$E$820, 'Next Gen'!$A211, INDEX(Scores!$H$2:$P$820, 0, MATCH($B211, Scores!$H$1:$P$1, 0)))</f>
        <v>3</v>
      </c>
      <c r="G211" s="1" t="str">
        <f>INDEX(Scores!$B$2:$B$820, MATCH('Next Gen'!$A211, Scores!$E$2:$E$820, 0))</f>
        <v>mid</v>
      </c>
      <c r="H211" s="4">
        <f>INDEX(Scores!$D$2:$D$820, MATCH('Next Gen'!$A211, Scores!$E$2:$E$820, 0))</f>
        <v>45849</v>
      </c>
    </row>
    <row r="212" spans="1:8">
      <c r="A212" s="1">
        <v>161</v>
      </c>
      <c r="B212" s="1" t="s">
        <v>4</v>
      </c>
      <c r="C212" s="1">
        <v>9</v>
      </c>
      <c r="D212" s="1">
        <v>9</v>
      </c>
      <c r="E212" s="1">
        <v>6</v>
      </c>
      <c r="F212" s="1">
        <f>SUMIF(Scores!$E$2:$E$820, 'Next Gen'!$A212, INDEX(Scores!$H$2:$P$820, 0, MATCH($B212, Scores!$H$1:$P$1, 0)))</f>
        <v>15</v>
      </c>
      <c r="G212" s="1" t="str">
        <f>INDEX(Scores!$B$2:$B$820, MATCH('Next Gen'!$A213, Scores!$E$2:$E$820, 0))</f>
        <v>mid</v>
      </c>
      <c r="H212" s="4">
        <f>INDEX(Scores!$D$2:$D$820, MATCH('Next Gen'!$A213, Scores!$E$2:$E$820, 0))</f>
        <v>45849</v>
      </c>
    </row>
    <row r="213" spans="1:8">
      <c r="A213" s="1">
        <v>161</v>
      </c>
      <c r="B213" s="1" t="s">
        <v>78</v>
      </c>
      <c r="C213" s="1">
        <v>9</v>
      </c>
      <c r="D213" s="1">
        <v>4</v>
      </c>
      <c r="E213" s="1">
        <v>1</v>
      </c>
      <c r="F213" s="1">
        <f>SUMIF(Scores!$E$2:$E$820, 'Next Gen'!$A213, INDEX(Scores!$H$2:$P$820, 0, MATCH($B213, Scores!$H$1:$P$1, 0)))</f>
        <v>1</v>
      </c>
      <c r="G213" s="1" t="str">
        <f>INDEX(Scores!$B$2:$B$820, MATCH('Next Gen'!$A212, Scores!$E$2:$E$820, 0))</f>
        <v>mid</v>
      </c>
      <c r="H213" s="4">
        <f>INDEX(Scores!$D$2:$D$820, MATCH('Next Gen'!$A212, Scores!$E$2:$E$820, 0))</f>
        <v>45849</v>
      </c>
    </row>
    <row r="214" spans="1:8">
      <c r="A214" s="1">
        <v>162</v>
      </c>
      <c r="B214" s="1" t="s">
        <v>78</v>
      </c>
      <c r="C214" s="1">
        <v>9</v>
      </c>
      <c r="D214" s="1">
        <v>6</v>
      </c>
      <c r="E214" s="1">
        <v>5</v>
      </c>
      <c r="F214" s="1">
        <f>SUMIF(Scores!$E$2:$E$820, 'Next Gen'!$A214, INDEX(Scores!$H$2:$P$820, 0, MATCH($B214, Scores!$H$1:$P$1, 0)))</f>
        <v>6</v>
      </c>
      <c r="G214" s="1" t="str">
        <f>INDEX(Scores!$B$2:$B$820, MATCH('Next Gen'!$A214, Scores!$E$2:$E$820, 0))</f>
        <v>mid</v>
      </c>
      <c r="H214" s="4">
        <f>INDEX(Scores!$D$2:$D$820, MATCH('Next Gen'!$A214, Scores!$E$2:$E$820, 0))</f>
        <v>45852</v>
      </c>
    </row>
    <row r="215" spans="1:8">
      <c r="A215" s="1">
        <v>162</v>
      </c>
      <c r="B215" s="1" t="s">
        <v>4</v>
      </c>
      <c r="C215" s="1">
        <v>9</v>
      </c>
      <c r="D215" s="1">
        <v>9</v>
      </c>
      <c r="E215" s="1">
        <v>4</v>
      </c>
      <c r="F215" s="1">
        <f>SUMIF(Scores!$E$2:$E$820, 'Next Gen'!$A215, INDEX(Scores!$H$2:$P$820, 0, MATCH($B215, Scores!$H$1:$P$1, 0)))</f>
        <v>9</v>
      </c>
      <c r="G215" s="1" t="str">
        <f>INDEX(Scores!$B$2:$B$820, MATCH('Next Gen'!$A215, Scores!$E$2:$E$820, 0))</f>
        <v>mid</v>
      </c>
      <c r="H215" s="4">
        <f>INDEX(Scores!$D$2:$D$820, MATCH('Next Gen'!$A215, Scores!$E$2:$E$820, 0))</f>
        <v>45852</v>
      </c>
    </row>
    <row r="216" spans="1:8">
      <c r="A216" s="1">
        <v>163</v>
      </c>
      <c r="B216" s="1" t="s">
        <v>78</v>
      </c>
      <c r="C216" s="1">
        <v>9</v>
      </c>
      <c r="D216" s="1">
        <v>7</v>
      </c>
      <c r="E216" s="1">
        <v>4</v>
      </c>
      <c r="F216" s="1">
        <f>SUMIF(Scores!$E$2:$E$820, 'Next Gen'!$A216, INDEX(Scores!$H$2:$P$820, 0, MATCH($B216, Scores!$H$1:$P$1, 0)))</f>
        <v>7</v>
      </c>
      <c r="G216" s="1" t="str">
        <f>INDEX(Scores!$B$2:$B$820, MATCH('Next Gen'!$A216, Scores!$E$2:$E$820, 0))</f>
        <v>mid</v>
      </c>
      <c r="H216" s="4">
        <f>INDEX(Scores!$D$2:$D$820, MATCH('Next Gen'!$A216, Scores!$E$2:$E$820, 0))</f>
        <v>45852</v>
      </c>
    </row>
    <row r="217" spans="1:8">
      <c r="A217" s="1">
        <v>163</v>
      </c>
      <c r="B217" s="1" t="s">
        <v>4</v>
      </c>
      <c r="C217" s="1">
        <v>9</v>
      </c>
      <c r="D217" s="1">
        <v>9</v>
      </c>
      <c r="E217" s="1">
        <v>3</v>
      </c>
      <c r="F217" s="1">
        <f>SUMIF(Scores!$E$2:$E$820, 'Next Gen'!$A217, INDEX(Scores!$H$2:$P$820, 0, MATCH($B217, Scores!$H$1:$P$1, 0)))</f>
        <v>6</v>
      </c>
      <c r="G217" s="1" t="str">
        <f>INDEX(Scores!$B$2:$B$820, MATCH('Next Gen'!$A217, Scores!$E$2:$E$820, 0))</f>
        <v>mid</v>
      </c>
      <c r="H217" s="4">
        <f>INDEX(Scores!$D$2:$D$820, MATCH('Next Gen'!$A217, Scores!$E$2:$E$820, 0))</f>
        <v>45852</v>
      </c>
    </row>
    <row r="218" spans="1:8">
      <c r="A218" s="1">
        <v>164</v>
      </c>
      <c r="B218" s="1" t="s">
        <v>78</v>
      </c>
      <c r="C218" s="1">
        <v>9</v>
      </c>
      <c r="D218" s="1">
        <v>6</v>
      </c>
      <c r="E218" s="1">
        <v>3</v>
      </c>
      <c r="F218" s="1">
        <f>SUMIF(Scores!$E$2:$E$820, 'Next Gen'!$A218, INDEX(Scores!$H$2:$P$820, 0, MATCH($B218, Scores!$H$1:$P$1, 0)))</f>
        <v>4</v>
      </c>
      <c r="G218" s="1" t="str">
        <f>INDEX(Scores!$B$2:$B$820, MATCH('Next Gen'!$A218, Scores!$E$2:$E$820, 0))</f>
        <v>mid</v>
      </c>
      <c r="H218" s="4">
        <f>INDEX(Scores!$D$2:$D$820, MATCH('Next Gen'!$A218, Scores!$E$2:$E$820, 0))</f>
        <v>45852</v>
      </c>
    </row>
    <row r="219" spans="1:8">
      <c r="A219" s="1">
        <v>164</v>
      </c>
      <c r="B219" s="1" t="s">
        <v>4</v>
      </c>
      <c r="C219" s="1">
        <v>9</v>
      </c>
      <c r="D219" s="1">
        <v>8</v>
      </c>
      <c r="E219" s="1">
        <v>1</v>
      </c>
      <c r="F219" s="1">
        <f>SUMIF(Scores!$E$2:$E$820, 'Next Gen'!$A219, INDEX(Scores!$H$2:$P$820, 0, MATCH($B219, Scores!$H$1:$P$1, 0)))</f>
        <v>2</v>
      </c>
      <c r="G219" s="1" t="str">
        <f>INDEX(Scores!$B$2:$B$820, MATCH('Next Gen'!$A219, Scores!$E$2:$E$820, 0))</f>
        <v>mid</v>
      </c>
      <c r="H219" s="4">
        <f>INDEX(Scores!$D$2:$D$820, MATCH('Next Gen'!$A219, Scores!$E$2:$E$820, 0))</f>
        <v>45852</v>
      </c>
    </row>
    <row r="220" spans="1:8">
      <c r="A220" s="1">
        <v>165</v>
      </c>
      <c r="B220" s="1" t="s">
        <v>78</v>
      </c>
      <c r="C220" s="1">
        <v>9</v>
      </c>
      <c r="D220" s="1">
        <v>7</v>
      </c>
      <c r="E220" s="1">
        <v>5</v>
      </c>
      <c r="F220" s="1">
        <f>SUMIF(Scores!$E$2:$E$820, 'Next Gen'!$A220, INDEX(Scores!$H$2:$P$820, 0, MATCH($B220, Scores!$H$1:$P$1, 0)))</f>
        <v>9</v>
      </c>
      <c r="G220" s="1" t="str">
        <f>INDEX(Scores!$B$2:$B$820, MATCH('Next Gen'!$A222, Scores!$E$2:$E$820, 0))</f>
        <v>mid</v>
      </c>
      <c r="H220" s="4">
        <f>INDEX(Scores!$D$2:$D$820, MATCH('Next Gen'!$A222, Scores!$E$2:$E$820, 0))</f>
        <v>45853</v>
      </c>
    </row>
    <row r="221" spans="1:8">
      <c r="A221" s="1">
        <v>165</v>
      </c>
      <c r="B221" s="1" t="s">
        <v>4</v>
      </c>
      <c r="C221" s="1">
        <v>9</v>
      </c>
      <c r="D221" s="1">
        <v>9</v>
      </c>
      <c r="E221" s="1">
        <v>3</v>
      </c>
      <c r="F221" s="1">
        <f>SUMIF(Scores!$E$2:$E$820, 'Next Gen'!$A221, INDEX(Scores!$H$2:$P$820, 0, MATCH($B221, Scores!$H$1:$P$1, 0)))</f>
        <v>4</v>
      </c>
      <c r="G221" s="1" t="str">
        <f>INDEX(Scores!$B$2:$B$820, MATCH('Next Gen'!$A220, Scores!$E$2:$E$820, 0))</f>
        <v>mid</v>
      </c>
      <c r="H221" s="4">
        <f>INDEX(Scores!$D$2:$D$820, MATCH('Next Gen'!$A220, Scores!$E$2:$E$820, 0))</f>
        <v>45853</v>
      </c>
    </row>
    <row r="222" spans="1:8">
      <c r="A222" s="1">
        <v>165</v>
      </c>
      <c r="B222" s="1" t="s">
        <v>5</v>
      </c>
      <c r="C222" s="1">
        <v>9</v>
      </c>
      <c r="D222" s="1">
        <v>7</v>
      </c>
      <c r="E222" s="1">
        <v>0</v>
      </c>
      <c r="F222" s="1">
        <f>SUMIF(Scores!$E$2:$E$820, 'Next Gen'!$A222, INDEX(Scores!$H$2:$P$820, 0, MATCH($B222, Scores!$H$1:$P$1, 0)))</f>
        <v>0</v>
      </c>
      <c r="G222" s="1" t="str">
        <f>INDEX(Scores!$B$2:$B$820, MATCH('Next Gen'!$A221, Scores!$E$2:$E$820, 0))</f>
        <v>mid</v>
      </c>
      <c r="H222" s="4">
        <f>INDEX(Scores!$D$2:$D$820, MATCH('Next Gen'!$A221, Scores!$E$2:$E$820, 0))</f>
        <v>45853</v>
      </c>
    </row>
    <row r="223" spans="1:8">
      <c r="A223" s="1">
        <v>166</v>
      </c>
      <c r="B223" s="1" t="s">
        <v>4</v>
      </c>
      <c r="C223" s="1">
        <v>9</v>
      </c>
      <c r="D223" s="1">
        <v>9</v>
      </c>
      <c r="E223" s="1">
        <v>4</v>
      </c>
      <c r="F223" s="1">
        <f>SUMIF(Scores!$E$2:$E$820, 'Next Gen'!$A223, INDEX(Scores!$H$2:$P$820, 0, MATCH($B223, Scores!$H$1:$P$1, 0)))</f>
        <v>5</v>
      </c>
      <c r="G223" s="1" t="str">
        <f>INDEX(Scores!$B$2:$B$820, MATCH('Next Gen'!$A223, Scores!$E$2:$E$820, 0))</f>
        <v>high</v>
      </c>
      <c r="H223" s="4">
        <f>INDEX(Scores!$D$2:$D$820, MATCH('Next Gen'!$A223, Scores!$E$2:$E$820, 0))</f>
        <v>45853</v>
      </c>
    </row>
    <row r="224" spans="1:8">
      <c r="A224" s="1">
        <v>166</v>
      </c>
      <c r="B224" s="1" t="s">
        <v>78</v>
      </c>
      <c r="C224" s="1">
        <v>9</v>
      </c>
      <c r="D224" s="1">
        <v>7</v>
      </c>
      <c r="E224" s="1">
        <v>4</v>
      </c>
      <c r="F224" s="1">
        <f>SUMIF(Scores!$E$2:$E$820, 'Next Gen'!$A224, INDEX(Scores!$H$2:$P$820, 0, MATCH($B224, Scores!$H$1:$P$1, 0)))</f>
        <v>8</v>
      </c>
      <c r="G224" s="1" t="str">
        <f>INDEX(Scores!$B$2:$B$820, MATCH('Next Gen'!$A225, Scores!$E$2:$E$820, 0))</f>
        <v>high</v>
      </c>
      <c r="H224" s="4">
        <f>INDEX(Scores!$D$2:$D$820, MATCH('Next Gen'!$A225, Scores!$E$2:$E$820, 0))</f>
        <v>45853</v>
      </c>
    </row>
    <row r="225" spans="1:8">
      <c r="A225" s="1">
        <v>166</v>
      </c>
      <c r="B225" s="1" t="s">
        <v>5</v>
      </c>
      <c r="C225" s="1">
        <v>9</v>
      </c>
      <c r="D225" s="1">
        <v>7</v>
      </c>
      <c r="E225" s="1">
        <v>3</v>
      </c>
      <c r="F225" s="1">
        <f>SUMIF(Scores!$E$2:$E$820, 'Next Gen'!$A225, INDEX(Scores!$H$2:$P$820, 0, MATCH($B225, Scores!$H$1:$P$1, 0)))</f>
        <v>3</v>
      </c>
      <c r="G225" s="1" t="str">
        <f>INDEX(Scores!$B$2:$B$820, MATCH('Next Gen'!$A224, Scores!$E$2:$E$820, 0))</f>
        <v>high</v>
      </c>
      <c r="H225" s="4">
        <f>INDEX(Scores!$D$2:$D$820, MATCH('Next Gen'!$A224, Scores!$E$2:$E$820, 0))</f>
        <v>45853</v>
      </c>
    </row>
    <row r="226" spans="1:8">
      <c r="A226" s="1">
        <v>167</v>
      </c>
      <c r="B226" s="1" t="s">
        <v>4</v>
      </c>
      <c r="C226" s="1">
        <v>9</v>
      </c>
      <c r="D226" s="1">
        <v>8</v>
      </c>
      <c r="E226" s="1">
        <v>4</v>
      </c>
      <c r="F226" s="1">
        <f>SUMIF(Scores!$E$2:$E$820, 'Next Gen'!$A226, INDEX(Scores!$H$2:$P$820, 0, MATCH($B226, Scores!$H$1:$P$1, 0)))</f>
        <v>8</v>
      </c>
      <c r="G226" s="1" t="str">
        <f>INDEX(Scores!$B$2:$B$820, MATCH('Next Gen'!$A227, Scores!$E$2:$E$820, 0))</f>
        <v>low</v>
      </c>
      <c r="H226" s="4">
        <f>INDEX(Scores!$D$2:$D$820, MATCH('Next Gen'!$A227, Scores!$E$2:$E$820, 0))</f>
        <v>45853</v>
      </c>
    </row>
    <row r="227" spans="1:8">
      <c r="A227" s="1">
        <v>167</v>
      </c>
      <c r="B227" s="1" t="s">
        <v>78</v>
      </c>
      <c r="C227" s="1">
        <v>9</v>
      </c>
      <c r="D227" s="1">
        <v>6</v>
      </c>
      <c r="E227" s="1">
        <v>2</v>
      </c>
      <c r="F227" s="1">
        <f>SUMIF(Scores!$E$2:$E$820, 'Next Gen'!$A227, INDEX(Scores!$H$2:$P$820, 0, MATCH($B227, Scores!$H$1:$P$1, 0)))</f>
        <v>2</v>
      </c>
      <c r="G227" s="1" t="str">
        <f>INDEX(Scores!$B$2:$B$820, MATCH('Next Gen'!$A226, Scores!$E$2:$E$820, 0))</f>
        <v>low</v>
      </c>
      <c r="H227" s="4">
        <f>INDEX(Scores!$D$2:$D$820, MATCH('Next Gen'!$A226, Scores!$E$2:$E$820, 0))</f>
        <v>45853</v>
      </c>
    </row>
    <row r="228" spans="1:8">
      <c r="A228" s="1">
        <v>168</v>
      </c>
      <c r="B228" s="1" t="s">
        <v>4</v>
      </c>
      <c r="C228" s="1">
        <v>9</v>
      </c>
      <c r="D228" s="1">
        <v>8</v>
      </c>
      <c r="E228" s="1">
        <v>5</v>
      </c>
      <c r="F228" s="1">
        <f>SUMIF(Scores!$E$2:$E$820, 'Next Gen'!$A228, INDEX(Scores!$H$2:$P$820, 0, MATCH($B228, Scores!$H$1:$P$1, 0)))</f>
        <v>11</v>
      </c>
      <c r="G228" s="1" t="str">
        <f>INDEX(Scores!$B$2:$B$820, MATCH('Next Gen'!$A229, Scores!$E$2:$E$820, 0))</f>
        <v>mid</v>
      </c>
      <c r="H228" s="4">
        <f>INDEX(Scores!$D$2:$D$820, MATCH('Next Gen'!$A229, Scores!$E$2:$E$820, 0))</f>
        <v>45854</v>
      </c>
    </row>
    <row r="229" spans="1:8">
      <c r="A229" s="1">
        <v>168</v>
      </c>
      <c r="B229" s="1" t="s">
        <v>5</v>
      </c>
      <c r="C229" s="1">
        <v>9</v>
      </c>
      <c r="D229" s="1">
        <v>9</v>
      </c>
      <c r="E229" s="1">
        <v>2</v>
      </c>
      <c r="F229" s="1">
        <f>SUMIF(Scores!$E$2:$E$820, 'Next Gen'!$A229, INDEX(Scores!$H$2:$P$820, 0, MATCH($B229, Scores!$H$1:$P$1, 0)))</f>
        <v>3</v>
      </c>
      <c r="G229" s="1" t="str">
        <f>INDEX(Scores!$B$2:$B$820, MATCH('Next Gen'!$A230, Scores!$E$2:$E$820, 0))</f>
        <v>mid</v>
      </c>
      <c r="H229" s="4">
        <f>INDEX(Scores!$D$2:$D$820, MATCH('Next Gen'!$A230, Scores!$E$2:$E$820, 0))</f>
        <v>45854</v>
      </c>
    </row>
    <row r="230" spans="1:8">
      <c r="A230" s="1">
        <v>168</v>
      </c>
      <c r="B230" s="1" t="s">
        <v>78</v>
      </c>
      <c r="C230" s="1">
        <v>9</v>
      </c>
      <c r="D230" s="1">
        <v>3</v>
      </c>
      <c r="E230" s="1">
        <v>0</v>
      </c>
      <c r="F230" s="1">
        <f>SUMIF(Scores!$E$2:$E$820, 'Next Gen'!$A230, INDEX(Scores!$H$2:$P$820, 0, MATCH($B230, Scores!$H$1:$P$1, 0)))</f>
        <v>0</v>
      </c>
      <c r="G230" s="1" t="str">
        <f>INDEX(Scores!$B$2:$B$820, MATCH('Next Gen'!$A228, Scores!$E$2:$E$820, 0))</f>
        <v>mid</v>
      </c>
      <c r="H230" s="4">
        <f>INDEX(Scores!$D$2:$D$820, MATCH('Next Gen'!$A228, Scores!$E$2:$E$820, 0))</f>
        <v>45854</v>
      </c>
    </row>
    <row r="231" spans="1:8">
      <c r="A231" s="1">
        <v>169</v>
      </c>
      <c r="B231" s="1" t="s">
        <v>4</v>
      </c>
      <c r="C231" s="1">
        <v>9</v>
      </c>
      <c r="D231" s="1">
        <v>9</v>
      </c>
      <c r="E231" s="1">
        <v>5</v>
      </c>
      <c r="F231" s="1">
        <f>SUMIF(Scores!$E$2:$E$820, 'Next Gen'!$A231, INDEX(Scores!$H$2:$P$820, 0, MATCH($B231, Scores!$H$1:$P$1, 0)))</f>
        <v>8</v>
      </c>
      <c r="G231" s="1" t="str">
        <f>INDEX(Scores!$B$2:$B$820, MATCH('Next Gen'!$A232, Scores!$E$2:$E$820, 0))</f>
        <v>mid</v>
      </c>
      <c r="H231" s="4">
        <f>INDEX(Scores!$D$2:$D$820, MATCH('Next Gen'!$A232, Scores!$E$2:$E$820, 0))</f>
        <v>45854</v>
      </c>
    </row>
    <row r="232" spans="1:8">
      <c r="A232" s="1">
        <v>169</v>
      </c>
      <c r="B232" s="1" t="s">
        <v>78</v>
      </c>
      <c r="C232" s="1">
        <v>9</v>
      </c>
      <c r="D232" s="1">
        <v>2</v>
      </c>
      <c r="E232" s="1">
        <v>2</v>
      </c>
      <c r="F232" s="1">
        <f>SUMIF(Scores!$E$2:$E$820, 'Next Gen'!$A232, INDEX(Scores!$H$2:$P$820, 0, MATCH($B232, Scores!$H$1:$P$1, 0)))</f>
        <v>2</v>
      </c>
      <c r="G232" s="1" t="str">
        <f>INDEX(Scores!$B$2:$B$820, MATCH('Next Gen'!$A231, Scores!$E$2:$E$820, 0))</f>
        <v>mid</v>
      </c>
      <c r="H232" s="4">
        <f>INDEX(Scores!$D$2:$D$820, MATCH('Next Gen'!$A231, Scores!$E$2:$E$820, 0))</f>
        <v>45854</v>
      </c>
    </row>
    <row r="233" spans="1:8">
      <c r="A233" s="1">
        <v>169</v>
      </c>
      <c r="B233" s="1" t="s">
        <v>5</v>
      </c>
      <c r="C233" s="1">
        <v>9</v>
      </c>
      <c r="D233" s="1">
        <v>6</v>
      </c>
      <c r="E233" s="1">
        <v>1</v>
      </c>
      <c r="F233" s="1">
        <f>SUMIF(Scores!$E$2:$E$820, 'Next Gen'!$A233, INDEX(Scores!$H$2:$P$820, 0, MATCH($B233, Scores!$H$1:$P$1, 0)))</f>
        <v>1</v>
      </c>
      <c r="G233" s="1" t="str">
        <f>INDEX(Scores!$B$2:$B$820, MATCH('Next Gen'!$A233, Scores!$E$2:$E$820, 0))</f>
        <v>mid</v>
      </c>
      <c r="H233" s="4">
        <f>INDEX(Scores!$D$2:$D$820, MATCH('Next Gen'!$A233, Scores!$E$2:$E$820, 0))</f>
        <v>45854</v>
      </c>
    </row>
    <row r="234" spans="1:8">
      <c r="A234" s="1">
        <v>170</v>
      </c>
      <c r="B234" s="1" t="s">
        <v>4</v>
      </c>
      <c r="C234" s="1">
        <v>9</v>
      </c>
      <c r="D234" s="1">
        <v>9</v>
      </c>
      <c r="E234" s="1">
        <v>4</v>
      </c>
      <c r="F234" s="1">
        <f>SUMIF(Scores!$E$2:$E$820, 'Next Gen'!$A234, INDEX(Scores!$H$2:$P$820, 0, MATCH($B234, Scores!$H$1:$P$1, 0)))</f>
        <v>4</v>
      </c>
      <c r="G234" s="1" t="str">
        <f>INDEX(Scores!$B$2:$B$820, MATCH('Next Gen'!$A235, Scores!$E$2:$E$820, 0))</f>
        <v>mid</v>
      </c>
      <c r="H234" s="4">
        <f>INDEX(Scores!$D$2:$D$820, MATCH('Next Gen'!$A235, Scores!$E$2:$E$820, 0))</f>
        <v>45855</v>
      </c>
    </row>
    <row r="235" spans="1:8">
      <c r="A235" s="1">
        <v>170</v>
      </c>
      <c r="B235" s="1" t="s">
        <v>5</v>
      </c>
      <c r="C235" s="1">
        <v>9</v>
      </c>
      <c r="D235" s="1">
        <v>8</v>
      </c>
      <c r="E235" s="1">
        <v>4</v>
      </c>
      <c r="F235" s="1">
        <f>SUMIF(Scores!$E$2:$E$820, 'Next Gen'!$A235, INDEX(Scores!$H$2:$P$820, 0, MATCH($B235, Scores!$H$1:$P$1, 0)))</f>
        <v>9</v>
      </c>
      <c r="G235" s="1" t="str">
        <f>INDEX(Scores!$B$2:$B$820, MATCH('Next Gen'!$A236, Scores!$E$2:$E$820, 0))</f>
        <v>mid</v>
      </c>
      <c r="H235" s="4">
        <f>INDEX(Scores!$D$2:$D$820, MATCH('Next Gen'!$A236, Scores!$E$2:$E$820, 0))</f>
        <v>45855</v>
      </c>
    </row>
    <row r="236" spans="1:8">
      <c r="A236" s="1">
        <v>170</v>
      </c>
      <c r="B236" s="1" t="s">
        <v>78</v>
      </c>
      <c r="C236" s="1">
        <v>9</v>
      </c>
      <c r="D236" s="1">
        <v>6</v>
      </c>
      <c r="E236" s="1">
        <v>2</v>
      </c>
      <c r="F236" s="1">
        <f>SUMIF(Scores!$E$2:$E$820, 'Next Gen'!$A236, INDEX(Scores!$H$2:$P$820, 0, MATCH($B236, Scores!$H$1:$P$1, 0)))</f>
        <v>3</v>
      </c>
      <c r="G236" s="1" t="str">
        <f>INDEX(Scores!$B$2:$B$820, MATCH('Next Gen'!$A234, Scores!$E$2:$E$820, 0))</f>
        <v>mid</v>
      </c>
      <c r="H236" s="4">
        <f>INDEX(Scores!$D$2:$D$820, MATCH('Next Gen'!$A234, Scores!$E$2:$E$820, 0))</f>
        <v>45855</v>
      </c>
    </row>
    <row r="237" spans="1:8">
      <c r="A237" s="1">
        <v>171</v>
      </c>
      <c r="B237" s="1" t="s">
        <v>5</v>
      </c>
      <c r="C237" s="1">
        <v>9</v>
      </c>
      <c r="D237" s="1">
        <v>6</v>
      </c>
      <c r="E237" s="1">
        <v>4</v>
      </c>
      <c r="F237" s="1">
        <f>SUMIF(Scores!$E$2:$E$820, 'Next Gen'!$A237, INDEX(Scores!$H$2:$P$820, 0, MATCH($B237, Scores!$H$1:$P$1, 0)))</f>
        <v>6</v>
      </c>
      <c r="G237" s="1" t="str">
        <f>INDEX(Scores!$B$2:$B$820, MATCH('Next Gen'!$A239, Scores!$E$2:$E$820, 0))</f>
        <v>mid</v>
      </c>
      <c r="H237" s="4">
        <f>INDEX(Scores!$D$2:$D$820, MATCH('Next Gen'!$A239, Scores!$E$2:$E$820, 0))</f>
        <v>45855</v>
      </c>
    </row>
    <row r="238" spans="1:8">
      <c r="A238" s="1">
        <v>171</v>
      </c>
      <c r="B238" s="1" t="s">
        <v>4</v>
      </c>
      <c r="C238" s="1">
        <v>9</v>
      </c>
      <c r="D238" s="1">
        <v>7</v>
      </c>
      <c r="E238" s="1">
        <v>2</v>
      </c>
      <c r="F238" s="1">
        <f>SUMIF(Scores!$E$2:$E$820, 'Next Gen'!$A238, INDEX(Scores!$H$2:$P$820, 0, MATCH($B238, Scores!$H$1:$P$1, 0)))</f>
        <v>5</v>
      </c>
      <c r="G238" s="1" t="str">
        <f>INDEX(Scores!$B$2:$B$820, MATCH('Next Gen'!$A238, Scores!$E$2:$E$820, 0))</f>
        <v>mid</v>
      </c>
      <c r="H238" s="4">
        <f>INDEX(Scores!$D$2:$D$820, MATCH('Next Gen'!$A238, Scores!$E$2:$E$820, 0))</f>
        <v>45855</v>
      </c>
    </row>
    <row r="239" spans="1:8">
      <c r="A239" s="1">
        <v>171</v>
      </c>
      <c r="B239" s="1" t="s">
        <v>78</v>
      </c>
      <c r="C239" s="1">
        <v>9</v>
      </c>
      <c r="D239" s="1">
        <v>6</v>
      </c>
      <c r="E239" s="1">
        <v>1</v>
      </c>
      <c r="F239" s="1">
        <f>SUMIF(Scores!$E$2:$E$820, 'Next Gen'!$A239, INDEX(Scores!$H$2:$P$820, 0, MATCH($B239, Scores!$H$1:$P$1, 0)))</f>
        <v>1</v>
      </c>
      <c r="G239" s="1" t="str">
        <f>INDEX(Scores!$B$2:$B$820, MATCH('Next Gen'!$A237, Scores!$E$2:$E$820, 0))</f>
        <v>mid</v>
      </c>
      <c r="H239" s="4">
        <f>INDEX(Scores!$D$2:$D$820, MATCH('Next Gen'!$A237, Scores!$E$2:$E$820, 0))</f>
        <v>45855</v>
      </c>
    </row>
    <row r="240" spans="1:8">
      <c r="A240" s="1">
        <v>172</v>
      </c>
      <c r="B240" s="1" t="s">
        <v>4</v>
      </c>
      <c r="C240" s="1">
        <v>9</v>
      </c>
      <c r="D240" s="1">
        <v>9</v>
      </c>
      <c r="E240" s="1">
        <v>6</v>
      </c>
      <c r="F240" s="1">
        <f>SUMIF(Scores!$E$2:$E$820, 'Next Gen'!$A240, INDEX(Scores!$H$2:$P$820, 0, MATCH($B240, Scores!$H$1:$P$1, 0)))</f>
        <v>12</v>
      </c>
      <c r="G240" s="1" t="str">
        <f>INDEX(Scores!$B$2:$B$820, MATCH('Next Gen'!$A241, Scores!$E$2:$E$820, 0))</f>
        <v>mid</v>
      </c>
      <c r="H240" s="4">
        <f>INDEX(Scores!$D$2:$D$820, MATCH('Next Gen'!$A241, Scores!$E$2:$E$820, 0))</f>
        <v>45855</v>
      </c>
    </row>
    <row r="241" spans="1:8">
      <c r="A241" s="1">
        <v>172</v>
      </c>
      <c r="B241" s="1" t="s">
        <v>78</v>
      </c>
      <c r="C241" s="1">
        <v>9</v>
      </c>
      <c r="D241" s="1">
        <v>2</v>
      </c>
      <c r="E241" s="1">
        <v>0</v>
      </c>
      <c r="F241" s="1">
        <f>SUMIF(Scores!$E$2:$E$820, 'Next Gen'!$A241, INDEX(Scores!$H$2:$P$820, 0, MATCH($B241, Scores!$H$1:$P$1, 0)))</f>
        <v>0</v>
      </c>
      <c r="G241" s="1" t="str">
        <f>INDEX(Scores!$B$2:$B$820, MATCH('Next Gen'!$A240, Scores!$E$2:$E$820, 0))</f>
        <v>mid</v>
      </c>
      <c r="H241" s="4">
        <f>INDEX(Scores!$D$2:$D$820, MATCH('Next Gen'!$A240, Scores!$E$2:$E$820, 0))</f>
        <v>45855</v>
      </c>
    </row>
    <row r="242" spans="1:8">
      <c r="A242" s="1">
        <v>173</v>
      </c>
      <c r="B242" s="1" t="s">
        <v>78</v>
      </c>
      <c r="C242" s="1">
        <v>12</v>
      </c>
      <c r="D242" s="1">
        <v>9</v>
      </c>
      <c r="E242" s="1">
        <v>1</v>
      </c>
      <c r="F242" s="1">
        <f>SUMIF(Scores!$E$2:$E$820, 'Next Gen'!$A242, INDEX(Scores!$H$2:$P$820, 0, MATCH($B242, Scores!$H$1:$P$1, 0)))</f>
        <v>0</v>
      </c>
      <c r="G242" s="1" t="str">
        <f>INDEX(Scores!$B$2:$B$820, MATCH('Next Gen'!$A242, Scores!$E$2:$E$820, 0))</f>
        <v>mid</v>
      </c>
      <c r="H242" s="4">
        <f>INDEX(Scores!$D$2:$D$820, MATCH('Next Gen'!$A242, Scores!$E$2:$E$820, 0))</f>
        <v>45859</v>
      </c>
    </row>
    <row r="243" spans="1:8">
      <c r="A243" s="1">
        <v>173</v>
      </c>
      <c r="B243" s="1" t="s">
        <v>5</v>
      </c>
      <c r="C243" s="1">
        <v>12</v>
      </c>
      <c r="D243" s="1">
        <v>4</v>
      </c>
      <c r="E243" s="1">
        <v>0</v>
      </c>
      <c r="F243" s="1">
        <f>SUMIF(Scores!$E$2:$E$820, 'Next Gen'!$A243, INDEX(Scores!$H$2:$P$820, 0, MATCH($B243, Scores!$H$1:$P$1, 0)))</f>
        <v>1</v>
      </c>
      <c r="G243" s="1" t="str">
        <f>INDEX(Scores!$B$2:$B$820, MATCH('Next Gen'!$A243, Scores!$E$2:$E$820, 0))</f>
        <v>mid</v>
      </c>
      <c r="H243" s="4">
        <f>INDEX(Scores!$D$2:$D$820, MATCH('Next Gen'!$A243, Scores!$E$2:$E$820, 0))</f>
        <v>45859</v>
      </c>
    </row>
    <row r="244" spans="1:8">
      <c r="A244" s="1">
        <v>174</v>
      </c>
      <c r="B244" s="1" t="s">
        <v>78</v>
      </c>
      <c r="C244" s="1">
        <v>9</v>
      </c>
      <c r="D244" s="1">
        <v>5</v>
      </c>
      <c r="E244" s="1">
        <v>3</v>
      </c>
      <c r="F244" s="1">
        <f>SUMIF(Scores!$E$2:$E$820, 'Next Gen'!$A244, INDEX(Scores!$H$2:$P$820, 0, MATCH($B244, Scores!$H$1:$P$1, 0)))</f>
        <v>3</v>
      </c>
      <c r="G244" s="1" t="str">
        <f>INDEX(Scores!$B$2:$B$820, MATCH('Next Gen'!$A244, Scores!$E$2:$E$820, 0))</f>
        <v>mid</v>
      </c>
      <c r="H244" s="4">
        <f>INDEX(Scores!$D$2:$D$820, MATCH('Next Gen'!$A244, Scores!$E$2:$E$820, 0))</f>
        <v>45859</v>
      </c>
    </row>
    <row r="245" spans="1:8">
      <c r="A245" s="1">
        <v>174</v>
      </c>
      <c r="B245" s="1" t="s">
        <v>5</v>
      </c>
      <c r="C245" s="1">
        <v>9</v>
      </c>
      <c r="D245" s="1">
        <v>8</v>
      </c>
      <c r="E245" s="1">
        <v>2</v>
      </c>
      <c r="F245" s="1">
        <f>SUMIF(Scores!$E$2:$E$820, 'Next Gen'!$A245, INDEX(Scores!$H$2:$P$820, 0, MATCH($B245, Scores!$H$1:$P$1, 0)))</f>
        <v>5</v>
      </c>
      <c r="G245" s="1" t="str">
        <f>INDEX(Scores!$B$2:$B$820, MATCH('Next Gen'!$A245, Scores!$E$2:$E$820, 0))</f>
        <v>mid</v>
      </c>
      <c r="H245" s="4">
        <f>INDEX(Scores!$D$2:$D$820, MATCH('Next Gen'!$A245, Scores!$E$2:$E$820, 0))</f>
        <v>45859</v>
      </c>
    </row>
    <row r="246" spans="1:8">
      <c r="A246" s="1">
        <v>175</v>
      </c>
      <c r="B246" s="1" t="s">
        <v>5</v>
      </c>
      <c r="C246" s="1">
        <v>9</v>
      </c>
      <c r="D246" s="1">
        <v>7</v>
      </c>
      <c r="E246" s="1">
        <v>2</v>
      </c>
      <c r="F246" s="1">
        <f>SUMIF(Scores!$E$2:$E$820, 'Next Gen'!$A246, INDEX(Scores!$H$2:$P$820, 0, MATCH($B246, Scores!$H$1:$P$1, 0)))</f>
        <v>4</v>
      </c>
      <c r="G246" s="1" t="str">
        <f>INDEX(Scores!$B$2:$B$820, MATCH('Next Gen'!$A247, Scores!$E$2:$E$820, 0))</f>
        <v>high</v>
      </c>
      <c r="H246" s="4">
        <f>INDEX(Scores!$D$2:$D$820, MATCH('Next Gen'!$A247, Scores!$E$2:$E$820, 0))</f>
        <v>45859</v>
      </c>
    </row>
    <row r="247" spans="1:8">
      <c r="A247" s="1">
        <v>175</v>
      </c>
      <c r="B247" s="1" t="s">
        <v>78</v>
      </c>
      <c r="C247" s="1">
        <v>9</v>
      </c>
      <c r="D247" s="1">
        <v>3</v>
      </c>
      <c r="E247" s="1">
        <v>1</v>
      </c>
      <c r="F247" s="1">
        <f>SUMIF(Scores!$E$2:$E$820, 'Next Gen'!$A247, INDEX(Scores!$H$2:$P$820, 0, MATCH($B247, Scores!$H$1:$P$1, 0)))</f>
        <v>1</v>
      </c>
      <c r="G247" s="1" t="str">
        <f>INDEX(Scores!$B$2:$B$820, MATCH('Next Gen'!$A246, Scores!$E$2:$E$820, 0))</f>
        <v>high</v>
      </c>
      <c r="H247" s="4">
        <f>INDEX(Scores!$D$2:$D$820, MATCH('Next Gen'!$A246, Scores!$E$2:$E$820, 0))</f>
        <v>45859</v>
      </c>
    </row>
    <row r="248" spans="1:8">
      <c r="A248" s="1">
        <v>176</v>
      </c>
      <c r="B248" s="1" t="s">
        <v>4</v>
      </c>
      <c r="C248" s="1">
        <v>9</v>
      </c>
      <c r="D248" s="1">
        <v>9</v>
      </c>
      <c r="E248" s="1">
        <v>4</v>
      </c>
      <c r="F248" s="1">
        <f>SUMIF(Scores!$E$2:$E$820, 'Next Gen'!$A248, INDEX(Scores!$H$2:$P$820, 0, MATCH($B248, Scores!$H$1:$P$1, 0)))</f>
        <v>8</v>
      </c>
      <c r="G248" s="1" t="str">
        <f>INDEX(Scores!$B$2:$B$820, MATCH('Next Gen'!$A248, Scores!$E$2:$E$820, 0))</f>
        <v>mid</v>
      </c>
      <c r="H248" s="4">
        <f>INDEX(Scores!$D$2:$D$820, MATCH('Next Gen'!$A248, Scores!$E$2:$E$820, 0))</f>
        <v>45860</v>
      </c>
    </row>
    <row r="249" spans="1:8">
      <c r="A249" s="1">
        <v>176</v>
      </c>
      <c r="B249" s="1" t="s">
        <v>5</v>
      </c>
      <c r="C249" s="1">
        <v>9</v>
      </c>
      <c r="D249" s="1">
        <v>8</v>
      </c>
      <c r="E249" s="1">
        <v>3</v>
      </c>
      <c r="F249" s="1">
        <f>SUMIF(Scores!$E$2:$E$820, 'Next Gen'!$A249, INDEX(Scores!$H$2:$P$820, 0, MATCH($B249, Scores!$H$1:$P$1, 0)))</f>
        <v>6</v>
      </c>
      <c r="G249" s="1" t="str">
        <f>INDEX(Scores!$B$2:$B$820, MATCH('Next Gen'!$A249, Scores!$E$2:$E$820, 0))</f>
        <v>mid</v>
      </c>
      <c r="H249" s="4">
        <f>INDEX(Scores!$D$2:$D$820, MATCH('Next Gen'!$A249, Scores!$E$2:$E$820, 0))</f>
        <v>45860</v>
      </c>
    </row>
    <row r="250" spans="1:8">
      <c r="A250" s="1">
        <v>177</v>
      </c>
      <c r="B250" s="1" t="s">
        <v>5</v>
      </c>
      <c r="C250" s="1">
        <v>9</v>
      </c>
      <c r="D250" s="1">
        <v>8</v>
      </c>
      <c r="E250" s="1">
        <v>4</v>
      </c>
      <c r="F250" s="1">
        <f>SUMIF(Scores!$E$2:$E$820, 'Next Gen'!$A250, INDEX(Scores!$H$2:$P$820, 0, MATCH($B250, Scores!$H$1:$P$1, 0)))</f>
        <v>7</v>
      </c>
      <c r="G250" s="1" t="str">
        <f>INDEX(Scores!$B$2:$B$820, MATCH('Next Gen'!$A251, Scores!$E$2:$E$820, 0))</f>
        <v>high</v>
      </c>
      <c r="H250" s="4">
        <f>INDEX(Scores!$D$2:$D$820, MATCH('Next Gen'!$A251, Scores!$E$2:$E$820, 0))</f>
        <v>45860</v>
      </c>
    </row>
    <row r="251" spans="1:8">
      <c r="A251" s="1">
        <v>177</v>
      </c>
      <c r="B251" s="1" t="s">
        <v>4</v>
      </c>
      <c r="C251" s="1">
        <v>9</v>
      </c>
      <c r="D251" s="1">
        <v>9</v>
      </c>
      <c r="E251" s="1">
        <v>2</v>
      </c>
      <c r="F251" s="1">
        <f>SUMIF(Scores!$E$2:$E$820, 'Next Gen'!$A251, INDEX(Scores!$H$2:$P$820, 0, MATCH($B251, Scores!$H$1:$P$1, 0)))</f>
        <v>3</v>
      </c>
      <c r="G251" s="1" t="str">
        <f>INDEX(Scores!$B$2:$B$820, MATCH('Next Gen'!$A250, Scores!$E$2:$E$820, 0))</f>
        <v>high</v>
      </c>
      <c r="H251" s="4">
        <f>INDEX(Scores!$D$2:$D$820, MATCH('Next Gen'!$A250, Scores!$E$2:$E$820, 0))</f>
        <v>45860</v>
      </c>
    </row>
    <row r="252" spans="1:8">
      <c r="A252" s="1">
        <v>178</v>
      </c>
      <c r="B252" s="1" t="s">
        <v>4</v>
      </c>
      <c r="C252" s="1">
        <v>9</v>
      </c>
      <c r="D252" s="1">
        <v>9</v>
      </c>
      <c r="E252" s="1">
        <v>5</v>
      </c>
      <c r="F252" s="1">
        <f>SUMIF(Scores!$E$2:$E$820, 'Next Gen'!$A252, INDEX(Scores!$H$2:$P$820, 0, MATCH($B252, Scores!$H$1:$P$1, 0)))</f>
        <v>9</v>
      </c>
      <c r="G252" s="1" t="str">
        <f>INDEX(Scores!$B$2:$B$820, MATCH('Next Gen'!$A252, Scores!$E$2:$E$820, 0))</f>
        <v>mid</v>
      </c>
      <c r="H252" s="4">
        <f>INDEX(Scores!$D$2:$D$820, MATCH('Next Gen'!$A252, Scores!$E$2:$E$820, 0))</f>
        <v>45861</v>
      </c>
    </row>
    <row r="253" spans="1:8">
      <c r="A253" s="1">
        <v>178</v>
      </c>
      <c r="B253" s="1" t="s">
        <v>5</v>
      </c>
      <c r="C253" s="1">
        <v>9</v>
      </c>
      <c r="D253" s="1">
        <v>9</v>
      </c>
      <c r="E253" s="1">
        <v>3</v>
      </c>
      <c r="F253" s="1">
        <f>SUMIF(Scores!$E$2:$E$820, 'Next Gen'!$A253, INDEX(Scores!$H$2:$P$820, 0, MATCH($B253, Scores!$H$1:$P$1, 0)))</f>
        <v>5</v>
      </c>
      <c r="G253" s="1" t="str">
        <f>INDEX(Scores!$B$2:$B$820, MATCH('Next Gen'!$A253, Scores!$E$2:$E$820, 0))</f>
        <v>mid</v>
      </c>
      <c r="H253" s="4">
        <f>INDEX(Scores!$D$2:$D$820, MATCH('Next Gen'!$A253, Scores!$E$2:$E$820, 0))</f>
        <v>45861</v>
      </c>
    </row>
    <row r="254" spans="1:8">
      <c r="A254" s="1">
        <v>178</v>
      </c>
      <c r="B254" s="1" t="s">
        <v>6</v>
      </c>
      <c r="C254" s="1">
        <v>9</v>
      </c>
      <c r="D254" s="1">
        <v>4</v>
      </c>
      <c r="E254" s="1">
        <v>2</v>
      </c>
      <c r="F254" s="1">
        <f>SUMIF(Scores!$E$2:$E$820, 'Next Gen'!$A254, INDEX(Scores!$H$2:$P$820, 0, MATCH($B254, Scores!$H$1:$P$1, 0)))</f>
        <v>2</v>
      </c>
      <c r="G254" s="1" t="str">
        <f>INDEX(Scores!$B$2:$B$820, MATCH('Next Gen'!$A254, Scores!$E$2:$E$820, 0))</f>
        <v>mid</v>
      </c>
      <c r="H254" s="4">
        <f>INDEX(Scores!$D$2:$D$820, MATCH('Next Gen'!$A254, Scores!$E$2:$E$820, 0))</f>
        <v>45861</v>
      </c>
    </row>
    <row r="255" spans="1:8">
      <c r="A255" s="1">
        <v>179</v>
      </c>
      <c r="B255" s="1" t="s">
        <v>4</v>
      </c>
      <c r="C255" s="1">
        <v>9</v>
      </c>
      <c r="D255" s="1">
        <v>9</v>
      </c>
      <c r="E255" s="1">
        <v>5</v>
      </c>
      <c r="F255" s="1">
        <f>SUMIF(Scores!$E$2:$E$820, 'Next Gen'!$A255, INDEX(Scores!$H$2:$P$820, 0, MATCH($B255, Scores!$H$1:$P$1, 0)))</f>
        <v>6</v>
      </c>
      <c r="G255" s="1" t="str">
        <f>INDEX(Scores!$B$2:$B$820, MATCH('Next Gen'!$A255, Scores!$E$2:$E$820, 0))</f>
        <v>mid</v>
      </c>
      <c r="H255" s="4">
        <f>INDEX(Scores!$D$2:$D$820, MATCH('Next Gen'!$A255, Scores!$E$2:$E$820, 0))</f>
        <v>45861</v>
      </c>
    </row>
    <row r="256" spans="1:8">
      <c r="A256" s="1">
        <v>179</v>
      </c>
      <c r="B256" s="1" t="s">
        <v>5</v>
      </c>
      <c r="C256" s="1">
        <v>9</v>
      </c>
      <c r="D256" s="1">
        <v>6</v>
      </c>
      <c r="E256" s="1">
        <v>2</v>
      </c>
      <c r="F256" s="1">
        <f>SUMIF(Scores!$E$2:$E$820, 'Next Gen'!$A256, INDEX(Scores!$H$2:$P$820, 0, MATCH($B256, Scores!$H$1:$P$1, 0)))</f>
        <v>3</v>
      </c>
      <c r="G256" s="1" t="str">
        <f>INDEX(Scores!$B$2:$B$820, MATCH('Next Gen'!$A256, Scores!$E$2:$E$820, 0))</f>
        <v>mid</v>
      </c>
      <c r="H256" s="4">
        <f>INDEX(Scores!$D$2:$D$820, MATCH('Next Gen'!$A256, Scores!$E$2:$E$820, 0))</f>
        <v>45861</v>
      </c>
    </row>
    <row r="257" spans="1:8">
      <c r="A257" s="1">
        <v>180</v>
      </c>
      <c r="B257" s="1" t="s">
        <v>6</v>
      </c>
      <c r="C257" s="1">
        <v>9</v>
      </c>
      <c r="D257" s="1">
        <v>7</v>
      </c>
      <c r="E257" s="1">
        <v>4</v>
      </c>
      <c r="F257" s="1">
        <f>SUMIF(Scores!$E$2:$E$820, 'Next Gen'!$A257, INDEX(Scores!$H$2:$P$820, 0, MATCH($B257, Scores!$H$1:$P$1, 0)))</f>
        <v>8</v>
      </c>
      <c r="G257" s="1" t="str">
        <f>INDEX(Scores!$B$2:$B$820, MATCH('Next Gen'!$A257, Scores!$E$2:$E$820, 0))</f>
        <v>mid</v>
      </c>
      <c r="H257" s="4">
        <f>INDEX(Scores!$D$2:$D$820, MATCH('Next Gen'!$A257, Scores!$E$2:$E$820, 0))</f>
        <v>45862</v>
      </c>
    </row>
    <row r="258" spans="1:8">
      <c r="A258" s="1">
        <v>180</v>
      </c>
      <c r="B258" s="1" t="s">
        <v>5</v>
      </c>
      <c r="C258" s="1">
        <v>9</v>
      </c>
      <c r="D258" s="1">
        <v>7</v>
      </c>
      <c r="E258" s="1">
        <v>3</v>
      </c>
      <c r="F258" s="1">
        <f>SUMIF(Scores!$E$2:$E$820, 'Next Gen'!$A258, INDEX(Scores!$H$2:$P$820, 0, MATCH($B258, Scores!$H$1:$P$1, 0)))</f>
        <v>5</v>
      </c>
      <c r="G258" s="1" t="str">
        <f>INDEX(Scores!$B$2:$B$820, MATCH('Next Gen'!$A258, Scores!$E$2:$E$820, 0))</f>
        <v>mid</v>
      </c>
      <c r="H258" s="4">
        <f>INDEX(Scores!$D$2:$D$820, MATCH('Next Gen'!$A258, Scores!$E$2:$E$820, 0))</f>
        <v>45862</v>
      </c>
    </row>
    <row r="259" spans="1:8">
      <c r="A259" s="1">
        <v>181</v>
      </c>
      <c r="B259" s="1" t="s">
        <v>5</v>
      </c>
      <c r="C259" s="1">
        <v>9</v>
      </c>
      <c r="D259" s="1">
        <v>8</v>
      </c>
      <c r="E259" s="1">
        <v>3</v>
      </c>
      <c r="F259" s="1">
        <f>SUMIF(Scores!$E$2:$E$820, 'Next Gen'!$A259, INDEX(Scores!$H$2:$P$820, 0, MATCH($B259, Scores!$H$1:$P$1, 0)))</f>
        <v>4</v>
      </c>
      <c r="G259" s="1" t="str">
        <f>INDEX(Scores!$B$2:$B$820, MATCH('Next Gen'!$A259, Scores!$E$2:$E$820, 0))</f>
        <v>mid</v>
      </c>
      <c r="H259" s="4">
        <f>INDEX(Scores!$D$2:$D$820, MATCH('Next Gen'!$A259, Scores!$E$2:$E$820, 0))</f>
        <v>45863</v>
      </c>
    </row>
    <row r="260" spans="1:8">
      <c r="A260" s="1">
        <v>181</v>
      </c>
      <c r="B260" s="1" t="s">
        <v>6</v>
      </c>
      <c r="C260" s="1">
        <v>9</v>
      </c>
      <c r="D260" s="1">
        <v>3</v>
      </c>
      <c r="E260" s="1">
        <v>0</v>
      </c>
      <c r="F260" s="1">
        <f>SUMIF(Scores!$E$2:$E$820, 'Next Gen'!$A260, INDEX(Scores!$H$2:$P$820, 0, MATCH($B260, Scores!$H$1:$P$1, 0)))</f>
        <v>0</v>
      </c>
      <c r="G260" s="1" t="str">
        <f>INDEX(Scores!$B$2:$B$820, MATCH('Next Gen'!$A260, Scores!$E$2:$E$820, 0))</f>
        <v>mid</v>
      </c>
      <c r="H260" s="4">
        <f>INDEX(Scores!$D$2:$D$820, MATCH('Next Gen'!$A260, Scores!$E$2:$E$820, 0))</f>
        <v>45863</v>
      </c>
    </row>
    <row r="261" spans="1:8">
      <c r="A261" s="1">
        <v>182</v>
      </c>
      <c r="B261" s="1" t="s">
        <v>78</v>
      </c>
      <c r="C261" s="1">
        <v>12</v>
      </c>
      <c r="D261" s="1">
        <v>7</v>
      </c>
      <c r="E261" s="1">
        <v>3</v>
      </c>
      <c r="F261" s="1">
        <f>SUMIF(Scores!$E$2:$E$820, 'Next Gen'!$A261, INDEX(Scores!$H$2:$P$820, 0, MATCH($B261, Scores!$H$1:$P$1, 0)))</f>
        <v>3</v>
      </c>
      <c r="G261" s="1" t="str">
        <f>INDEX(Scores!$B$2:$B$820, MATCH('Next Gen'!$A261, Scores!$E$2:$E$820, 0))</f>
        <v>mid</v>
      </c>
      <c r="H261" s="4">
        <f>INDEX(Scores!$D$2:$D$820, MATCH('Next Gen'!$A261, Scores!$E$2:$E$820, 0))</f>
        <v>45863</v>
      </c>
    </row>
    <row r="262" spans="1:8">
      <c r="A262" s="1">
        <v>182</v>
      </c>
      <c r="B262" s="1" t="s">
        <v>5</v>
      </c>
      <c r="C262" s="1">
        <v>12</v>
      </c>
      <c r="D262" s="1">
        <v>11</v>
      </c>
      <c r="E262" s="1">
        <v>3</v>
      </c>
      <c r="F262" s="1">
        <f>SUMIF(Scores!$E$2:$E$820, 'Next Gen'!$A262, INDEX(Scores!$H$2:$P$820, 0, MATCH($B262, Scores!$H$1:$P$1, 0)))</f>
        <v>4</v>
      </c>
      <c r="G262" s="1" t="str">
        <f>INDEX(Scores!$B$2:$B$820, MATCH('Next Gen'!$A262, Scores!$E$2:$E$820, 0))</f>
        <v>mid</v>
      </c>
      <c r="H262" s="4">
        <f>INDEX(Scores!$D$2:$D$820, MATCH('Next Gen'!$A262, Scores!$E$2:$E$820, 0))</f>
        <v>45863</v>
      </c>
    </row>
    <row r="263" spans="1:8">
      <c r="A263" s="1">
        <v>183</v>
      </c>
      <c r="B263" s="1" t="s">
        <v>5</v>
      </c>
      <c r="C263" s="1">
        <v>9</v>
      </c>
      <c r="D263" s="1">
        <v>9</v>
      </c>
      <c r="E263" s="1">
        <v>2</v>
      </c>
      <c r="F263" s="1">
        <f>SUMIF(Scores!$E$2:$E$820, 'Next Gen'!$A263, INDEX(Scores!$H$2:$P$820, 0, MATCH($B263, Scores!$H$1:$P$1, 0)))</f>
        <v>5</v>
      </c>
      <c r="G263" s="1" t="str">
        <f>INDEX(Scores!$B$2:$B$820, MATCH('Next Gen'!$A263, Scores!$E$2:$E$820, 0))</f>
        <v>mid</v>
      </c>
      <c r="H263" s="4">
        <f>INDEX(Scores!$D$2:$D$820, MATCH('Next Gen'!$A263, Scores!$E$2:$E$820, 0))</f>
        <v>45863</v>
      </c>
    </row>
    <row r="264" spans="1:8">
      <c r="A264" s="1">
        <v>183</v>
      </c>
      <c r="B264" s="1" t="s">
        <v>78</v>
      </c>
      <c r="C264" s="1">
        <v>9</v>
      </c>
      <c r="D264" s="1">
        <v>4</v>
      </c>
      <c r="E264" s="1">
        <v>1</v>
      </c>
      <c r="F264" s="1">
        <f>SUMIF(Scores!$E$2:$E$820, 'Next Gen'!$A264, INDEX(Scores!$H$2:$P$820, 0, MATCH($B264, Scores!$H$1:$P$1, 0)))</f>
        <v>3</v>
      </c>
      <c r="G264" s="1" t="str">
        <f>INDEX(Scores!$B$2:$B$820, MATCH('Next Gen'!$A264, Scores!$E$2:$E$820, 0))</f>
        <v>mid</v>
      </c>
      <c r="H264" s="4">
        <f>INDEX(Scores!$D$2:$D$820, MATCH('Next Gen'!$A264, Scores!$E$2:$E$820, 0))</f>
        <v>45863</v>
      </c>
    </row>
    <row r="265" spans="1:8">
      <c r="A265" s="1">
        <v>184</v>
      </c>
      <c r="B265" s="1" t="s">
        <v>5</v>
      </c>
      <c r="C265" s="1">
        <v>9</v>
      </c>
      <c r="D265" s="1">
        <v>7</v>
      </c>
      <c r="E265" s="1">
        <v>4</v>
      </c>
      <c r="F265" s="1">
        <f>SUMIF(Scores!$E$2:$E$820, 'Next Gen'!$A265, INDEX(Scores!$H$2:$P$820, 0, MATCH($B265, Scores!$H$1:$P$1, 0)))</f>
        <v>8</v>
      </c>
      <c r="G265" s="1" t="str">
        <f>INDEX(Scores!$B$2:$B$820, MATCH('Next Gen'!$A265, Scores!$E$2:$E$820, 0))</f>
        <v>mid</v>
      </c>
      <c r="H265" s="4">
        <f>INDEX(Scores!$D$2:$D$820, MATCH('Next Gen'!$A265, Scores!$E$2:$E$820, 0))</f>
        <v>45866</v>
      </c>
    </row>
    <row r="266" spans="1:8">
      <c r="A266" s="1">
        <v>184</v>
      </c>
      <c r="B266" s="1" t="s">
        <v>6</v>
      </c>
      <c r="C266" s="1">
        <v>9</v>
      </c>
      <c r="D266" s="1">
        <v>4</v>
      </c>
      <c r="E266" s="1">
        <v>2</v>
      </c>
      <c r="F266" s="1">
        <f>SUMIF(Scores!$E$2:$E$820, 'Next Gen'!$A266, INDEX(Scores!$H$2:$P$820, 0, MATCH($B266, Scores!$H$1:$P$1, 0)))</f>
        <v>2</v>
      </c>
      <c r="G266" s="1" t="str">
        <f>INDEX(Scores!$B$2:$B$820, MATCH('Next Gen'!$A266, Scores!$E$2:$E$820, 0))</f>
        <v>mid</v>
      </c>
      <c r="H266" s="4">
        <f>INDEX(Scores!$D$2:$D$820, MATCH('Next Gen'!$A266, Scores!$E$2:$E$820, 0))</f>
        <v>45866</v>
      </c>
    </row>
    <row r="267" spans="1:8">
      <c r="A267" s="1">
        <v>185</v>
      </c>
      <c r="B267" s="1" t="s">
        <v>4</v>
      </c>
      <c r="C267" s="1">
        <v>9</v>
      </c>
      <c r="D267" s="1">
        <v>9</v>
      </c>
      <c r="E267" s="1">
        <v>6</v>
      </c>
      <c r="F267" s="1">
        <f>SUMIF(Scores!$E$2:$E$820, 'Next Gen'!$A267, INDEX(Scores!$H$2:$P$820, 0, MATCH($B267, Scores!$H$1:$P$1, 0)))</f>
        <v>11</v>
      </c>
      <c r="G267" s="1" t="str">
        <f>INDEX(Scores!$B$2:$B$820, MATCH('Next Gen'!$A267, Scores!$E$2:$E$820, 0))</f>
        <v>mid</v>
      </c>
      <c r="H267" s="4">
        <f>INDEX(Scores!$D$2:$D$820, MATCH('Next Gen'!$A267, Scores!$E$2:$E$820, 0))</f>
        <v>45868</v>
      </c>
    </row>
    <row r="268" spans="1:8">
      <c r="A268" s="1">
        <v>185</v>
      </c>
      <c r="B268" s="1" t="s">
        <v>5</v>
      </c>
      <c r="C268" s="1">
        <v>9</v>
      </c>
      <c r="D268" s="1">
        <v>8</v>
      </c>
      <c r="E268" s="1">
        <v>3</v>
      </c>
      <c r="F268" s="1">
        <f>SUMIF(Scores!$E$2:$E$820, 'Next Gen'!$A268, INDEX(Scores!$H$2:$P$820, 0, MATCH($B268, Scores!$H$1:$P$1, 0)))</f>
        <v>6</v>
      </c>
      <c r="G268" s="1" t="str">
        <f>INDEX(Scores!$B$2:$B$820, MATCH('Next Gen'!$A268, Scores!$E$2:$E$820, 0))</f>
        <v>mid</v>
      </c>
      <c r="H268" s="4">
        <f>INDEX(Scores!$D$2:$D$820, MATCH('Next Gen'!$A268, Scores!$E$2:$E$820, 0))</f>
        <v>45868</v>
      </c>
    </row>
    <row r="269" spans="1:8">
      <c r="A269" s="1">
        <v>186</v>
      </c>
      <c r="B269" s="1" t="s">
        <v>4</v>
      </c>
      <c r="C269" s="1">
        <v>9</v>
      </c>
      <c r="D269" s="1">
        <v>8</v>
      </c>
      <c r="E269" s="1">
        <v>6</v>
      </c>
      <c r="F269" s="1">
        <f>SUMIF(Scores!$E$2:$E$820, 'Next Gen'!$A269, INDEX(Scores!$H$2:$P$820, 0, MATCH($B269, Scores!$H$1:$P$1, 0)))</f>
        <v>10</v>
      </c>
      <c r="G269" s="1" t="str">
        <f>INDEX(Scores!$B$2:$B$820, MATCH('Next Gen'!$A269, Scores!$E$2:$E$820, 0))</f>
        <v>mid</v>
      </c>
      <c r="H269" s="4">
        <f>INDEX(Scores!$D$2:$D$820, MATCH('Next Gen'!$A269, Scores!$E$2:$E$820, 0))</f>
        <v>45868</v>
      </c>
    </row>
    <row r="270" spans="1:8">
      <c r="A270" s="1">
        <v>186</v>
      </c>
      <c r="B270" s="1" t="s">
        <v>5</v>
      </c>
      <c r="C270" s="1">
        <v>9</v>
      </c>
      <c r="D270" s="1">
        <v>8</v>
      </c>
      <c r="E270" s="1">
        <v>3</v>
      </c>
      <c r="F270" s="1">
        <f>SUMIF(Scores!$E$2:$E$820, 'Next Gen'!$A270, INDEX(Scores!$H$2:$P$820, 0, MATCH($B270, Scores!$H$1:$P$1, 0)))</f>
        <v>7</v>
      </c>
      <c r="G270" s="1" t="str">
        <f>INDEX(Scores!$B$2:$B$820, MATCH('Next Gen'!$A270, Scores!$E$2:$E$820, 0))</f>
        <v>mid</v>
      </c>
      <c r="H270" s="4">
        <f>INDEX(Scores!$D$2:$D$820, MATCH('Next Gen'!$A270, Scores!$E$2:$E$820, 0))</f>
        <v>45868</v>
      </c>
    </row>
    <row r="271" spans="1:8">
      <c r="A271" s="1">
        <v>187</v>
      </c>
      <c r="B271" s="1" t="s">
        <v>4</v>
      </c>
      <c r="C271" s="1">
        <v>9</v>
      </c>
      <c r="D271" s="1">
        <v>9</v>
      </c>
      <c r="E271" s="1">
        <v>7</v>
      </c>
      <c r="F271" s="1">
        <f>SUMIF(Scores!$E$2:$E$820, 'Next Gen'!$A271, INDEX(Scores!$H$2:$P$820, 0, MATCH($B271, Scores!$H$1:$P$1, 0)))</f>
        <v>13</v>
      </c>
      <c r="G271" s="1" t="str">
        <f>INDEX(Scores!$B$2:$B$820, MATCH('Next Gen'!$A271, Scores!$E$2:$E$820, 0))</f>
        <v>mid</v>
      </c>
      <c r="H271" s="4">
        <f>INDEX(Scores!$D$2:$D$820, MATCH('Next Gen'!$A271, Scores!$E$2:$E$820, 0))</f>
        <v>45868</v>
      </c>
    </row>
    <row r="272" spans="1:8">
      <c r="A272" s="1">
        <v>187</v>
      </c>
      <c r="B272" s="1" t="s">
        <v>5</v>
      </c>
      <c r="C272" s="1">
        <v>9</v>
      </c>
      <c r="D272" s="1">
        <v>7</v>
      </c>
      <c r="E272" s="1">
        <v>4</v>
      </c>
      <c r="F272" s="1">
        <f>SUMIF(Scores!$E$2:$E$820, 'Next Gen'!$A272, INDEX(Scores!$H$2:$P$820, 0, MATCH($B272, Scores!$H$1:$P$1, 0)))</f>
        <v>4</v>
      </c>
      <c r="G272" s="1" t="str">
        <f>INDEX(Scores!$B$2:$B$820, MATCH('Next Gen'!$A272, Scores!$E$2:$E$820, 0))</f>
        <v>mid</v>
      </c>
      <c r="H272" s="4">
        <f>INDEX(Scores!$D$2:$D$820, MATCH('Next Gen'!$A272, Scores!$E$2:$E$820, 0))</f>
        <v>45868</v>
      </c>
    </row>
    <row r="273" spans="1:8">
      <c r="A273" s="1">
        <v>188</v>
      </c>
      <c r="B273" s="1" t="s">
        <v>4</v>
      </c>
      <c r="C273" s="1">
        <v>9</v>
      </c>
      <c r="D273" s="1">
        <v>9</v>
      </c>
      <c r="E273" s="1">
        <v>4</v>
      </c>
      <c r="F273" s="1">
        <f>SUMIF(Scores!$E$2:$E$820, 'Next Gen'!$A273, INDEX(Scores!$H$2:$P$820, 0, MATCH($B273, Scores!$H$1:$P$1, 0)))</f>
        <v>8</v>
      </c>
      <c r="G273" s="1" t="str">
        <f>INDEX(Scores!$B$2:$B$820, MATCH('Next Gen'!$A273, Scores!$E$2:$E$820, 0))</f>
        <v>mid</v>
      </c>
      <c r="H273" s="4">
        <f>INDEX(Scores!$D$2:$D$820, MATCH('Next Gen'!$A273, Scores!$E$2:$E$820, 0))</f>
        <v>45868</v>
      </c>
    </row>
    <row r="274" spans="1:8">
      <c r="A274" s="1">
        <v>188</v>
      </c>
      <c r="B274" s="1" t="s">
        <v>5</v>
      </c>
      <c r="C274" s="1">
        <v>9</v>
      </c>
      <c r="D274" s="1">
        <v>7</v>
      </c>
      <c r="E274" s="1">
        <v>3</v>
      </c>
      <c r="F274" s="1">
        <f>SUMIF(Scores!$E$2:$E$820, 'Next Gen'!$A274, INDEX(Scores!$H$2:$P$820, 0, MATCH($B274, Scores!$H$1:$P$1, 0)))</f>
        <v>6</v>
      </c>
      <c r="G274" s="1" t="str">
        <f>INDEX(Scores!$B$2:$B$820, MATCH('Next Gen'!$A274, Scores!$E$2:$E$820, 0))</f>
        <v>mid</v>
      </c>
      <c r="H274" s="4">
        <f>INDEX(Scores!$D$2:$D$820, MATCH('Next Gen'!$A274, Scores!$E$2:$E$820, 0))</f>
        <v>45868</v>
      </c>
    </row>
    <row r="275" spans="1:8">
      <c r="A275" s="1">
        <v>189</v>
      </c>
      <c r="B275" s="1" t="s">
        <v>4</v>
      </c>
      <c r="C275" s="1">
        <v>9</v>
      </c>
      <c r="D275" s="1">
        <v>9</v>
      </c>
      <c r="E275" s="1">
        <v>7</v>
      </c>
      <c r="F275" s="1">
        <f>SUMIF(Scores!$E$2:$E$820, 'Next Gen'!$A275, INDEX(Scores!$H$2:$P$820, 0, MATCH($B275, Scores!$H$1:$P$1, 0)))</f>
        <v>16</v>
      </c>
      <c r="G275" s="1" t="str">
        <f>INDEX(Scores!$B$2:$B$820, MATCH('Next Gen'!$A275, Scores!$E$2:$E$820, 0))</f>
        <v>mid</v>
      </c>
      <c r="H275" s="4">
        <f>INDEX(Scores!$D$2:$D$820, MATCH('Next Gen'!$A275, Scores!$E$2:$E$820, 0))</f>
        <v>45869</v>
      </c>
    </row>
    <row r="276" spans="1:8">
      <c r="A276" s="1">
        <v>189</v>
      </c>
      <c r="B276" s="1" t="s">
        <v>5</v>
      </c>
      <c r="C276" s="1">
        <v>9</v>
      </c>
      <c r="D276" s="1">
        <v>6</v>
      </c>
      <c r="E276" s="1">
        <v>2</v>
      </c>
      <c r="F276" s="1">
        <f>SUMIF(Scores!$E$2:$E$820, 'Next Gen'!$A276, INDEX(Scores!$H$2:$P$820, 0, MATCH($B276, Scores!$H$1:$P$1, 0)))</f>
        <v>6</v>
      </c>
      <c r="G276" s="1" t="str">
        <f>INDEX(Scores!$B$2:$B$820, MATCH('Next Gen'!$A276, Scores!$E$2:$E$820, 0))</f>
        <v>mid</v>
      </c>
      <c r="H276" s="4">
        <f>INDEX(Scores!$D$2:$D$820, MATCH('Next Gen'!$A276, Scores!$E$2:$E$820, 0))</f>
        <v>45869</v>
      </c>
    </row>
    <row r="277" spans="1:8">
      <c r="A277" s="1">
        <v>190</v>
      </c>
      <c r="B277" s="1" t="s">
        <v>4</v>
      </c>
      <c r="C277" s="1">
        <v>12</v>
      </c>
      <c r="D277" s="1">
        <v>12</v>
      </c>
      <c r="E277" s="1">
        <v>4</v>
      </c>
      <c r="F277" s="1">
        <f>SUMIF(Scores!$E$2:$E$820, 'Next Gen'!$A277, INDEX(Scores!$H$2:$P$820, 0, MATCH($B277, Scores!$H$1:$P$1, 0)))</f>
        <v>9</v>
      </c>
      <c r="G277" s="1" t="str">
        <f>INDEX(Scores!$B$2:$B$820, MATCH('Next Gen'!$A277, Scores!$E$2:$E$820, 0))</f>
        <v>mid</v>
      </c>
      <c r="H277" s="4">
        <f>INDEX(Scores!$D$2:$D$820, MATCH('Next Gen'!$A277, Scores!$E$2:$E$820, 0))</f>
        <v>45869</v>
      </c>
    </row>
    <row r="278" spans="1:8">
      <c r="A278" s="1">
        <v>190</v>
      </c>
      <c r="B278" s="1" t="s">
        <v>5</v>
      </c>
      <c r="C278" s="1">
        <v>12</v>
      </c>
      <c r="D278" s="1">
        <v>10</v>
      </c>
      <c r="E278" s="1">
        <v>3</v>
      </c>
      <c r="F278" s="1">
        <f>SUMIF(Scores!$E$2:$E$820, 'Next Gen'!$A278, INDEX(Scores!$H$2:$P$820, 0, MATCH($B278, Scores!$H$1:$P$1, 0)))</f>
        <v>5</v>
      </c>
      <c r="G278" s="1" t="str">
        <f>INDEX(Scores!$B$2:$B$820, MATCH('Next Gen'!$A278, Scores!$E$2:$E$820, 0))</f>
        <v>mid</v>
      </c>
      <c r="H278" s="4">
        <f>INDEX(Scores!$D$2:$D$820, MATCH('Next Gen'!$A278, Scores!$E$2:$E$820, 0))</f>
        <v>45869</v>
      </c>
    </row>
    <row r="279" spans="1:8">
      <c r="A279" s="1">
        <v>191</v>
      </c>
      <c r="B279" s="1" t="s">
        <v>5</v>
      </c>
      <c r="C279" s="1">
        <v>9</v>
      </c>
      <c r="D279" s="1">
        <v>9</v>
      </c>
      <c r="E279" s="1">
        <v>5</v>
      </c>
      <c r="F279" s="1">
        <f>SUMIF(Scores!$E$2:$E$820, 'Next Gen'!$A279, INDEX(Scores!$H$2:$P$820, 0, MATCH($B279, Scores!$H$1:$P$1, 0)))</f>
        <v>7</v>
      </c>
      <c r="G279" s="1" t="str">
        <f>INDEX(Scores!$B$2:$B$820, MATCH('Next Gen'!$A280, Scores!$E$2:$E$820, 0))</f>
        <v>mid</v>
      </c>
      <c r="H279" s="4">
        <f>INDEX(Scores!$D$2:$D$820, MATCH('Next Gen'!$A280, Scores!$E$2:$E$820, 0))</f>
        <v>45869</v>
      </c>
    </row>
    <row r="280" spans="1:8">
      <c r="A280" s="1">
        <v>191</v>
      </c>
      <c r="B280" s="1" t="s">
        <v>4</v>
      </c>
      <c r="C280" s="1">
        <v>9</v>
      </c>
      <c r="D280" s="1">
        <v>9</v>
      </c>
      <c r="E280" s="1">
        <v>3</v>
      </c>
      <c r="F280" s="1">
        <f>SUMIF(Scores!$E$2:$E$820, 'Next Gen'!$A280, INDEX(Scores!$H$2:$P$820, 0, MATCH($B280, Scores!$H$1:$P$1, 0)))</f>
        <v>5</v>
      </c>
      <c r="G280" s="1" t="str">
        <f>INDEX(Scores!$B$2:$B$820, MATCH('Next Gen'!$A279, Scores!$E$2:$E$820, 0))</f>
        <v>mid</v>
      </c>
      <c r="H280" s="4">
        <f>INDEX(Scores!$D$2:$D$820, MATCH('Next Gen'!$A279, Scores!$E$2:$E$820, 0))</f>
        <v>45869</v>
      </c>
    </row>
    <row r="281" spans="1:8">
      <c r="A281" s="1">
        <v>192</v>
      </c>
      <c r="B281" s="1" t="s">
        <v>5</v>
      </c>
      <c r="C281" s="1">
        <v>9</v>
      </c>
      <c r="D281" s="1">
        <v>7</v>
      </c>
      <c r="E281" s="1">
        <v>6</v>
      </c>
      <c r="F281" s="1">
        <f>SUMIF(Scores!$E$2:$E$820, 'Next Gen'!$A281, INDEX(Scores!$H$2:$P$820, 0, MATCH($B281, Scores!$H$1:$P$1, 0)))</f>
        <v>9</v>
      </c>
      <c r="G281" s="1" t="str">
        <f>INDEX(Scores!$B$2:$B$820, MATCH('Next Gen'!$A282, Scores!$E$2:$E$820, 0))</f>
        <v>high</v>
      </c>
      <c r="H281" s="4">
        <f>INDEX(Scores!$D$2:$D$820, MATCH('Next Gen'!$A282, Scores!$E$2:$E$820, 0))</f>
        <v>45870</v>
      </c>
    </row>
    <row r="282" spans="1:8">
      <c r="A282" s="1">
        <v>192</v>
      </c>
      <c r="B282" s="1" t="s">
        <v>4</v>
      </c>
      <c r="C282" s="1">
        <v>9</v>
      </c>
      <c r="D282" s="1">
        <v>8</v>
      </c>
      <c r="E282" s="1">
        <v>4</v>
      </c>
      <c r="F282" s="1">
        <f>SUMIF(Scores!$E$2:$E$820, 'Next Gen'!$A282, INDEX(Scores!$H$2:$P$820, 0, MATCH($B282, Scores!$H$1:$P$1, 0)))</f>
        <v>8</v>
      </c>
      <c r="G282" s="1" t="str">
        <f>INDEX(Scores!$B$2:$B$820, MATCH('Next Gen'!$A281, Scores!$E$2:$E$820, 0))</f>
        <v>high</v>
      </c>
      <c r="H282" s="4">
        <f>INDEX(Scores!$D$2:$D$820, MATCH('Next Gen'!$A281, Scores!$E$2:$E$820, 0))</f>
        <v>45870</v>
      </c>
    </row>
    <row r="283" spans="1:8">
      <c r="A283" s="1">
        <v>193</v>
      </c>
      <c r="B283" s="1" t="s">
        <v>4</v>
      </c>
      <c r="C283" s="1">
        <v>9</v>
      </c>
      <c r="D283" s="1">
        <v>9</v>
      </c>
      <c r="E283" s="1">
        <v>4</v>
      </c>
      <c r="F283" s="1">
        <f>SUMIF(Scores!$E$2:$E$820, 'Next Gen'!$A283, INDEX(Scores!$H$2:$P$820, 0, MATCH($B283, Scores!$H$1:$P$1, 0)))</f>
        <v>8</v>
      </c>
      <c r="G283" s="1" t="str">
        <f>INDEX(Scores!$B$2:$B$820, MATCH('Next Gen'!$A283, Scores!$E$2:$E$820, 0))</f>
        <v>mid</v>
      </c>
      <c r="H283" s="4">
        <f>INDEX(Scores!$D$2:$D$820, MATCH('Next Gen'!$A283, Scores!$E$2:$E$820, 0))</f>
        <v>45870</v>
      </c>
    </row>
    <row r="284" spans="1:8">
      <c r="A284" s="1">
        <v>193</v>
      </c>
      <c r="B284" s="1" t="s">
        <v>5</v>
      </c>
      <c r="C284" s="1">
        <v>9</v>
      </c>
      <c r="D284" s="1">
        <v>5</v>
      </c>
      <c r="E284" s="1">
        <v>4</v>
      </c>
      <c r="F284" s="1">
        <f>SUMIF(Scores!$E$2:$E$820, 'Next Gen'!$A284, INDEX(Scores!$H$2:$P$820, 0, MATCH($B284, Scores!$H$1:$P$1, 0)))</f>
        <v>10</v>
      </c>
      <c r="G284" s="1" t="str">
        <f>INDEX(Scores!$B$2:$B$820, MATCH('Next Gen'!$A284, Scores!$E$2:$E$820, 0))</f>
        <v>mid</v>
      </c>
      <c r="H284" s="4">
        <f>INDEX(Scores!$D$2:$D$820, MATCH('Next Gen'!$A284, Scores!$E$2:$E$820, 0))</f>
        <v>45870</v>
      </c>
    </row>
    <row r="285" spans="1:8">
      <c r="A285" s="1">
        <v>194</v>
      </c>
      <c r="B285" s="1" t="s">
        <v>4</v>
      </c>
      <c r="C285" s="1">
        <v>9</v>
      </c>
      <c r="D285" s="1">
        <v>9</v>
      </c>
      <c r="E285" s="1">
        <v>4</v>
      </c>
      <c r="F285" s="1">
        <f>SUMIF(Scores!$E$2:$E$820, 'Next Gen'!$A285, INDEX(Scores!$H$2:$P$820, 0, MATCH($B285, Scores!$H$1:$P$1, 0)))</f>
        <v>9</v>
      </c>
      <c r="G285" s="1" t="str">
        <f>INDEX(Scores!$B$2:$B$820, MATCH('Next Gen'!$A285, Scores!$E$2:$E$820, 0))</f>
        <v>mid</v>
      </c>
      <c r="H285" s="4">
        <f>INDEX(Scores!$D$2:$D$820, MATCH('Next Gen'!$A285, Scores!$E$2:$E$820, 0))</f>
        <v>45870</v>
      </c>
    </row>
    <row r="286" spans="1:8">
      <c r="A286" s="1">
        <v>194</v>
      </c>
      <c r="B286" s="1" t="s">
        <v>5</v>
      </c>
      <c r="C286" s="1">
        <v>9</v>
      </c>
      <c r="D286" s="1">
        <v>9</v>
      </c>
      <c r="E286" s="1">
        <v>4</v>
      </c>
      <c r="F286" s="1">
        <f>SUMIF(Scores!$E$2:$E$820, 'Next Gen'!$A286, INDEX(Scores!$H$2:$P$820, 0, MATCH($B286, Scores!$H$1:$P$1, 0)))</f>
        <v>7</v>
      </c>
      <c r="G286" s="1" t="str">
        <f>INDEX(Scores!$B$2:$B$820, MATCH('Next Gen'!$A286, Scores!$E$2:$E$820, 0))</f>
        <v>mid</v>
      </c>
      <c r="H286" s="4">
        <f>INDEX(Scores!$D$2:$D$820, MATCH('Next Gen'!$A286, Scores!$E$2:$E$820, 0))</f>
        <v>45870</v>
      </c>
    </row>
    <row r="287" spans="1:8">
      <c r="A287" s="1">
        <v>195</v>
      </c>
      <c r="B287" s="1" t="s">
        <v>4</v>
      </c>
      <c r="C287" s="1">
        <v>9</v>
      </c>
      <c r="D287" s="1">
        <v>9</v>
      </c>
      <c r="E287" s="1">
        <v>3</v>
      </c>
      <c r="F287" s="1">
        <f>SUMIF(Scores!$E$2:$E$820, 'Next Gen'!$A287, INDEX(Scores!$H$2:$P$820, 0, MATCH($B287, Scores!$H$1:$P$1, 0)))</f>
        <v>6</v>
      </c>
      <c r="G287" s="1" t="str">
        <f>INDEX(Scores!$B$2:$B$820, MATCH('Next Gen'!$A287, Scores!$E$2:$E$820, 0))</f>
        <v>mid</v>
      </c>
      <c r="H287" s="4">
        <f>INDEX(Scores!$D$2:$D$820, MATCH('Next Gen'!$A287, Scores!$E$2:$E$820, 0))</f>
        <v>45873</v>
      </c>
    </row>
    <row r="288" spans="1:8">
      <c r="A288" s="1">
        <v>195</v>
      </c>
      <c r="B288" s="1" t="s">
        <v>5</v>
      </c>
      <c r="C288" s="1">
        <v>9</v>
      </c>
      <c r="D288" s="1">
        <v>8</v>
      </c>
      <c r="E288" s="1">
        <v>3</v>
      </c>
      <c r="F288" s="1">
        <f>SUMIF(Scores!$E$2:$E$820, 'Next Gen'!$A288, INDEX(Scores!$H$2:$P$820, 0, MATCH($B288, Scores!$H$1:$P$1, 0)))</f>
        <v>5</v>
      </c>
      <c r="G288" s="1" t="str">
        <f>INDEX(Scores!$B$2:$B$820, MATCH('Next Gen'!$A288, Scores!$E$2:$E$820, 0))</f>
        <v>mid</v>
      </c>
      <c r="H288" s="4">
        <f>INDEX(Scores!$D$2:$D$820, MATCH('Next Gen'!$A288, Scores!$E$2:$E$820, 0))</f>
        <v>45873</v>
      </c>
    </row>
    <row r="289" spans="1:8">
      <c r="A289" s="1">
        <v>196</v>
      </c>
      <c r="B289" s="1" t="s">
        <v>4</v>
      </c>
      <c r="C289" s="1">
        <v>9</v>
      </c>
      <c r="D289" s="1">
        <v>9</v>
      </c>
      <c r="E289" s="1">
        <v>6</v>
      </c>
      <c r="F289" s="1">
        <f>SUMIF(Scores!$E$2:$E$820, 'Next Gen'!$A289, INDEX(Scores!$H$2:$P$820, 0, MATCH($B289, Scores!$H$1:$P$1, 0)))</f>
        <v>13</v>
      </c>
      <c r="G289" s="1" t="str">
        <f>INDEX(Scores!$B$2:$B$820, MATCH('Next Gen'!$A289, Scores!$E$2:$E$820, 0))</f>
        <v>mid</v>
      </c>
      <c r="H289" s="4">
        <f>INDEX(Scores!$D$2:$D$820, MATCH('Next Gen'!$A289, Scores!$E$2:$E$820, 0))</f>
        <v>45873</v>
      </c>
    </row>
    <row r="290" spans="1:8">
      <c r="A290" s="1">
        <v>196</v>
      </c>
      <c r="B290" s="1" t="s">
        <v>5</v>
      </c>
      <c r="C290" s="1">
        <v>9</v>
      </c>
      <c r="D290" s="1">
        <v>6</v>
      </c>
      <c r="E290" s="1">
        <v>3</v>
      </c>
      <c r="F290" s="1">
        <f>SUMIF(Scores!$E$2:$E$820, 'Next Gen'!$A290, INDEX(Scores!$H$2:$P$820, 0, MATCH($B290, Scores!$H$1:$P$1, 0)))</f>
        <v>3</v>
      </c>
      <c r="G290" s="1" t="str">
        <f>INDEX(Scores!$B$2:$B$820, MATCH('Next Gen'!$A290, Scores!$E$2:$E$820, 0))</f>
        <v>mid</v>
      </c>
      <c r="H290" s="4">
        <f>INDEX(Scores!$D$2:$D$820, MATCH('Next Gen'!$A290, Scores!$E$2:$E$820, 0))</f>
        <v>45873</v>
      </c>
    </row>
    <row r="291" spans="1:8">
      <c r="A291" s="1">
        <v>197</v>
      </c>
      <c r="B291" s="1" t="s">
        <v>4</v>
      </c>
      <c r="C291" s="1">
        <v>9</v>
      </c>
      <c r="D291" s="1">
        <v>9</v>
      </c>
      <c r="E291" s="1">
        <v>8</v>
      </c>
      <c r="F291" s="1">
        <f>SUMIF(Scores!$E$2:$E$820, 'Next Gen'!$A291, INDEX(Scores!$H$2:$P$820, 0, MATCH($B291, Scores!$H$1:$P$1, 0)))</f>
        <v>18</v>
      </c>
      <c r="G291" s="1" t="str">
        <f>INDEX(Scores!$B$2:$B$820, MATCH('Next Gen'!$A291, Scores!$E$2:$E$820, 0))</f>
        <v>mid</v>
      </c>
      <c r="H291" s="4">
        <f>INDEX(Scores!$D$2:$D$820, MATCH('Next Gen'!$A291, Scores!$E$2:$E$820, 0))</f>
        <v>45875</v>
      </c>
    </row>
    <row r="292" spans="1:8">
      <c r="A292" s="1">
        <v>197</v>
      </c>
      <c r="B292" s="1" t="s">
        <v>5</v>
      </c>
      <c r="C292" s="1">
        <v>9</v>
      </c>
      <c r="D292" s="1">
        <v>9</v>
      </c>
      <c r="E292" s="1">
        <v>6</v>
      </c>
      <c r="F292" s="1">
        <f>SUMIF(Scores!$E$2:$E$820, 'Next Gen'!$A292, INDEX(Scores!$H$2:$P$820, 0, MATCH($B292, Scores!$H$1:$P$1, 0)))</f>
        <v>11</v>
      </c>
      <c r="G292" s="1" t="str">
        <f>INDEX(Scores!$B$2:$B$820, MATCH('Next Gen'!$A292, Scores!$E$2:$E$820, 0))</f>
        <v>mid</v>
      </c>
      <c r="H292" s="4">
        <f>INDEX(Scores!$D$2:$D$820, MATCH('Next Gen'!$A292, Scores!$E$2:$E$820, 0))</f>
        <v>45875</v>
      </c>
    </row>
    <row r="293" spans="1:8">
      <c r="A293" s="1">
        <v>198</v>
      </c>
      <c r="B293" s="1" t="s">
        <v>5</v>
      </c>
      <c r="C293" s="1">
        <v>9</v>
      </c>
      <c r="D293" s="1">
        <v>9</v>
      </c>
      <c r="E293" s="1">
        <v>7</v>
      </c>
      <c r="F293" s="1">
        <f>SUMIF(Scores!$E$2:$E$820, 'Next Gen'!$A293, INDEX(Scores!$H$2:$P$820, 0, MATCH($B293, Scores!$H$1:$P$1, 0)))</f>
        <v>16</v>
      </c>
      <c r="G293" s="1" t="str">
        <f>INDEX(Scores!$B$2:$B$820, MATCH('Next Gen'!$A294, Scores!$E$2:$E$820, 0))</f>
        <v>mid</v>
      </c>
      <c r="H293" s="4">
        <f>INDEX(Scores!$D$2:$D$820, MATCH('Next Gen'!$A294, Scores!$E$2:$E$820, 0))</f>
        <v>45875</v>
      </c>
    </row>
    <row r="294" spans="1:8">
      <c r="A294" s="1">
        <v>198</v>
      </c>
      <c r="B294" s="1" t="s">
        <v>4</v>
      </c>
      <c r="C294" s="1">
        <v>9</v>
      </c>
      <c r="D294" s="1">
        <v>9</v>
      </c>
      <c r="E294" s="1">
        <v>6</v>
      </c>
      <c r="F294" s="1">
        <f>SUMIF(Scores!$E$2:$E$820, 'Next Gen'!$A294, INDEX(Scores!$H$2:$P$820, 0, MATCH($B294, Scores!$H$1:$P$1, 0)))</f>
        <v>9</v>
      </c>
      <c r="G294" s="1" t="str">
        <f>INDEX(Scores!$B$2:$B$820, MATCH('Next Gen'!$A293, Scores!$E$2:$E$820, 0))</f>
        <v>mid</v>
      </c>
      <c r="H294" s="4">
        <f>INDEX(Scores!$D$2:$D$820, MATCH('Next Gen'!$A293, Scores!$E$2:$E$820, 0))</f>
        <v>45875</v>
      </c>
    </row>
    <row r="295" spans="1:8">
      <c r="A295" s="1">
        <v>199</v>
      </c>
      <c r="B295" s="1" t="s">
        <v>5</v>
      </c>
      <c r="C295" s="1">
        <v>9</v>
      </c>
      <c r="D295" s="1">
        <v>5</v>
      </c>
      <c r="E295" s="1">
        <v>5</v>
      </c>
      <c r="F295" s="1">
        <f>SUMIF(Scores!$E$2:$E$820, 'Next Gen'!$A295, INDEX(Scores!$H$2:$P$820, 0, MATCH($B295, Scores!$H$1:$P$1, 0)))</f>
        <v>7</v>
      </c>
      <c r="G295" s="1" t="str">
        <f>INDEX(Scores!$B$2:$B$820, MATCH('Next Gen'!$A296, Scores!$E$2:$E$820, 0))</f>
        <v>mid</v>
      </c>
      <c r="H295" s="4">
        <f>INDEX(Scores!$D$2:$D$820, MATCH('Next Gen'!$A296, Scores!$E$2:$E$820, 0))</f>
        <v>45875</v>
      </c>
    </row>
    <row r="296" spans="1:8">
      <c r="A296" s="1">
        <v>199</v>
      </c>
      <c r="B296" s="1" t="s">
        <v>4</v>
      </c>
      <c r="C296" s="1">
        <v>9</v>
      </c>
      <c r="D296" s="1">
        <v>9</v>
      </c>
      <c r="E296" s="1">
        <v>3</v>
      </c>
      <c r="F296" s="1">
        <f>SUMIF(Scores!$E$2:$E$820, 'Next Gen'!$A296, INDEX(Scores!$H$2:$P$820, 0, MATCH($B296, Scores!$H$1:$P$1, 0)))</f>
        <v>9</v>
      </c>
      <c r="G296" s="1" t="str">
        <f>INDEX(Scores!$B$2:$B$820, MATCH('Next Gen'!$A295, Scores!$E$2:$E$820, 0))</f>
        <v>mid</v>
      </c>
      <c r="H296" s="4">
        <f>INDEX(Scores!$D$2:$D$820, MATCH('Next Gen'!$A295, Scores!$E$2:$E$820, 0))</f>
        <v>45875</v>
      </c>
    </row>
    <row r="297" spans="1:8">
      <c r="A297" s="1">
        <v>200</v>
      </c>
      <c r="B297" s="1" t="s">
        <v>5</v>
      </c>
      <c r="C297" s="1">
        <v>9</v>
      </c>
      <c r="D297" s="1">
        <v>8</v>
      </c>
      <c r="E297" s="1">
        <v>4</v>
      </c>
      <c r="F297" s="1">
        <f>SUMIF(Scores!$E$2:$E$820, 'Next Gen'!$A297, INDEX(Scores!$H$2:$P$820, 0, MATCH($B297, Scores!$H$1:$P$1, 0)))</f>
        <v>7</v>
      </c>
      <c r="G297" s="1" t="str">
        <f>INDEX(Scores!$B$2:$B$820, MATCH('Next Gen'!$A298, Scores!$E$2:$E$820, 0))</f>
        <v>mid</v>
      </c>
      <c r="H297" s="4">
        <f>INDEX(Scores!$D$2:$D$820, MATCH('Next Gen'!$A298, Scores!$E$2:$E$820, 0))</f>
        <v>45876</v>
      </c>
    </row>
    <row r="298" spans="1:8">
      <c r="A298" s="1">
        <v>200</v>
      </c>
      <c r="B298" s="1" t="s">
        <v>4</v>
      </c>
      <c r="C298" s="1">
        <v>9</v>
      </c>
      <c r="D298" s="1">
        <v>9</v>
      </c>
      <c r="E298" s="1">
        <v>6</v>
      </c>
      <c r="F298" s="1">
        <f>SUMIF(Scores!$E$2:$E$820, 'Next Gen'!$A298, INDEX(Scores!$H$2:$P$820, 0, MATCH($B298, Scores!$H$1:$P$1, 0)))</f>
        <v>14</v>
      </c>
      <c r="G298" s="1" t="str">
        <f>INDEX(Scores!$B$2:$B$820, MATCH('Next Gen'!$A297, Scores!$E$2:$E$820, 0))</f>
        <v>mid</v>
      </c>
      <c r="H298" s="4">
        <f>INDEX(Scores!$D$2:$D$820, MATCH('Next Gen'!$A297, Scores!$E$2:$E$820, 0))</f>
        <v>45876</v>
      </c>
    </row>
    <row r="299" spans="1:8">
      <c r="A299" s="1">
        <v>201</v>
      </c>
      <c r="B299" s="1" t="s">
        <v>5</v>
      </c>
      <c r="C299" s="1">
        <v>9</v>
      </c>
      <c r="D299" s="1">
        <v>7</v>
      </c>
      <c r="E299" s="1">
        <v>3</v>
      </c>
      <c r="F299" s="1">
        <f>SUMIF(Scores!$E$2:$E$820, 'Next Gen'!$A299, INDEX(Scores!$H$2:$P$820, 0, MATCH($B299, Scores!$H$1:$P$1, 0)))</f>
        <v>6</v>
      </c>
      <c r="G299" s="1">
        <f>INDEX(Scores!$B$2:$B$820, MATCH('Next Gen'!$A299, Scores!$E$2:$E$820, 0))</f>
        <v>256</v>
      </c>
      <c r="H299" s="4">
        <f>INDEX(Scores!$D$2:$D$820, MATCH('Next Gen'!$A299, Scores!$E$2:$E$820, 0))</f>
        <v>45880</v>
      </c>
    </row>
    <row r="300" spans="1:8">
      <c r="A300" s="1">
        <v>201</v>
      </c>
      <c r="B300" s="1" t="s">
        <v>4</v>
      </c>
      <c r="C300" s="1">
        <v>9</v>
      </c>
      <c r="D300" s="1">
        <v>9</v>
      </c>
      <c r="E300" s="1">
        <v>3</v>
      </c>
      <c r="F300" s="1">
        <f>SUMIF(Scores!$E$2:$E$820, 'Next Gen'!$A300, INDEX(Scores!$H$2:$P$820, 0, MATCH($B300, Scores!$H$1:$P$1, 0)))</f>
        <v>9</v>
      </c>
      <c r="G300" s="1">
        <f>INDEX(Scores!$B$2:$B$820, MATCH('Next Gen'!$A300, Scores!$E$2:$E$820, 0))</f>
        <v>256</v>
      </c>
      <c r="H300" s="4">
        <f>INDEX(Scores!$D$2:$D$820, MATCH('Next Gen'!$A300, Scores!$E$2:$E$820, 0))</f>
        <v>45880</v>
      </c>
    </row>
    <row r="301" spans="1:8">
      <c r="A301" s="1">
        <v>202</v>
      </c>
      <c r="B301" s="1" t="s">
        <v>4</v>
      </c>
      <c r="C301" s="1">
        <v>9</v>
      </c>
      <c r="D301" s="1">
        <v>9</v>
      </c>
      <c r="E301" s="1">
        <v>6</v>
      </c>
      <c r="F301" s="1">
        <f>SUMIF(Scores!$E$2:$E$820, 'Next Gen'!$A301, INDEX(Scores!$H$2:$P$820, 0, MATCH($B301, Scores!$H$1:$P$1, 0)))</f>
        <v>19</v>
      </c>
      <c r="G301" s="1">
        <f>INDEX(Scores!$B$2:$B$820, MATCH('Next Gen'!$A301, Scores!$E$2:$E$820, 0))</f>
        <v>256</v>
      </c>
      <c r="H301" s="4">
        <f>INDEX(Scores!$D$2:$D$820, MATCH('Next Gen'!$A301, Scores!$E$2:$E$820, 0))</f>
        <v>45881</v>
      </c>
    </row>
    <row r="302" spans="1:8">
      <c r="A302" s="1">
        <v>202</v>
      </c>
      <c r="B302" s="1" t="s">
        <v>5</v>
      </c>
      <c r="C302" s="1">
        <v>9</v>
      </c>
      <c r="D302" s="1">
        <v>9</v>
      </c>
      <c r="E302" s="1">
        <v>8</v>
      </c>
      <c r="F302" s="1">
        <f>SUMIF(Scores!$E$2:$E$820, 'Next Gen'!$A302, INDEX(Scores!$H$2:$P$820, 0, MATCH($B302, Scores!$H$1:$P$1, 0)))</f>
        <v>12</v>
      </c>
      <c r="G302" s="1">
        <f>INDEX(Scores!$B$2:$B$820, MATCH('Next Gen'!$A302, Scores!$E$2:$E$820, 0))</f>
        <v>256</v>
      </c>
      <c r="H302" s="4">
        <f>INDEX(Scores!$D$2:$D$820, MATCH('Next Gen'!$A302, Scores!$E$2:$E$820, 0))</f>
        <v>45881</v>
      </c>
    </row>
    <row r="303" spans="1:8">
      <c r="A303" s="1">
        <v>202</v>
      </c>
      <c r="B303" s="1" t="s">
        <v>7</v>
      </c>
      <c r="C303" s="1">
        <v>9</v>
      </c>
      <c r="D303" s="1">
        <v>6</v>
      </c>
      <c r="E303" s="1">
        <v>4</v>
      </c>
      <c r="F303" s="1">
        <f>SUMIF(Scores!$E$2:$E$820, 'Next Gen'!$A303, INDEX(Scores!$H$2:$P$820, 0, MATCH($B303, Scores!$H$1:$P$1, 0)))</f>
        <v>4</v>
      </c>
      <c r="G303" s="1">
        <f>INDEX(Scores!$B$2:$B$820, MATCH('Next Gen'!$A303, Scores!$E$2:$E$820, 0))</f>
        <v>256</v>
      </c>
      <c r="H303" s="4">
        <f>INDEX(Scores!$D$2:$D$820, MATCH('Next Gen'!$A303, Scores!$E$2:$E$820, 0))</f>
        <v>45881</v>
      </c>
    </row>
    <row r="304" spans="1:8">
      <c r="A304" s="1">
        <v>203</v>
      </c>
      <c r="B304" s="1" t="s">
        <v>4</v>
      </c>
      <c r="C304" s="1">
        <v>9</v>
      </c>
      <c r="D304" s="1">
        <v>9</v>
      </c>
      <c r="E304" s="1">
        <v>8</v>
      </c>
      <c r="F304" s="1">
        <f>SUMIF(Scores!$E$2:$E$820, 'Next Gen'!$A304, INDEX(Scores!$H$2:$P$820, 0, MATCH($B304, Scores!$H$1:$P$1, 0)))</f>
        <v>18</v>
      </c>
      <c r="G304" s="1">
        <f>INDEX(Scores!$B$2:$B$820, MATCH('Next Gen'!$A304, Scores!$E$2:$E$820, 0))</f>
        <v>256</v>
      </c>
      <c r="H304" s="4">
        <f>INDEX(Scores!$D$2:$D$820, MATCH('Next Gen'!$A304, Scores!$E$2:$E$820, 0))</f>
        <v>45881</v>
      </c>
    </row>
    <row r="305" spans="1:8">
      <c r="A305" s="1">
        <v>203</v>
      </c>
      <c r="B305" s="1" t="s">
        <v>5</v>
      </c>
      <c r="C305" s="1">
        <v>9</v>
      </c>
      <c r="D305" s="1">
        <v>9</v>
      </c>
      <c r="E305" s="1">
        <v>7</v>
      </c>
      <c r="F305" s="1">
        <f>SUMIF(Scores!$E$2:$E$820, 'Next Gen'!$A305, INDEX(Scores!$H$2:$P$820, 0, MATCH($B305, Scores!$H$1:$P$1, 0)))</f>
        <v>13</v>
      </c>
      <c r="G305" s="1">
        <f>INDEX(Scores!$B$2:$B$820, MATCH('Next Gen'!$A305, Scores!$E$2:$E$820, 0))</f>
        <v>256</v>
      </c>
      <c r="H305" s="4">
        <f>INDEX(Scores!$D$2:$D$820, MATCH('Next Gen'!$A305, Scores!$E$2:$E$820, 0))</f>
        <v>45881</v>
      </c>
    </row>
    <row r="306" spans="1:8">
      <c r="A306" s="1">
        <v>203</v>
      </c>
      <c r="B306" s="1" t="s">
        <v>23</v>
      </c>
      <c r="C306" s="1">
        <v>9</v>
      </c>
      <c r="D306" s="1">
        <v>6</v>
      </c>
      <c r="E306" s="1">
        <v>2</v>
      </c>
      <c r="F306" s="1">
        <f>SUMIF(Scores!$E$2:$E$820, 'Next Gen'!$A306, INDEX(Scores!$H$2:$P$820, 0, MATCH($B306, Scores!$H$1:$P$1, 0)))</f>
        <v>1</v>
      </c>
      <c r="G306" s="1">
        <f>INDEX(Scores!$B$2:$B$820, MATCH('Next Gen'!$A306, Scores!$E$2:$E$820, 0))</f>
        <v>256</v>
      </c>
      <c r="H306" s="4">
        <f>INDEX(Scores!$D$2:$D$820, MATCH('Next Gen'!$A306, Scores!$E$2:$E$820, 0))</f>
        <v>45881</v>
      </c>
    </row>
    <row r="307" spans="1:8">
      <c r="A307" s="1">
        <v>204</v>
      </c>
      <c r="B307" s="1" t="s">
        <v>4</v>
      </c>
      <c r="C307" s="1">
        <v>12</v>
      </c>
      <c r="D307" s="1">
        <v>12</v>
      </c>
      <c r="E307" s="1">
        <v>8</v>
      </c>
      <c r="F307" s="1">
        <f>SUMIF(Scores!$E$2:$E$820, 'Next Gen'!$A307, INDEX(Scores!$H$2:$P$820, 0, MATCH($B307, Scores!$H$1:$P$1, 0)))</f>
        <v>18</v>
      </c>
      <c r="G307" s="1">
        <f>INDEX(Scores!$B$2:$B$820, MATCH('Next Gen'!$A307, Scores!$E$2:$E$820, 0))</f>
        <v>256</v>
      </c>
      <c r="H307" s="4">
        <f>INDEX(Scores!$D$2:$D$820, MATCH('Next Gen'!$A307, Scores!$E$2:$E$820, 0))</f>
        <v>45882</v>
      </c>
    </row>
    <row r="308" spans="1:8">
      <c r="A308" s="1">
        <v>204</v>
      </c>
      <c r="B308" s="1" t="s">
        <v>5</v>
      </c>
      <c r="C308" s="1">
        <v>12</v>
      </c>
      <c r="D308" s="1">
        <v>10</v>
      </c>
      <c r="E308" s="1">
        <v>9</v>
      </c>
      <c r="F308" s="1">
        <f>SUMIF(Scores!$E$2:$E$820, 'Next Gen'!$A308, INDEX(Scores!$H$2:$P$820, 0, MATCH($B308, Scores!$H$1:$P$1, 0)))</f>
        <v>14</v>
      </c>
      <c r="G308" s="1">
        <f>INDEX(Scores!$B$2:$B$820, MATCH('Next Gen'!$A308, Scores!$E$2:$E$820, 0))</f>
        <v>256</v>
      </c>
      <c r="H308" s="4">
        <f>INDEX(Scores!$D$2:$D$820, MATCH('Next Gen'!$A308, Scores!$E$2:$E$820, 0))</f>
        <v>45882</v>
      </c>
    </row>
    <row r="309" spans="1:8">
      <c r="A309" s="1">
        <v>205</v>
      </c>
      <c r="B309" s="1" t="s">
        <v>4</v>
      </c>
      <c r="C309" s="1">
        <v>9</v>
      </c>
      <c r="D309" s="1">
        <v>7</v>
      </c>
      <c r="E309" s="1">
        <v>4</v>
      </c>
      <c r="F309" s="1">
        <f>SUMIF(Scores!$E$2:$E$820, 'Next Gen'!$A309, INDEX(Scores!$H$2:$P$820, 0, MATCH($B309, Scores!$H$1:$P$1, 0)))</f>
        <v>8</v>
      </c>
      <c r="G309" s="1">
        <f>INDEX(Scores!$B$2:$B$820, MATCH('Next Gen'!$A309, Scores!$E$2:$E$820, 0))</f>
        <v>256</v>
      </c>
      <c r="H309" s="4">
        <f>INDEX(Scores!$D$2:$D$820, MATCH('Next Gen'!$A309, Scores!$E$2:$E$820, 0))</f>
        <v>45883</v>
      </c>
    </row>
    <row r="310" spans="1:8">
      <c r="A310" s="1">
        <v>205</v>
      </c>
      <c r="B310" s="1" t="s">
        <v>5</v>
      </c>
      <c r="C310" s="1">
        <v>9</v>
      </c>
      <c r="D310" s="1">
        <v>6</v>
      </c>
      <c r="E310" s="1">
        <v>5</v>
      </c>
      <c r="F310" s="1">
        <f>SUMIF(Scores!$E$2:$E$820, 'Next Gen'!$A310, INDEX(Scores!$H$2:$P$820, 0, MATCH($B310, Scores!$H$1:$P$1, 0)))</f>
        <v>9</v>
      </c>
      <c r="G310" s="1">
        <f>INDEX(Scores!$B$2:$B$820, MATCH('Next Gen'!$A310, Scores!$E$2:$E$820, 0))</f>
        <v>256</v>
      </c>
      <c r="H310" s="4">
        <f>INDEX(Scores!$D$2:$D$820, MATCH('Next Gen'!$A310, Scores!$E$2:$E$820, 0))</f>
        <v>45883</v>
      </c>
    </row>
    <row r="311" spans="1:8">
      <c r="A311" s="1">
        <v>206</v>
      </c>
      <c r="B311" s="1" t="s">
        <v>4</v>
      </c>
      <c r="C311" s="1">
        <v>9</v>
      </c>
      <c r="D311" s="1">
        <v>8</v>
      </c>
      <c r="E311" s="1">
        <v>5</v>
      </c>
      <c r="F311" s="1">
        <f>SUMIF(Scores!$E$2:$E$820, 'Next Gen'!$A311, INDEX(Scores!$H$2:$P$820, 0, MATCH($B311, Scores!$H$1:$P$1, 0)))</f>
        <v>8</v>
      </c>
      <c r="G311" s="1">
        <f>INDEX(Scores!$B$2:$B$820, MATCH('Next Gen'!$A311, Scores!$E$2:$E$820, 0))</f>
        <v>256</v>
      </c>
      <c r="H311" s="4">
        <f>INDEX(Scores!$D$2:$D$820, MATCH('Next Gen'!$A311, Scores!$E$2:$E$820, 0))</f>
        <v>45887</v>
      </c>
    </row>
    <row r="312" spans="1:8">
      <c r="A312" s="1">
        <v>206</v>
      </c>
      <c r="B312" s="1" t="s">
        <v>5</v>
      </c>
      <c r="C312" s="1">
        <v>9</v>
      </c>
      <c r="D312" s="1">
        <v>6</v>
      </c>
      <c r="E312" s="1">
        <v>2</v>
      </c>
      <c r="F312" s="1">
        <f>SUMIF(Scores!$E$2:$E$820, 'Next Gen'!$A312, INDEX(Scores!$H$2:$P$820, 0, MATCH($B312, Scores!$H$1:$P$1, 0)))</f>
        <v>3</v>
      </c>
      <c r="G312" s="1">
        <f>INDEX(Scores!$B$2:$B$820, MATCH('Next Gen'!$A312, Scores!$E$2:$E$820, 0))</f>
        <v>256</v>
      </c>
      <c r="H312" s="4">
        <f>INDEX(Scores!$D$2:$D$820, MATCH('Next Gen'!$A312, Scores!$E$2:$E$820, 0))</f>
        <v>45887</v>
      </c>
    </row>
    <row r="313" spans="1:8">
      <c r="A313" s="1">
        <v>207</v>
      </c>
      <c r="B313" s="1" t="s">
        <v>4</v>
      </c>
      <c r="C313" s="1">
        <v>9</v>
      </c>
      <c r="D313" s="1">
        <v>8</v>
      </c>
      <c r="E313" s="1">
        <v>5</v>
      </c>
      <c r="F313" s="1">
        <f>SUMIF(Scores!$E$2:$E$820, 'Next Gen'!$A313, INDEX(Scores!$H$2:$P$820, 0, MATCH($B313, Scores!$H$1:$P$1, 0)))</f>
        <v>12</v>
      </c>
      <c r="G313" s="1">
        <f>INDEX(Scores!$B$2:$B$820, MATCH('Next Gen'!$A313, Scores!$E$2:$E$820, 0))</f>
        <v>256</v>
      </c>
      <c r="H313" s="4">
        <f>INDEX(Scores!$D$2:$D$820, MATCH('Next Gen'!$A313, Scores!$E$2:$E$820, 0))</f>
        <v>45888</v>
      </c>
    </row>
    <row r="314" spans="1:8">
      <c r="A314" s="1">
        <v>207</v>
      </c>
      <c r="B314" s="1" t="s">
        <v>5</v>
      </c>
      <c r="C314" s="1">
        <v>9</v>
      </c>
      <c r="D314" s="1">
        <v>8</v>
      </c>
      <c r="E314" s="1">
        <v>5</v>
      </c>
      <c r="F314" s="1">
        <f>SUMIF(Scores!$E$2:$E$820, 'Next Gen'!$A314, INDEX(Scores!$H$2:$P$820, 0, MATCH($B314, Scores!$H$1:$P$1, 0)))</f>
        <v>9</v>
      </c>
      <c r="G314" s="1">
        <f>INDEX(Scores!$B$2:$B$820, MATCH('Next Gen'!$A314, Scores!$E$2:$E$820, 0))</f>
        <v>256</v>
      </c>
      <c r="H314" s="4">
        <f>INDEX(Scores!$D$2:$D$820, MATCH('Next Gen'!$A314, Scores!$E$2:$E$820, 0))</f>
        <v>45888</v>
      </c>
    </row>
    <row r="315" spans="1:8">
      <c r="A315" s="1">
        <v>208</v>
      </c>
      <c r="B315" s="1" t="s">
        <v>4</v>
      </c>
      <c r="C315" s="1">
        <v>12</v>
      </c>
      <c r="D315" s="1">
        <v>12</v>
      </c>
      <c r="E315" s="1">
        <v>5</v>
      </c>
      <c r="F315" s="1">
        <f>SUMIF(Scores!$E$2:$E$820, 'Next Gen'!$A315, INDEX(Scores!$H$2:$P$820, 0, MATCH($B315, Scores!$H$1:$P$1, 0)))</f>
        <v>10</v>
      </c>
      <c r="G315" s="1">
        <f>INDEX(Scores!$B$2:$B$820, MATCH('Next Gen'!$A315, Scores!$E$2:$E$820, 0))</f>
        <v>256</v>
      </c>
      <c r="H315" s="4">
        <f>INDEX(Scores!$D$2:$D$820, MATCH('Next Gen'!$A315, Scores!$E$2:$E$820, 0))</f>
        <v>45889</v>
      </c>
    </row>
    <row r="316" spans="1:8">
      <c r="A316" s="1">
        <v>208</v>
      </c>
      <c r="B316" s="1" t="s">
        <v>5</v>
      </c>
      <c r="C316" s="1">
        <v>12</v>
      </c>
      <c r="D316" s="1">
        <v>8</v>
      </c>
      <c r="E316" s="1">
        <v>8</v>
      </c>
      <c r="F316" s="1">
        <f>SUMIF(Scores!$E$2:$E$820, 'Next Gen'!$A316, INDEX(Scores!$H$2:$P$820, 0, MATCH($B316, Scores!$H$1:$P$1, 0)))</f>
        <v>12</v>
      </c>
      <c r="G316" s="1">
        <f>INDEX(Scores!$B$2:$B$820, MATCH('Next Gen'!$A316, Scores!$E$2:$E$820, 0))</f>
        <v>256</v>
      </c>
      <c r="H316" s="4">
        <f>INDEX(Scores!$D$2:$D$820, MATCH('Next Gen'!$A316, Scores!$E$2:$E$820, 0))</f>
        <v>45889</v>
      </c>
    </row>
    <row r="317" spans="1:8">
      <c r="A317" s="1">
        <v>209</v>
      </c>
      <c r="B317" s="1" t="s">
        <v>4</v>
      </c>
      <c r="C317" s="1">
        <v>9</v>
      </c>
      <c r="D317" s="1">
        <v>8</v>
      </c>
      <c r="E317" s="1">
        <v>6</v>
      </c>
      <c r="F317" s="1">
        <f>SUMIF(Scores!$E$2:$E$820, 'Next Gen'!$A317, INDEX(Scores!$H$2:$P$820, 0, MATCH($B317, Scores!$H$1:$P$1, 0)))</f>
        <v>10</v>
      </c>
      <c r="G317" s="1">
        <f>INDEX(Scores!$B$2:$B$820, MATCH('Next Gen'!$A317, Scores!$E$2:$E$820, 0))</f>
        <v>256</v>
      </c>
      <c r="H317" s="4">
        <f>INDEX(Scores!$D$2:$D$820, MATCH('Next Gen'!$A317, Scores!$E$2:$E$820, 0))</f>
        <v>45890</v>
      </c>
    </row>
    <row r="318" spans="1:8">
      <c r="A318" s="1">
        <v>209</v>
      </c>
      <c r="B318" s="1" t="s">
        <v>5</v>
      </c>
      <c r="C318" s="1">
        <v>9</v>
      </c>
      <c r="D318" s="1">
        <v>8</v>
      </c>
      <c r="E318" s="1">
        <v>4</v>
      </c>
      <c r="F318" s="1">
        <f>SUMIF(Scores!$E$2:$E$820, 'Next Gen'!$A318, INDEX(Scores!$H$2:$P$820, 0, MATCH($B318, Scores!$H$1:$P$1, 0)))</f>
        <v>9</v>
      </c>
      <c r="G318" s="1">
        <f>INDEX(Scores!$B$2:$B$820, MATCH('Next Gen'!$A318, Scores!$E$2:$E$820, 0))</f>
        <v>256</v>
      </c>
      <c r="H318" s="4">
        <f>INDEX(Scores!$D$2:$D$820, MATCH('Next Gen'!$A318, Scores!$E$2:$E$820, 0))</f>
        <v>45890</v>
      </c>
    </row>
    <row r="319" spans="1:8">
      <c r="A319" s="1">
        <v>210</v>
      </c>
      <c r="B319" s="1" t="s">
        <v>4</v>
      </c>
      <c r="C319" s="1">
        <v>9</v>
      </c>
      <c r="D319" s="1">
        <v>9</v>
      </c>
      <c r="E319" s="1">
        <v>5</v>
      </c>
      <c r="F319" s="1">
        <f>SUMIF(Scores!$E$2:$E$820, 'Next Gen'!$A319, INDEX(Scores!$H$2:$P$820, 0, MATCH($B319, Scores!$H$1:$P$1, 0)))</f>
        <v>15</v>
      </c>
      <c r="G319" s="1">
        <f>INDEX(Scores!$B$2:$B$820, MATCH('Next Gen'!$A319, Scores!$E$2:$E$820, 0))</f>
        <v>256</v>
      </c>
      <c r="H319" s="4">
        <f>INDEX(Scores!$D$2:$D$820, MATCH('Next Gen'!$A319, Scores!$E$2:$E$820, 0))</f>
        <v>45894</v>
      </c>
    </row>
    <row r="320" spans="1:8">
      <c r="A320" s="1">
        <v>210</v>
      </c>
      <c r="B320" s="1" t="s">
        <v>5</v>
      </c>
      <c r="C320" s="1">
        <v>9</v>
      </c>
      <c r="D320" s="1">
        <v>8</v>
      </c>
      <c r="E320" s="1">
        <v>7</v>
      </c>
      <c r="F320" s="1">
        <f>SUMIF(Scores!$E$2:$E$820, 'Next Gen'!$A320, INDEX(Scores!$H$2:$P$820, 0, MATCH($B320, Scores!$H$1:$P$1, 0)))</f>
        <v>11</v>
      </c>
      <c r="G320" s="1">
        <f>INDEX(Scores!$B$2:$B$820, MATCH('Next Gen'!$A320, Scores!$E$2:$E$820, 0))</f>
        <v>256</v>
      </c>
      <c r="H320" s="4">
        <f>INDEX(Scores!$D$2:$D$820, MATCH('Next Gen'!$A320, Scores!$E$2:$E$820, 0))</f>
        <v>45894</v>
      </c>
    </row>
    <row r="321" spans="1:8">
      <c r="A321" s="1">
        <v>211</v>
      </c>
      <c r="B321" s="1" t="s">
        <v>4</v>
      </c>
      <c r="C321" s="1">
        <v>9</v>
      </c>
      <c r="D321" s="1">
        <v>9</v>
      </c>
      <c r="E321" s="1">
        <v>7</v>
      </c>
      <c r="F321" s="1">
        <f>SUMIF(Scores!$E$2:$E$820, 'Next Gen'!$A321, INDEX(Scores!$H$2:$P$820, 0, MATCH($B321, Scores!$H$1:$P$1, 0)))</f>
        <v>17</v>
      </c>
      <c r="G321" s="1">
        <f>INDEX(Scores!$B$2:$B$820, MATCH('Next Gen'!$A321, Scores!$E$2:$E$820, 0))</f>
        <v>256</v>
      </c>
      <c r="H321" s="4">
        <f>INDEX(Scores!$D$2:$D$820, MATCH('Next Gen'!$A321, Scores!$E$2:$E$820, 0))</f>
        <v>45896</v>
      </c>
    </row>
    <row r="322" spans="1:8">
      <c r="A322" s="1">
        <v>211</v>
      </c>
      <c r="B322" s="1" t="s">
        <v>5</v>
      </c>
      <c r="C322" s="1">
        <v>9</v>
      </c>
      <c r="D322" s="1">
        <v>8</v>
      </c>
      <c r="E322" s="1">
        <v>7</v>
      </c>
      <c r="F322" s="1">
        <f>SUMIF(Scores!$E$2:$E$820, 'Next Gen'!$A322, INDEX(Scores!$H$2:$P$820, 0, MATCH($B322, Scores!$H$1:$P$1, 0)))</f>
        <v>11</v>
      </c>
      <c r="G322" s="1">
        <f>INDEX(Scores!$B$2:$B$820, MATCH('Next Gen'!$A322, Scores!$E$2:$E$820, 0))</f>
        <v>256</v>
      </c>
      <c r="H322" s="4">
        <f>INDEX(Scores!$D$2:$D$820, MATCH('Next Gen'!$A322, Scores!$E$2:$E$820, 0))</f>
        <v>45896</v>
      </c>
    </row>
    <row r="323" spans="1:8">
      <c r="A323" s="1">
        <v>211</v>
      </c>
      <c r="B323" s="1" t="s">
        <v>23</v>
      </c>
      <c r="C323" s="1">
        <v>9</v>
      </c>
      <c r="D323" s="1">
        <v>4</v>
      </c>
      <c r="E323" s="1">
        <v>4</v>
      </c>
      <c r="F323" s="1">
        <f>SUMIF(Scores!$E$2:$E$820, 'Next Gen'!$A323, INDEX(Scores!$H$2:$P$820, 0, MATCH($B323, Scores!$H$1:$P$1, 0)))</f>
        <v>10</v>
      </c>
      <c r="G323" s="1">
        <f>INDEX(Scores!$B$2:$B$820, MATCH('Next Gen'!$A323, Scores!$E$2:$E$820, 0))</f>
        <v>256</v>
      </c>
      <c r="H323" s="4">
        <f>INDEX(Scores!$D$2:$D$820, MATCH('Next Gen'!$A323, Scores!$E$2:$E$820, 0))</f>
        <v>45896</v>
      </c>
    </row>
    <row r="324" spans="1:8">
      <c r="A324" s="1">
        <v>212</v>
      </c>
      <c r="B324" s="1" t="s">
        <v>4</v>
      </c>
      <c r="C324" s="1">
        <v>9</v>
      </c>
      <c r="D324" s="1">
        <v>9</v>
      </c>
      <c r="E324" s="1">
        <v>7</v>
      </c>
      <c r="F324" s="1">
        <f>SUMIF(Scores!$E$2:$E$820, 'Next Gen'!$A324, INDEX(Scores!$H$2:$P$820, 0, MATCH($B324, Scores!$H$1:$P$1, 0)))</f>
        <v>15</v>
      </c>
      <c r="G324" s="1">
        <f>INDEX(Scores!$B$2:$B$820, MATCH('Next Gen'!$A324, Scores!$E$2:$E$820, 0))</f>
        <v>256</v>
      </c>
      <c r="H324" s="4">
        <f>INDEX(Scores!$D$2:$D$820, MATCH('Next Gen'!$A324, Scores!$E$2:$E$820, 0))</f>
        <v>45897</v>
      </c>
    </row>
    <row r="325" spans="1:8">
      <c r="A325" s="1">
        <v>212</v>
      </c>
      <c r="B325" s="1" t="s">
        <v>5</v>
      </c>
      <c r="C325" s="1">
        <v>9</v>
      </c>
      <c r="D325" s="1">
        <v>8</v>
      </c>
      <c r="E325" s="1">
        <v>7</v>
      </c>
      <c r="F325" s="1">
        <f>SUMIF(Scores!$E$2:$E$820, 'Next Gen'!$A325, INDEX(Scores!$H$2:$P$820, 0, MATCH($B325, Scores!$H$1:$P$1, 0)))</f>
        <v>9</v>
      </c>
      <c r="G325" s="1">
        <f>INDEX(Scores!$B$2:$B$820, MATCH('Next Gen'!$A325, Scores!$E$2:$E$820, 0))</f>
        <v>256</v>
      </c>
      <c r="H325" s="4">
        <f>INDEX(Scores!$D$2:$D$820, MATCH('Next Gen'!$A325, Scores!$E$2:$E$820, 0))</f>
        <v>45897</v>
      </c>
    </row>
    <row r="326" spans="1:8">
      <c r="A326" s="1">
        <v>213</v>
      </c>
      <c r="B326" s="1" t="s">
        <v>4</v>
      </c>
      <c r="C326" s="1">
        <v>9</v>
      </c>
      <c r="D326" s="1">
        <v>9</v>
      </c>
      <c r="E326" s="1">
        <v>6</v>
      </c>
      <c r="F326" s="1">
        <f>SUMIF(Scores!$E$2:$E$820, 'Next Gen'!$A326, INDEX(Scores!$H$2:$P$820, 0, MATCH($B326, Scores!$H$1:$P$1, 0)))</f>
        <v>14</v>
      </c>
      <c r="G326" s="1">
        <f>INDEX(Scores!$B$2:$B$820, MATCH('Next Gen'!$A326, Scores!$E$2:$E$820, 0))</f>
        <v>256</v>
      </c>
      <c r="H326" s="4">
        <f>INDEX(Scores!$D$2:$D$820, MATCH('Next Gen'!$A326, Scores!$E$2:$E$820, 0))</f>
        <v>45898</v>
      </c>
    </row>
    <row r="327" spans="1:8">
      <c r="A327" s="1">
        <v>213</v>
      </c>
      <c r="B327" s="1" t="s">
        <v>5</v>
      </c>
      <c r="C327" s="1">
        <v>9</v>
      </c>
      <c r="D327" s="1">
        <v>7</v>
      </c>
      <c r="E327" s="1">
        <v>5</v>
      </c>
      <c r="F327" s="1">
        <f>SUMIF(Scores!$E$2:$E$820, 'Next Gen'!$A327, INDEX(Scores!$H$2:$P$820, 0, MATCH($B327, Scores!$H$1:$P$1, 0)))</f>
        <v>9</v>
      </c>
      <c r="G327" s="1">
        <f>INDEX(Scores!$B$2:$B$820, MATCH('Next Gen'!$A327, Scores!$E$2:$E$820, 0))</f>
        <v>256</v>
      </c>
      <c r="H327" s="4">
        <f>INDEX(Scores!$D$2:$D$820, MATCH('Next Gen'!$A327, Scores!$E$2:$E$820, 0))</f>
        <v>45898</v>
      </c>
    </row>
    <row r="328" spans="1:8">
      <c r="A328" s="1">
        <v>213</v>
      </c>
      <c r="B328" s="1" t="s">
        <v>6</v>
      </c>
      <c r="C328" s="1">
        <v>9</v>
      </c>
      <c r="D328" s="1">
        <v>5</v>
      </c>
      <c r="E328" s="1">
        <v>4</v>
      </c>
      <c r="F328" s="1">
        <f>SUMIF(Scores!$E$2:$E$820, 'Next Gen'!$A328, INDEX(Scores!$H$2:$P$820, 0, MATCH($B328, Scores!$H$1:$P$1, 0)))</f>
        <v>8</v>
      </c>
      <c r="G328" s="1">
        <f>INDEX(Scores!$B$2:$B$820, MATCH('Next Gen'!$A328, Scores!$E$2:$E$820, 0))</f>
        <v>256</v>
      </c>
      <c r="H328" s="4">
        <f>INDEX(Scores!$D$2:$D$820, MATCH('Next Gen'!$A328, Scores!$E$2:$E$820, 0))</f>
        <v>45898</v>
      </c>
    </row>
    <row r="329" spans="1:8">
      <c r="A329" s="1">
        <v>214</v>
      </c>
      <c r="B329" s="1" t="s">
        <v>4</v>
      </c>
      <c r="C329" s="1">
        <v>9</v>
      </c>
      <c r="D329" s="1">
        <v>9</v>
      </c>
      <c r="E329" s="1">
        <v>4</v>
      </c>
      <c r="F329" s="1">
        <f>SUMIF(Scores!$E$2:$E$820, 'Next Gen'!$A329, INDEX(Scores!$H$2:$P$820, 0, MATCH($B329, Scores!$H$1:$P$1, 0)))</f>
        <v>8</v>
      </c>
      <c r="G329" s="1">
        <f>INDEX(Scores!$B$2:$B$820, MATCH('Next Gen'!$A329, Scores!$E$2:$E$820, 0))</f>
        <v>256</v>
      </c>
      <c r="H329" s="4">
        <f>INDEX(Scores!$D$2:$D$820, MATCH('Next Gen'!$A329, Scores!$E$2:$E$820, 0))</f>
        <v>45902</v>
      </c>
    </row>
    <row r="330" spans="1:8">
      <c r="A330" s="1">
        <v>214</v>
      </c>
      <c r="B330" s="1" t="s">
        <v>5</v>
      </c>
      <c r="C330" s="1">
        <v>9</v>
      </c>
      <c r="D330" s="1">
        <v>8</v>
      </c>
      <c r="E330" s="1">
        <v>6</v>
      </c>
      <c r="F330" s="1">
        <f>SUMIF(Scores!$E$2:$E$820, 'Next Gen'!$A330, INDEX(Scores!$H$2:$P$820, 0, MATCH($B330, Scores!$H$1:$P$1, 0)))</f>
        <v>9</v>
      </c>
      <c r="G330" s="1">
        <f>INDEX(Scores!$B$2:$B$820, MATCH('Next Gen'!$A330, Scores!$E$2:$E$820, 0))</f>
        <v>256</v>
      </c>
      <c r="H330" s="4">
        <f>INDEX(Scores!$D$2:$D$820, MATCH('Next Gen'!$A330, Scores!$E$2:$E$820, 0))</f>
        <v>45902</v>
      </c>
    </row>
    <row r="331" spans="1:8">
      <c r="A331" s="1">
        <v>215</v>
      </c>
      <c r="B331" s="1" t="s">
        <v>4</v>
      </c>
      <c r="C331" s="1">
        <v>9</v>
      </c>
      <c r="D331" s="1">
        <v>9</v>
      </c>
      <c r="E331" s="1">
        <v>6</v>
      </c>
      <c r="F331" s="1">
        <f>SUMIF(Scores!$E$2:$E$820, 'Next Gen'!$A331, INDEX(Scores!$H$2:$P$820, 0, MATCH($B331, Scores!$H$1:$P$1, 0)))</f>
        <v>14</v>
      </c>
      <c r="G331" s="1">
        <f>INDEX(Scores!$B$2:$B$820, MATCH('Next Gen'!$A331, Scores!$E$2:$E$820, 0))</f>
        <v>256</v>
      </c>
      <c r="H331" s="4">
        <f>INDEX(Scores!$D$2:$D$820, MATCH('Next Gen'!$A331, Scores!$E$2:$E$820, 0))</f>
        <v>45903</v>
      </c>
    </row>
    <row r="332" spans="1:8">
      <c r="A332" s="1">
        <v>215</v>
      </c>
      <c r="B332" s="1" t="s">
        <v>5</v>
      </c>
      <c r="C332" s="1">
        <v>9</v>
      </c>
      <c r="D332" s="1">
        <v>6</v>
      </c>
      <c r="E332" s="1">
        <v>5</v>
      </c>
      <c r="F332" s="1">
        <f>SUMIF(Scores!$E$2:$E$820, 'Next Gen'!$A332, INDEX(Scores!$H$2:$P$820, 0, MATCH($B332, Scores!$H$1:$P$1, 0)))</f>
        <v>8</v>
      </c>
      <c r="G332" s="1">
        <f>INDEX(Scores!$B$2:$B$820, MATCH('Next Gen'!$A332, Scores!$E$2:$E$820, 0))</f>
        <v>256</v>
      </c>
      <c r="H332" s="4">
        <f>INDEX(Scores!$D$2:$D$820, MATCH('Next Gen'!$A332, Scores!$E$2:$E$820, 0))</f>
        <v>45903</v>
      </c>
    </row>
    <row r="333" spans="1:8">
      <c r="A333" s="1">
        <v>216</v>
      </c>
      <c r="B333" s="1" t="s">
        <v>4</v>
      </c>
      <c r="C333" s="1">
        <v>9</v>
      </c>
      <c r="D333" s="1">
        <v>9</v>
      </c>
      <c r="E333" s="1">
        <v>7</v>
      </c>
      <c r="F333" s="1">
        <f>SUMIF(Scores!$E$2:$E$820, 'Next Gen'!$A333, INDEX(Scores!$H$2:$P$820, 0, MATCH($B333, Scores!$H$1:$P$1, 0)))</f>
        <v>17</v>
      </c>
      <c r="G333" s="1">
        <f>INDEX(Scores!$B$2:$B$820, MATCH('Next Gen'!$A333, Scores!$E$2:$E$820, 0))</f>
        <v>256</v>
      </c>
      <c r="H333" s="4">
        <f>INDEX(Scores!$D$2:$D$820, MATCH('Next Gen'!$A333, Scores!$E$2:$E$820, 0))</f>
        <v>45904</v>
      </c>
    </row>
    <row r="334" spans="1:8">
      <c r="A334" s="1">
        <v>216</v>
      </c>
      <c r="B334" s="1" t="s">
        <v>5</v>
      </c>
      <c r="C334" s="1">
        <v>9</v>
      </c>
      <c r="D334" s="1">
        <v>9</v>
      </c>
      <c r="E334" s="1">
        <v>5</v>
      </c>
      <c r="F334" s="1">
        <f>SUMIF(Scores!$E$2:$E$820, 'Next Gen'!$A334, INDEX(Scores!$H$2:$P$820, 0, MATCH($B334, Scores!$H$1:$P$1, 0)))</f>
        <v>10</v>
      </c>
      <c r="G334" s="1">
        <f>INDEX(Scores!$B$2:$B$820, MATCH('Next Gen'!$A334, Scores!$E$2:$E$820, 0))</f>
        <v>256</v>
      </c>
      <c r="H334" s="4">
        <f>INDEX(Scores!$D$2:$D$820, MATCH('Next Gen'!$A334, Scores!$E$2:$E$820, 0))</f>
        <v>45904</v>
      </c>
    </row>
    <row r="335" spans="1:8">
      <c r="A335" s="1">
        <v>217</v>
      </c>
      <c r="B335" s="1" t="s">
        <v>4</v>
      </c>
      <c r="C335" s="1">
        <v>9</v>
      </c>
      <c r="D335" s="1">
        <v>9</v>
      </c>
      <c r="E335" s="1">
        <v>6</v>
      </c>
      <c r="F335" s="1">
        <f>SUMIF(Scores!$E$2:$E$820, 'Next Gen'!$A335, INDEX(Scores!$H$2:$P$820, 0, MATCH($B335, Scores!$H$1:$P$1, 0)))</f>
        <v>12</v>
      </c>
      <c r="G335" s="1">
        <f>INDEX(Scores!$B$2:$B$820, MATCH('Next Gen'!$A335, Scores!$E$2:$E$820, 0))</f>
        <v>256</v>
      </c>
      <c r="H335" s="4">
        <f>INDEX(Scores!$D$2:$D$820, MATCH('Next Gen'!$A335, Scores!$E$2:$E$820, 0))</f>
        <v>45910</v>
      </c>
    </row>
    <row r="336" spans="1:8">
      <c r="A336" s="1">
        <v>217</v>
      </c>
      <c r="B336" s="1" t="s">
        <v>5</v>
      </c>
      <c r="C336" s="1">
        <v>9</v>
      </c>
      <c r="D336" s="1">
        <v>7</v>
      </c>
      <c r="E336" s="1">
        <v>5</v>
      </c>
      <c r="F336" s="1">
        <f>SUMIF(Scores!$E$2:$E$820, 'Next Gen'!$A336, INDEX(Scores!$H$2:$P$820, 0, MATCH($B336, Scores!$H$1:$P$1, 0)))</f>
        <v>6</v>
      </c>
      <c r="G336" s="1">
        <f>INDEX(Scores!$B$2:$B$820, MATCH('Next Gen'!$A336, Scores!$E$2:$E$820, 0))</f>
        <v>256</v>
      </c>
      <c r="H336" s="4">
        <f>INDEX(Scores!$D$2:$D$820, MATCH('Next Gen'!$A336, Scores!$E$2:$E$820, 0))</f>
        <v>45910</v>
      </c>
    </row>
    <row r="337" spans="1:8">
      <c r="A337" s="1">
        <v>218</v>
      </c>
      <c r="B337" s="1" t="s">
        <v>4</v>
      </c>
      <c r="C337" s="1">
        <v>9</v>
      </c>
      <c r="D337" s="1">
        <v>9</v>
      </c>
      <c r="E337" s="1">
        <v>4</v>
      </c>
      <c r="F337" s="1">
        <f>SUMIF(Scores!$E$2:$E$820, 'Next Gen'!$A337, INDEX(Scores!$H$2:$P$820, 0, MATCH($B337, Scores!$H$1:$P$1, 0)))</f>
        <v>8</v>
      </c>
      <c r="G337" s="1">
        <f>INDEX(Scores!$B$2:$B$820, MATCH('Next Gen'!$A337, Scores!$E$2:$E$820, 0))</f>
        <v>256</v>
      </c>
      <c r="H337" s="4">
        <f>INDEX(Scores!$D$2:$D$820, MATCH('Next Gen'!$A337, Scores!$E$2:$E$820, 0))</f>
        <v>45911</v>
      </c>
    </row>
    <row r="338" spans="1:8">
      <c r="A338" s="1">
        <v>218</v>
      </c>
      <c r="B338" s="1" t="s">
        <v>5</v>
      </c>
      <c r="C338" s="1">
        <v>9</v>
      </c>
      <c r="D338" s="1">
        <v>7</v>
      </c>
      <c r="E338" s="1">
        <v>6</v>
      </c>
      <c r="F338" s="1">
        <f>SUMIF(Scores!$E$2:$E$820, 'Next Gen'!$A338, INDEX(Scores!$H$2:$P$820, 0, MATCH($B338, Scores!$H$1:$P$1, 0)))</f>
        <v>10</v>
      </c>
      <c r="G338" s="1">
        <f>INDEX(Scores!$B$2:$B$820, MATCH('Next Gen'!$A338, Scores!$E$2:$E$820, 0))</f>
        <v>256</v>
      </c>
      <c r="H338" s="4">
        <f>INDEX(Scores!$D$2:$D$820, MATCH('Next Gen'!$A338, Scores!$E$2:$E$820, 0))</f>
        <v>45911</v>
      </c>
    </row>
    <row r="339" spans="1:8">
      <c r="A339" s="1">
        <v>219</v>
      </c>
      <c r="B339" s="1" t="s">
        <v>4</v>
      </c>
      <c r="C339" s="1">
        <v>9</v>
      </c>
      <c r="D339" s="1">
        <v>9</v>
      </c>
      <c r="E339" s="1">
        <v>7</v>
      </c>
      <c r="F339" s="1">
        <f>SUMIF(Scores!$E$2:$E$820, 'Next Gen'!$A339, INDEX(Scores!$H$2:$P$820, 0, MATCH($B339, Scores!$H$1:$P$1, 0)))</f>
        <v>16</v>
      </c>
      <c r="G339" s="1">
        <f>INDEX(Scores!$B$2:$B$820, MATCH('Next Gen'!$A339, Scores!$E$2:$E$820, 0))</f>
        <v>256</v>
      </c>
      <c r="H339" s="4">
        <f>INDEX(Scores!$D$2:$D$820, MATCH('Next Gen'!$A339, Scores!$E$2:$E$820, 0))</f>
        <v>45915</v>
      </c>
    </row>
    <row r="340" spans="1:8">
      <c r="A340" s="1">
        <v>219</v>
      </c>
      <c r="B340" s="1" t="s">
        <v>5</v>
      </c>
      <c r="C340" s="1">
        <v>9</v>
      </c>
      <c r="D340" s="1">
        <v>8</v>
      </c>
      <c r="E340" s="1">
        <v>7</v>
      </c>
      <c r="F340" s="1">
        <f>SUMIF(Scores!$E$2:$E$820, 'Next Gen'!$A340, INDEX(Scores!$H$2:$P$820, 0, MATCH($B340, Scores!$H$1:$P$1, 0)))</f>
        <v>10</v>
      </c>
      <c r="G340" s="1">
        <f>INDEX(Scores!$B$2:$B$820, MATCH('Next Gen'!$A340, Scores!$E$2:$E$820, 0))</f>
        <v>256</v>
      </c>
      <c r="H340" s="4">
        <f>INDEX(Scores!$D$2:$D$820, MATCH('Next Gen'!$A340, Scores!$E$2:$E$820, 0))</f>
        <v>45915</v>
      </c>
    </row>
    <row r="341" spans="1:8">
      <c r="A341" s="1">
        <v>220</v>
      </c>
      <c r="B341" s="1" t="s">
        <v>4</v>
      </c>
      <c r="C341" s="1">
        <v>9</v>
      </c>
      <c r="D341" s="1">
        <v>9</v>
      </c>
      <c r="E341" s="1">
        <v>4</v>
      </c>
      <c r="F341" s="1">
        <f>SUMIF(Scores!$E$2:$E$820, 'Next Gen'!$A341, INDEX(Scores!$H$2:$P$820, 0, MATCH($B341, Scores!$H$1:$P$1, 0)))</f>
        <v>8</v>
      </c>
      <c r="G341" s="1">
        <f>INDEX(Scores!$B$2:$B$820, MATCH('Next Gen'!$A341, Scores!$E$2:$E$820, 0))</f>
        <v>256</v>
      </c>
      <c r="H341" s="4">
        <f>INDEX(Scores!$D$2:$D$820, MATCH('Next Gen'!$A341, Scores!$E$2:$E$820, 0))</f>
        <v>45916</v>
      </c>
    </row>
    <row r="342" spans="1:8">
      <c r="A342" s="1">
        <v>220</v>
      </c>
      <c r="B342" s="1" t="s">
        <v>5</v>
      </c>
      <c r="C342" s="1">
        <v>9</v>
      </c>
      <c r="D342" s="1">
        <v>7</v>
      </c>
      <c r="E342" s="1">
        <v>5</v>
      </c>
      <c r="F342" s="1">
        <f>SUMIF(Scores!$E$2:$E$820, 'Next Gen'!$A342, INDEX(Scores!$H$2:$P$820, 0, MATCH($B342, Scores!$H$1:$P$1, 0)))</f>
        <v>10</v>
      </c>
      <c r="G342" s="1">
        <f>INDEX(Scores!$B$2:$B$820, MATCH('Next Gen'!$A342, Scores!$E$2:$E$820, 0))</f>
        <v>256</v>
      </c>
      <c r="H342" s="4">
        <f>INDEX(Scores!$D$2:$D$820, MATCH('Next Gen'!$A342, Scores!$E$2:$E$820, 0))</f>
        <v>45916</v>
      </c>
    </row>
    <row r="343" spans="1:8">
      <c r="A343" s="1">
        <v>221</v>
      </c>
      <c r="B343" s="1" t="s">
        <v>4</v>
      </c>
      <c r="C343" s="1">
        <v>9</v>
      </c>
      <c r="D343" s="1">
        <v>8</v>
      </c>
      <c r="E343" s="1">
        <v>6</v>
      </c>
      <c r="F343" s="1">
        <f>SUMIF(Scores!$E$2:$E$820, 'Next Gen'!$A343, INDEX(Scores!$H$2:$P$820, 0, MATCH($B343, Scores!$H$1:$P$1, 0)))</f>
        <v>8</v>
      </c>
      <c r="G343" s="1">
        <f>INDEX(Scores!$B$2:$B$820, MATCH('Next Gen'!$A343, Scores!$E$2:$E$820, 0))</f>
        <v>256</v>
      </c>
      <c r="H343" s="4">
        <f>INDEX(Scores!$D$2:$D$820, MATCH('Next Gen'!$A343, Scores!$E$2:$E$820, 0))</f>
        <v>45917</v>
      </c>
    </row>
    <row r="344" spans="1:8">
      <c r="A344" s="1">
        <v>221</v>
      </c>
      <c r="B344" s="1" t="s">
        <v>5</v>
      </c>
      <c r="C344" s="1">
        <v>9</v>
      </c>
      <c r="D344" s="1">
        <v>7</v>
      </c>
      <c r="E344" s="1">
        <v>4</v>
      </c>
      <c r="F344" s="1">
        <f>SUMIF(Scores!$E$2:$E$820, 'Next Gen'!$A344, INDEX(Scores!$H$2:$P$820, 0, MATCH($B344, Scores!$H$1:$P$1, 0)))</f>
        <v>6</v>
      </c>
      <c r="G344" s="1">
        <f>INDEX(Scores!$B$2:$B$820, MATCH('Next Gen'!$A344, Scores!$E$2:$E$820, 0))</f>
        <v>256</v>
      </c>
      <c r="H344" s="4">
        <f>INDEX(Scores!$D$2:$D$820, MATCH('Next Gen'!$A344, Scores!$E$2:$E$820, 0))</f>
        <v>45917</v>
      </c>
    </row>
    <row r="345" spans="1:8">
      <c r="A345" s="1">
        <v>222</v>
      </c>
      <c r="B345" s="1" t="s">
        <v>4</v>
      </c>
      <c r="C345" s="1">
        <v>9</v>
      </c>
      <c r="D345" s="1">
        <v>9</v>
      </c>
      <c r="E345" s="1">
        <v>9</v>
      </c>
      <c r="F345" s="1">
        <f>SUMIF(Scores!$E$2:$E$820, 'Next Gen'!$A345, INDEX(Scores!$H$2:$P$820, 0, MATCH($B345, Scores!$H$1:$P$1, 0)))</f>
        <v>14</v>
      </c>
      <c r="G345" s="1">
        <f>INDEX(Scores!$B$2:$B$820, MATCH('Next Gen'!$A345, Scores!$E$2:$E$820, 0))</f>
        <v>256</v>
      </c>
      <c r="H345" s="4">
        <f>INDEX(Scores!$D$2:$D$820, MATCH('Next Gen'!$A345, Scores!$E$2:$E$820, 0))</f>
        <v>45918</v>
      </c>
    </row>
    <row r="346" spans="1:8">
      <c r="A346" s="1">
        <v>222</v>
      </c>
      <c r="B346" s="1" t="s">
        <v>5</v>
      </c>
      <c r="C346" s="1">
        <v>9</v>
      </c>
      <c r="D346" s="1">
        <v>7</v>
      </c>
      <c r="E346" s="1">
        <v>7</v>
      </c>
      <c r="F346" s="1">
        <f>SUMIF(Scores!$E$2:$E$820, 'Next Gen'!$A346, INDEX(Scores!$H$2:$P$820, 0, MATCH($B346, Scores!$H$1:$P$1, 0)))</f>
        <v>12</v>
      </c>
      <c r="G346" s="1">
        <f>INDEX(Scores!$B$2:$B$820, MATCH('Next Gen'!$A346, Scores!$E$2:$E$820, 0))</f>
        <v>256</v>
      </c>
      <c r="H346" s="4">
        <f>INDEX(Scores!$D$2:$D$820, MATCH('Next Gen'!$A346, Scores!$E$2:$E$820, 0))</f>
        <v>45918</v>
      </c>
    </row>
    <row r="347" spans="1:8">
      <c r="A347" s="1">
        <v>223</v>
      </c>
      <c r="B347" s="1" t="s">
        <v>4</v>
      </c>
      <c r="C347" s="1">
        <v>9</v>
      </c>
      <c r="D347" s="1">
        <v>9</v>
      </c>
      <c r="E347" s="1">
        <v>5</v>
      </c>
      <c r="F347" s="1">
        <f>SUMIF(Scores!$E$2:$E$820, 'Next Gen'!$A347, INDEX(Scores!$H$2:$P$820, 0, MATCH($B347, Scores!$H$1:$P$1, 0)))</f>
        <v>12</v>
      </c>
      <c r="G347" s="1">
        <f>INDEX(Scores!$B$2:$B$820, MATCH('Next Gen'!$A347, Scores!$E$2:$E$820, 0))</f>
        <v>256</v>
      </c>
      <c r="H347" s="4">
        <f>INDEX(Scores!$D$2:$D$820, MATCH('Next Gen'!$A347, Scores!$E$2:$E$820, 0))</f>
        <v>45919</v>
      </c>
    </row>
    <row r="348" spans="1:8">
      <c r="A348" s="1">
        <v>223</v>
      </c>
      <c r="B348" s="1" t="s">
        <v>5</v>
      </c>
      <c r="C348" s="1">
        <v>9</v>
      </c>
      <c r="D348" s="1">
        <v>8</v>
      </c>
      <c r="E348" s="1">
        <v>4</v>
      </c>
      <c r="F348" s="1">
        <f>SUMIF(Scores!$E$2:$E$820, 'Next Gen'!$A348, INDEX(Scores!$H$2:$P$820, 0, MATCH($B348, Scores!$H$1:$P$1, 0)))</f>
        <v>11</v>
      </c>
      <c r="G348" s="1">
        <f>INDEX(Scores!$B$2:$B$820, MATCH('Next Gen'!$A348, Scores!$E$2:$E$820, 0))</f>
        <v>256</v>
      </c>
      <c r="H348" s="4">
        <f>INDEX(Scores!$D$2:$D$820, MATCH('Next Gen'!$A348, Scores!$E$2:$E$820, 0))</f>
        <v>45919</v>
      </c>
    </row>
    <row r="349" spans="1:8">
      <c r="A349" s="1">
        <v>224</v>
      </c>
      <c r="B349" s="1" t="s">
        <v>4</v>
      </c>
      <c r="C349" s="1">
        <v>9</v>
      </c>
      <c r="D349" s="1">
        <v>9</v>
      </c>
      <c r="E349" s="1">
        <v>8</v>
      </c>
      <c r="F349" s="1">
        <f>SUMIF(Scores!$E$2:$E$820, 'Next Gen'!$A349, INDEX(Scores!$H$2:$P$820, 0, MATCH($B349, Scores!$H$1:$P$1, 0)))</f>
        <v>14</v>
      </c>
      <c r="G349" s="1">
        <f>INDEX(Scores!$B$2:$B$820, MATCH('Next Gen'!$A349, Scores!$E$2:$E$820, 0))</f>
        <v>256</v>
      </c>
      <c r="H349" s="4">
        <f>INDEX(Scores!$D$2:$D$820, MATCH('Next Gen'!$A349, Scores!$E$2:$E$820, 0))</f>
        <v>45923</v>
      </c>
    </row>
    <row r="350" spans="1:8">
      <c r="A350" s="1">
        <v>224</v>
      </c>
      <c r="B350" s="1" t="s">
        <v>5</v>
      </c>
      <c r="C350" s="1">
        <v>9</v>
      </c>
      <c r="D350" s="1">
        <v>6</v>
      </c>
      <c r="E350" s="1">
        <v>5</v>
      </c>
      <c r="F350" s="1">
        <f>SUMIF(Scores!$E$2:$E$820, 'Next Gen'!$A350, INDEX(Scores!$H$2:$P$820, 0, MATCH($B350, Scores!$H$1:$P$1, 0)))</f>
        <v>8</v>
      </c>
      <c r="G350" s="1">
        <f>INDEX(Scores!$B$2:$B$820, MATCH('Next Gen'!$A350, Scores!$E$2:$E$820, 0))</f>
        <v>256</v>
      </c>
      <c r="H350" s="4">
        <f>INDEX(Scores!$D$2:$D$820, MATCH('Next Gen'!$A350, Scores!$E$2:$E$820, 0))</f>
        <v>45923</v>
      </c>
    </row>
    <row r="351" spans="1:8">
      <c r="A351" s="1">
        <v>225</v>
      </c>
      <c r="B351" s="1" t="s">
        <v>4</v>
      </c>
      <c r="C351" s="1">
        <v>9</v>
      </c>
      <c r="D351" s="1">
        <v>11</v>
      </c>
      <c r="E351" s="1">
        <v>5</v>
      </c>
      <c r="F351" s="1">
        <f>SUMIF(Scores!$E$2:$E$820, 'Next Gen'!$A351, INDEX(Scores!$H$2:$P$820, 0, MATCH($B351, Scores!$H$1:$P$1, 0)))</f>
        <v>7</v>
      </c>
      <c r="G351" s="1">
        <f>INDEX(Scores!$B$2:$B$820, MATCH('Next Gen'!$A351, Scores!$E$2:$E$820, 0))</f>
        <v>256</v>
      </c>
      <c r="H351" s="4">
        <f>INDEX(Scores!$D$2:$D$820, MATCH('Next Gen'!$A351, Scores!$E$2:$E$820, 0))</f>
        <v>45924</v>
      </c>
    </row>
    <row r="352" spans="1:8">
      <c r="A352" s="1">
        <v>225</v>
      </c>
      <c r="B352" s="1" t="s">
        <v>5</v>
      </c>
      <c r="C352" s="1">
        <v>9</v>
      </c>
      <c r="D352" s="1">
        <v>8</v>
      </c>
      <c r="E352" s="1">
        <v>6</v>
      </c>
      <c r="F352" s="1">
        <f>SUMIF(Scores!$E$2:$E$820, 'Next Gen'!$A352, INDEX(Scores!$H$2:$P$820, 0, MATCH($B352, Scores!$H$1:$P$1, 0)))</f>
        <v>10</v>
      </c>
      <c r="G352" s="1">
        <f>INDEX(Scores!$B$2:$B$820, MATCH('Next Gen'!$A352, Scores!$E$2:$E$820, 0))</f>
        <v>256</v>
      </c>
      <c r="H352" s="4">
        <f>INDEX(Scores!$D$2:$D$820, MATCH('Next Gen'!$A352, Scores!$E$2:$E$820, 0))</f>
        <v>45924</v>
      </c>
    </row>
    <row r="353" spans="1:8">
      <c r="A353" s="1">
        <v>226</v>
      </c>
      <c r="B353" s="1" t="s">
        <v>78</v>
      </c>
      <c r="C353" s="1">
        <v>9</v>
      </c>
      <c r="D353" s="1">
        <v>6</v>
      </c>
      <c r="E353" s="1">
        <v>3</v>
      </c>
      <c r="F353" s="1">
        <f>SUMIF(Scores!$E$2:$E$820, 'Next Gen'!$A353, INDEX(Scores!$H$2:$P$820, 0, MATCH($B353, Scores!$H$1:$P$1, 0)))</f>
        <v>3</v>
      </c>
      <c r="G353" s="1">
        <f>INDEX(Scores!$B$2:$B$820, MATCH('Next Gen'!$A353, Scores!$E$2:$E$820, 0))</f>
        <v>256</v>
      </c>
      <c r="H353" s="4">
        <f>INDEX(Scores!$D$2:$D$820, MATCH('Next Gen'!$A353, Scores!$E$2:$E$820, 0))</f>
        <v>45926</v>
      </c>
    </row>
    <row r="354" spans="1:8">
      <c r="A354" s="1">
        <v>226</v>
      </c>
      <c r="B354" s="1" t="s">
        <v>4</v>
      </c>
      <c r="C354" s="1">
        <v>9</v>
      </c>
      <c r="D354" s="1">
        <v>9</v>
      </c>
      <c r="E354" s="1">
        <v>4</v>
      </c>
      <c r="F354" s="1">
        <f>SUMIF(Scores!$E$2:$E$820, 'Next Gen'!$A354, INDEX(Scores!$H$2:$P$820, 0, MATCH($B354, Scores!$H$1:$P$1, 0)))</f>
        <v>5</v>
      </c>
      <c r="G354" s="1">
        <f>INDEX(Scores!$B$2:$B$820, MATCH('Next Gen'!$A354, Scores!$E$2:$E$820, 0))</f>
        <v>256</v>
      </c>
      <c r="H354" s="4">
        <f>INDEX(Scores!$D$2:$D$820, MATCH('Next Gen'!$A354, Scores!$E$2:$E$820, 0))</f>
        <v>45926</v>
      </c>
    </row>
    <row r="355" spans="1:8">
      <c r="A355" s="1">
        <v>226</v>
      </c>
      <c r="B355" s="1" t="s">
        <v>5</v>
      </c>
      <c r="C355" s="1">
        <v>9</v>
      </c>
      <c r="D355" s="1">
        <v>5</v>
      </c>
      <c r="E355" s="1">
        <v>5</v>
      </c>
      <c r="F355" s="1">
        <f>SUMIF(Scores!$E$2:$E$820, 'Next Gen'!$A355, INDEX(Scores!$H$2:$P$820, 0, MATCH($B355, Scores!$H$1:$P$1, 0)))</f>
        <v>12</v>
      </c>
      <c r="G355" s="1">
        <f>INDEX(Scores!$B$2:$B$820, MATCH('Next Gen'!$A355, Scores!$E$2:$E$820, 0))</f>
        <v>256</v>
      </c>
      <c r="H355" s="4">
        <f>INDEX(Scores!$D$2:$D$820, MATCH('Next Gen'!$A355, Scores!$E$2:$E$820, 0))</f>
        <v>45926</v>
      </c>
    </row>
    <row r="356" spans="1:8">
      <c r="A356" s="1">
        <v>227</v>
      </c>
      <c r="B356" s="1" t="s">
        <v>4</v>
      </c>
      <c r="C356" s="1">
        <v>9</v>
      </c>
      <c r="D356" s="1">
        <v>8</v>
      </c>
      <c r="E356" s="1">
        <v>4</v>
      </c>
      <c r="F356" s="1">
        <f>SUMIF(Scores!$E$2:$E$820, 'Next Gen'!$A356, INDEX(Scores!$H$2:$P$820, 0, MATCH($B356, Scores!$H$1:$P$1, 0)))</f>
        <v>11</v>
      </c>
      <c r="G356" s="1">
        <f>INDEX(Scores!$B$2:$B$820, MATCH('Next Gen'!$A356, Scores!$E$2:$E$820, 0))</f>
        <v>256</v>
      </c>
      <c r="H356" s="4">
        <f>INDEX(Scores!$D$2:$D$820, MATCH('Next Gen'!$A356, Scores!$E$2:$E$820, 0))</f>
        <v>45929</v>
      </c>
    </row>
    <row r="357" spans="1:8">
      <c r="A357" s="1">
        <v>227</v>
      </c>
      <c r="B357" s="1" t="s">
        <v>5</v>
      </c>
      <c r="C357" s="1">
        <v>9</v>
      </c>
      <c r="D357" s="1">
        <v>7</v>
      </c>
      <c r="E357" s="1">
        <v>6</v>
      </c>
      <c r="F357" s="1">
        <f>SUMIF(Scores!$E$2:$E$820, 'Next Gen'!$A357, INDEX(Scores!$H$2:$P$820, 0, MATCH($B357, Scores!$H$1:$P$1, 0)))</f>
        <v>12</v>
      </c>
      <c r="G357" s="1">
        <f>INDEX(Scores!$B$2:$B$820, MATCH('Next Gen'!$A357, Scores!$E$2:$E$820, 0))</f>
        <v>256</v>
      </c>
      <c r="H357" s="4">
        <f>INDEX(Scores!$D$2:$D$820, MATCH('Next Gen'!$A357, Scores!$E$2:$E$820, 0))</f>
        <v>45929</v>
      </c>
    </row>
    <row r="358" spans="1:8">
      <c r="A358" s="1">
        <v>228</v>
      </c>
      <c r="B358" s="1" t="s">
        <v>4</v>
      </c>
      <c r="C358" s="1">
        <v>9</v>
      </c>
      <c r="D358" s="1">
        <v>8</v>
      </c>
      <c r="E358" s="1">
        <v>7</v>
      </c>
      <c r="F358" s="1">
        <f>SUMIF(Scores!$E$2:$E$820, 'Next Gen'!$A358, INDEX(Scores!$H$2:$P$820, 0, MATCH($B358, Scores!$H$1:$P$1, 0)))</f>
        <v>15</v>
      </c>
      <c r="G358" s="1">
        <f>INDEX(Scores!$B$2:$B$820, MATCH('Next Gen'!$A358, Scores!$E$2:$E$820, 0))</f>
        <v>256</v>
      </c>
      <c r="H358" s="4">
        <f>INDEX(Scores!$D$2:$D$820, MATCH('Next Gen'!$A358, Scores!$E$2:$E$820, 0))</f>
        <v>45930</v>
      </c>
    </row>
    <row r="359" spans="1:8">
      <c r="A359" s="1">
        <v>228</v>
      </c>
      <c r="B359" s="1" t="s">
        <v>5</v>
      </c>
      <c r="C359" s="1">
        <v>9</v>
      </c>
      <c r="D359" s="1">
        <v>7</v>
      </c>
      <c r="E359" s="1">
        <v>6</v>
      </c>
      <c r="F359" s="1">
        <f>SUMIF(Scores!$E$2:$E$820, 'Next Gen'!$A359, INDEX(Scores!$H$2:$P$820, 0, MATCH($B359, Scores!$H$1:$P$1, 0)))</f>
        <v>11</v>
      </c>
      <c r="G359" s="1">
        <f>INDEX(Scores!$B$2:$B$820, MATCH('Next Gen'!$A359, Scores!$E$2:$E$820, 0))</f>
        <v>256</v>
      </c>
      <c r="H359" s="4">
        <f>INDEX(Scores!$D$2:$D$820, MATCH('Next Gen'!$A359, Scores!$E$2:$E$820, 0))</f>
        <v>45930</v>
      </c>
    </row>
    <row r="360" spans="1:8">
      <c r="A360" s="1">
        <v>229</v>
      </c>
      <c r="B360" s="1" t="s">
        <v>4</v>
      </c>
      <c r="C360" s="1">
        <v>9</v>
      </c>
      <c r="D360" s="1">
        <v>9</v>
      </c>
      <c r="E360" s="1">
        <v>5</v>
      </c>
      <c r="F360" s="1">
        <f>SUMIF(Scores!$E$2:$E$820, 'Next Gen'!$A360, INDEX(Scores!$H$2:$P$820, 0, MATCH($B360, Scores!$H$1:$P$1, 0)))</f>
        <v>15</v>
      </c>
      <c r="G360" s="1">
        <f>INDEX(Scores!$B$2:$B$820, MATCH('Next Gen'!$A360, Scores!$E$2:$E$820, 0))</f>
        <v>256</v>
      </c>
      <c r="H360" s="4">
        <f>INDEX(Scores!$D$2:$D$820, MATCH('Next Gen'!$A360, Scores!$E$2:$E$820, 0))</f>
        <v>45931</v>
      </c>
    </row>
    <row r="361" spans="1:8">
      <c r="A361" s="1">
        <v>229</v>
      </c>
      <c r="B361" s="1" t="s">
        <v>5</v>
      </c>
      <c r="C361" s="1">
        <v>9</v>
      </c>
      <c r="D361" s="1">
        <v>5</v>
      </c>
      <c r="E361" s="1">
        <v>4</v>
      </c>
      <c r="F361" s="1">
        <f>SUMIF(Scores!$E$2:$E$820, 'Next Gen'!$A361, INDEX(Scores!$H$2:$P$820, 0, MATCH($B361, Scores!$H$1:$P$1, 0)))</f>
        <v>10</v>
      </c>
      <c r="G361" s="1">
        <f>INDEX(Scores!$B$2:$B$820, MATCH('Next Gen'!$A361, Scores!$E$2:$E$820, 0))</f>
        <v>256</v>
      </c>
      <c r="H361" s="4">
        <f>INDEX(Scores!$D$2:$D$820, MATCH('Next Gen'!$A361, Scores!$E$2:$E$820, 0))</f>
        <v>45931</v>
      </c>
    </row>
    <row r="362" spans="1:8">
      <c r="A362" s="1">
        <v>230</v>
      </c>
      <c r="B362" s="1" t="s">
        <v>4</v>
      </c>
      <c r="C362" s="1">
        <v>9</v>
      </c>
      <c r="D362" s="1">
        <v>9</v>
      </c>
      <c r="E362" s="1">
        <v>4</v>
      </c>
      <c r="F362" s="1">
        <f>SUMIF(Scores!$E$2:$E$820, 'Next Gen'!$A362, INDEX(Scores!$H$2:$P$820, 0, MATCH($B362, Scores!$H$1:$P$1, 0)))</f>
        <v>9</v>
      </c>
      <c r="G362" s="1">
        <f>INDEX(Scores!$B$2:$B$820, MATCH('Next Gen'!$A362, Scores!$E$2:$E$820, 0))</f>
        <v>256</v>
      </c>
      <c r="H362" s="4">
        <f>INDEX(Scores!$D$2:$D$820, MATCH('Next Gen'!$A362, Scores!$E$2:$E$820, 0))</f>
        <v>45938</v>
      </c>
    </row>
    <row r="363" spans="1:8">
      <c r="A363" s="1">
        <v>230</v>
      </c>
      <c r="B363" s="1" t="s">
        <v>5</v>
      </c>
      <c r="C363" s="1">
        <v>9</v>
      </c>
      <c r="D363" s="1">
        <v>8</v>
      </c>
      <c r="E363" s="1">
        <v>6</v>
      </c>
      <c r="F363" s="1">
        <f>SUMIF(Scores!$E$2:$E$820, 'Next Gen'!$A363, INDEX(Scores!$H$2:$P$820, 0, MATCH($B363, Scores!$H$1:$P$1, 0)))</f>
        <v>10</v>
      </c>
      <c r="G363" s="1">
        <f>INDEX(Scores!$B$2:$B$820, MATCH('Next Gen'!$A363, Scores!$E$2:$E$820, 0))</f>
        <v>256</v>
      </c>
      <c r="H363" s="4">
        <f>INDEX(Scores!$D$2:$D$820, MATCH('Next Gen'!$A363, Scores!$E$2:$E$820, 0))</f>
        <v>45938</v>
      </c>
    </row>
    <row r="364" spans="1:8">
      <c r="A364" s="1">
        <v>231</v>
      </c>
      <c r="B364" s="1" t="s">
        <v>4</v>
      </c>
      <c r="C364" s="1">
        <v>9</v>
      </c>
      <c r="D364" s="1">
        <v>9</v>
      </c>
      <c r="E364" s="1">
        <v>8</v>
      </c>
      <c r="F364" s="1">
        <f>SUMIF(Scores!$E$2:$E$820, 'Next Gen'!$A364, INDEX(Scores!$H$2:$P$820, 0, MATCH($B364, Scores!$H$1:$P$1, 0)))</f>
        <v>16</v>
      </c>
      <c r="G364" s="1">
        <f>INDEX(Scores!$B$2:$B$820, MATCH('Next Gen'!$A364, Scores!$E$2:$E$820, 0))</f>
        <v>256</v>
      </c>
      <c r="H364" s="4">
        <f>INDEX(Scores!$D$2:$D$820, MATCH('Next Gen'!$A364, Scores!$E$2:$E$820, 0))</f>
        <v>45940</v>
      </c>
    </row>
    <row r="365" spans="1:8">
      <c r="A365" s="1">
        <v>231</v>
      </c>
      <c r="B365" s="1" t="s">
        <v>5</v>
      </c>
      <c r="C365" s="1">
        <v>9</v>
      </c>
      <c r="D365" s="1">
        <v>7</v>
      </c>
      <c r="E365" s="1">
        <v>4</v>
      </c>
      <c r="F365" s="1">
        <f>SUMIF(Scores!$E$2:$E$820, 'Next Gen'!$A365, INDEX(Scores!$H$2:$P$820, 0, MATCH($B365, Scores!$H$1:$P$1, 0)))</f>
        <v>7</v>
      </c>
      <c r="G365" s="1">
        <f>INDEX(Scores!$B$2:$B$820, MATCH('Next Gen'!$A365, Scores!$E$2:$E$820, 0))</f>
        <v>256</v>
      </c>
      <c r="H365" s="4">
        <f>INDEX(Scores!$D$2:$D$820, MATCH('Next Gen'!$A365, Scores!$E$2:$E$820, 0))</f>
        <v>45940</v>
      </c>
    </row>
    <row r="366" spans="1:8">
      <c r="A366" s="1">
        <v>232</v>
      </c>
      <c r="B366" s="1" t="s">
        <v>4</v>
      </c>
      <c r="C366" s="1">
        <v>9</v>
      </c>
      <c r="D366" s="1">
        <v>9</v>
      </c>
      <c r="E366" s="1">
        <v>5</v>
      </c>
      <c r="F366" s="1">
        <f>SUMIF(Scores!$E$2:$E$820, 'Next Gen'!$A366, INDEX(Scores!$H$2:$P$820, 0, MATCH($B366, Scores!$H$1:$P$1, 0)))</f>
        <v>11</v>
      </c>
      <c r="G366" s="1">
        <f>INDEX(Scores!$B$2:$B$820, MATCH('Next Gen'!$A366, Scores!$E$2:$E$820, 0))</f>
        <v>256</v>
      </c>
      <c r="H366" s="4">
        <f>INDEX(Scores!$D$2:$D$820, MATCH('Next Gen'!$A366, Scores!$E$2:$E$820, 0))</f>
        <v>45943</v>
      </c>
    </row>
    <row r="367" spans="1:8">
      <c r="A367" s="1">
        <v>232</v>
      </c>
      <c r="B367" s="1" t="s">
        <v>5</v>
      </c>
      <c r="C367" s="1">
        <v>9</v>
      </c>
      <c r="D367" s="1">
        <v>8</v>
      </c>
      <c r="E367" s="1">
        <v>7</v>
      </c>
      <c r="F367" s="1">
        <f>SUMIF(Scores!$E$2:$E$820, 'Next Gen'!$A367, INDEX(Scores!$H$2:$P$820, 0, MATCH($B367, Scores!$H$1:$P$1, 0)))</f>
        <v>6</v>
      </c>
      <c r="G367" s="1">
        <f>INDEX(Scores!$B$2:$B$820, MATCH('Next Gen'!$A367, Scores!$E$2:$E$820, 0))</f>
        <v>256</v>
      </c>
      <c r="H367" s="4">
        <f>INDEX(Scores!$D$2:$D$820, MATCH('Next Gen'!$A367, Scores!$E$2:$E$820, 0))</f>
        <v>45943</v>
      </c>
    </row>
    <row r="368" spans="1:8">
      <c r="A368" s="1">
        <v>233</v>
      </c>
      <c r="B368" s="1" t="s">
        <v>4</v>
      </c>
      <c r="C368" s="1">
        <v>9</v>
      </c>
      <c r="D368" s="1">
        <v>9</v>
      </c>
      <c r="E368" s="1">
        <v>4</v>
      </c>
      <c r="F368" s="1">
        <f>SUMIF(Scores!$E$2:$E$820, 'Next Gen'!$A368, INDEX(Scores!$H$2:$P$820, 0, MATCH($B368, Scores!$H$1:$P$1, 0)))</f>
        <v>7</v>
      </c>
      <c r="G368" s="1">
        <f>INDEX(Scores!$B$2:$B$820, MATCH('Next Gen'!$A368, Scores!$E$2:$E$820, 0))</f>
        <v>256</v>
      </c>
      <c r="H368" s="4">
        <f>INDEX(Scores!$D$2:$D$820, MATCH('Next Gen'!$A368, Scores!$E$2:$E$820, 0))</f>
        <v>45952</v>
      </c>
    </row>
    <row r="369" spans="1:8">
      <c r="A369" s="1">
        <v>233</v>
      </c>
      <c r="B369" s="1" t="s">
        <v>5</v>
      </c>
      <c r="C369" s="1">
        <v>9</v>
      </c>
      <c r="D369" s="1">
        <v>7</v>
      </c>
      <c r="E369" s="1">
        <v>6</v>
      </c>
      <c r="F369" s="1">
        <f>SUMIF(Scores!$E$2:$E$820, 'Next Gen'!$A369, INDEX(Scores!$H$2:$P$820, 0, MATCH($B369, Scores!$H$1:$P$1, 0)))</f>
        <v>9</v>
      </c>
      <c r="G369" s="1">
        <f>INDEX(Scores!$B$2:$B$820, MATCH('Next Gen'!$A369, Scores!$E$2:$E$820, 0))</f>
        <v>256</v>
      </c>
      <c r="H369" s="4">
        <f>INDEX(Scores!$D$2:$D$820, MATCH('Next Gen'!$A369, Scores!$E$2:$E$820, 0))</f>
        <v>45952</v>
      </c>
    </row>
    <row r="370" spans="1:8">
      <c r="A370" s="1">
        <v>233</v>
      </c>
      <c r="B370" s="1" t="s">
        <v>6</v>
      </c>
      <c r="C370" s="1">
        <v>9</v>
      </c>
      <c r="D370" s="1">
        <v>7</v>
      </c>
      <c r="E370" s="1">
        <v>4</v>
      </c>
      <c r="F370" s="1">
        <f>SUMIF(Scores!$E$2:$E$820, 'Next Gen'!$A370, INDEX(Scores!$H$2:$P$820, 0, MATCH($B370, Scores!$H$1:$P$1, 0)))</f>
        <v>8</v>
      </c>
      <c r="G370" s="1">
        <f>INDEX(Scores!$B$2:$B$820, MATCH('Next Gen'!$A370, Scores!$E$2:$E$820, 0))</f>
        <v>256</v>
      </c>
      <c r="H370" s="4">
        <f>INDEX(Scores!$D$2:$D$820, MATCH('Next Gen'!$A370, Scores!$E$2:$E$820, 0))</f>
        <v>45952</v>
      </c>
    </row>
    <row r="371" spans="1:8">
      <c r="A371" s="1">
        <v>234</v>
      </c>
      <c r="B371" s="1" t="s">
        <v>4</v>
      </c>
      <c r="C371" s="1">
        <v>9</v>
      </c>
      <c r="D371" s="1">
        <v>9</v>
      </c>
      <c r="E371" s="1">
        <v>6</v>
      </c>
      <c r="F371" s="1">
        <f>SUMIF(Scores!$E$2:$E$820, 'Next Gen'!$A371, INDEX(Scores!$H$2:$P$820, 0, MATCH($B371, Scores!$H$1:$P$1, 0)))</f>
        <v>10</v>
      </c>
      <c r="G371" s="1">
        <f>INDEX(Scores!$B$2:$B$820, MATCH('Next Gen'!$A371, Scores!$E$2:$E$820, 0))</f>
        <v>256</v>
      </c>
      <c r="H371" s="4">
        <f>INDEX(Scores!$D$2:$D$820, MATCH('Next Gen'!$A371, Scores!$E$2:$E$820, 0))</f>
        <v>45953</v>
      </c>
    </row>
    <row r="372" spans="1:8">
      <c r="A372" s="1">
        <v>234</v>
      </c>
      <c r="B372" s="1" t="s">
        <v>5</v>
      </c>
      <c r="C372" s="1">
        <v>9</v>
      </c>
      <c r="D372" s="1">
        <v>8</v>
      </c>
      <c r="E372" s="1">
        <v>6</v>
      </c>
      <c r="F372" s="1">
        <f>SUMIF(Scores!$E$2:$E$820, 'Next Gen'!$A372, INDEX(Scores!$H$2:$P$820, 0, MATCH($B372, Scores!$H$1:$P$1, 0)))</f>
        <v>13</v>
      </c>
      <c r="G372" s="1">
        <f>INDEX(Scores!$B$2:$B$820, MATCH('Next Gen'!$A372, Scores!$E$2:$E$820, 0))</f>
        <v>256</v>
      </c>
      <c r="H372" s="4">
        <f>INDEX(Scores!$D$2:$D$820, MATCH('Next Gen'!$A372, Scores!$E$2:$E$820, 0))</f>
        <v>45953</v>
      </c>
    </row>
    <row r="373" spans="1:8">
      <c r="A373" s="1">
        <v>235</v>
      </c>
      <c r="B373" s="1" t="s">
        <v>4</v>
      </c>
      <c r="C373" s="1">
        <v>9</v>
      </c>
      <c r="D373" s="1">
        <v>9</v>
      </c>
      <c r="E373" s="1">
        <v>5</v>
      </c>
      <c r="F373" s="1">
        <f>SUMIF(Scores!$E$2:$E$820, 'Next Gen'!$A373, INDEX(Scores!$H$2:$P$820, 0, MATCH($B373, Scores!$H$1:$P$1, 0)))</f>
        <v>11</v>
      </c>
      <c r="G373" s="1">
        <f>INDEX(Scores!$B$2:$B$820, MATCH('Next Gen'!$A373, Scores!$E$2:$E$820, 0))</f>
        <v>256</v>
      </c>
      <c r="H373" s="4">
        <f>INDEX(Scores!$D$2:$D$820, MATCH('Next Gen'!$A373, Scores!$E$2:$E$820, 0))</f>
        <v>45954</v>
      </c>
    </row>
    <row r="374" spans="1:8">
      <c r="A374" s="1">
        <v>235</v>
      </c>
      <c r="B374" s="1" t="s">
        <v>5</v>
      </c>
      <c r="C374" s="1">
        <v>9</v>
      </c>
      <c r="D374" s="1">
        <v>9</v>
      </c>
      <c r="E374" s="1">
        <v>6</v>
      </c>
      <c r="F374" s="1">
        <f>SUMIF(Scores!$E$2:$E$820, 'Next Gen'!$A374, INDEX(Scores!$H$2:$P$820, 0, MATCH($B374, Scores!$H$1:$P$1, 0)))</f>
        <v>9</v>
      </c>
      <c r="G374" s="1">
        <f>INDEX(Scores!$B$2:$B$820, MATCH('Next Gen'!$A374, Scores!$E$2:$E$820, 0))</f>
        <v>256</v>
      </c>
      <c r="H374" s="4">
        <f>INDEX(Scores!$D$2:$D$820, MATCH('Next Gen'!$A374, Scores!$E$2:$E$820, 0))</f>
        <v>45954</v>
      </c>
    </row>
    <row r="375" spans="1:8">
      <c r="A375" s="1">
        <v>235</v>
      </c>
      <c r="B375" s="1" t="s">
        <v>6</v>
      </c>
      <c r="C375" s="1">
        <v>9</v>
      </c>
      <c r="D375" s="1">
        <v>4</v>
      </c>
      <c r="E375" s="1">
        <v>3</v>
      </c>
      <c r="F375" s="1">
        <f>SUMIF(Scores!$E$2:$E$820, 'Next Gen'!$A375, INDEX(Scores!$H$2:$P$820, 0, MATCH($B375, Scores!$H$1:$P$1, 0)))</f>
        <v>5</v>
      </c>
      <c r="G375" s="1">
        <f>INDEX(Scores!$B$2:$B$820, MATCH('Next Gen'!$A375, Scores!$E$2:$E$820, 0))</f>
        <v>256</v>
      </c>
      <c r="H375" s="4">
        <f>INDEX(Scores!$D$2:$D$820, MATCH('Next Gen'!$A375, Scores!$E$2:$E$820, 0))</f>
        <v>45954</v>
      </c>
    </row>
    <row r="376" spans="1:8">
      <c r="A376" s="1">
        <v>236</v>
      </c>
      <c r="B376" s="1" t="s">
        <v>5</v>
      </c>
      <c r="C376" s="1">
        <v>15</v>
      </c>
      <c r="D376" s="1">
        <v>12</v>
      </c>
      <c r="E376" s="1">
        <v>8</v>
      </c>
      <c r="F376" s="1">
        <f>SUMIF(Scores!$E$2:$E$820, 'Next Gen'!$A376, INDEX(Scores!$H$2:$P$820, 0, MATCH($B376, Scores!$H$1:$P$1, 0)))</f>
        <v>14</v>
      </c>
      <c r="G376" s="1">
        <f>INDEX(Scores!$B$2:$B$820, MATCH('Next Gen'!$A376, Scores!$E$2:$E$820, 0))</f>
        <v>256</v>
      </c>
      <c r="H376" s="4">
        <f>INDEX(Scores!$D$2:$D$820, MATCH('Next Gen'!$A376, Scores!$E$2:$E$820, 0))</f>
        <v>45958</v>
      </c>
    </row>
    <row r="377" spans="1:8">
      <c r="A377" s="1">
        <v>236</v>
      </c>
      <c r="B377" s="1" t="s">
        <v>4</v>
      </c>
      <c r="C377" s="1">
        <v>15</v>
      </c>
      <c r="D377" s="1">
        <v>14</v>
      </c>
      <c r="E377" s="1">
        <v>7</v>
      </c>
      <c r="F377" s="1">
        <f>SUMIF(Scores!$E$2:$E$820, 'Next Gen'!$A377, INDEX(Scores!$H$2:$P$820, 0, MATCH($B377, Scores!$H$1:$P$1, 0)))</f>
        <v>15</v>
      </c>
      <c r="G377" s="1">
        <f>INDEX(Scores!$B$2:$B$820, MATCH('Next Gen'!$A377, Scores!$E$2:$E$820, 0))</f>
        <v>256</v>
      </c>
      <c r="H377" s="4">
        <f>INDEX(Scores!$D$2:$D$820, MATCH('Next Gen'!$A377, Scores!$E$2:$E$820, 0))</f>
        <v>45958</v>
      </c>
    </row>
    <row r="378" spans="1:8">
      <c r="A378" s="1">
        <v>237</v>
      </c>
      <c r="B378" s="1" t="s">
        <v>5</v>
      </c>
      <c r="C378" s="1">
        <v>9</v>
      </c>
      <c r="D378" s="1">
        <v>9</v>
      </c>
      <c r="E378" s="1">
        <v>7</v>
      </c>
      <c r="F378" s="1">
        <f>SUMIF(Scores!$E$2:$E$820, 'Next Gen'!$A378, INDEX(Scores!$H$2:$P$820, 0, MATCH($B378, Scores!$H$1:$P$1, 0)))</f>
        <v>18</v>
      </c>
      <c r="G378" s="1">
        <f>INDEX(Scores!$B$2:$B$820, MATCH('Next Gen'!$A378, Scores!$E$2:$E$820, 0))</f>
        <v>256</v>
      </c>
      <c r="H378" s="4">
        <f>INDEX(Scores!$D$2:$D$820, MATCH('Next Gen'!$A378, Scores!$E$2:$E$820, 0))</f>
        <v>45959</v>
      </c>
    </row>
    <row r="379" spans="1:8">
      <c r="A379" s="1">
        <v>237</v>
      </c>
      <c r="B379" s="1" t="s">
        <v>4</v>
      </c>
      <c r="C379" s="1">
        <v>9</v>
      </c>
      <c r="D379" s="1">
        <v>9</v>
      </c>
      <c r="E379" s="1">
        <v>5</v>
      </c>
      <c r="F379" s="1">
        <f>SUMIF(Scores!$E$2:$E$820, 'Next Gen'!$A379, INDEX(Scores!$H$2:$P$820, 0, MATCH($B379, Scores!$H$1:$P$1, 0)))</f>
        <v>10</v>
      </c>
      <c r="G379" s="1">
        <f>INDEX(Scores!$B$2:$B$820, MATCH('Next Gen'!$A379, Scores!$E$2:$E$820, 0))</f>
        <v>256</v>
      </c>
      <c r="H379" s="4">
        <f>INDEX(Scores!$D$2:$D$820, MATCH('Next Gen'!$A379, Scores!$E$2:$E$820, 0))</f>
        <v>45959</v>
      </c>
    </row>
    <row r="380" spans="1:8">
      <c r="A380" s="1">
        <v>238</v>
      </c>
      <c r="B380" s="1" t="s">
        <v>5</v>
      </c>
      <c r="C380" s="1">
        <v>9</v>
      </c>
      <c r="D380" s="1">
        <v>7</v>
      </c>
      <c r="E380" s="1">
        <v>5</v>
      </c>
      <c r="F380" s="1">
        <f>SUMIF(Scores!$E$2:$E$820, 'Next Gen'!$A380, INDEX(Scores!$H$2:$P$820, 0, MATCH($B380, Scores!$H$1:$P$1, 0)))</f>
        <v>12</v>
      </c>
      <c r="G380" s="1">
        <f>INDEX(Scores!$B$2:$B$820, MATCH('Next Gen'!$A380, Scores!$E$2:$E$820, 0))</f>
        <v>256</v>
      </c>
      <c r="H380" s="4">
        <f>INDEX(Scores!$D$2:$D$820, MATCH('Next Gen'!$A380, Scores!$E$2:$E$820, 0))</f>
        <v>45961</v>
      </c>
    </row>
    <row r="381" spans="1:8">
      <c r="A381" s="1">
        <v>238</v>
      </c>
      <c r="B381" s="1" t="s">
        <v>4</v>
      </c>
      <c r="C381" s="1">
        <v>9</v>
      </c>
      <c r="D381" s="1">
        <v>9</v>
      </c>
      <c r="E381" s="1">
        <v>8</v>
      </c>
      <c r="F381" s="1">
        <f>SUMIF(Scores!$E$2:$E$820, 'Next Gen'!$A381, INDEX(Scores!$H$2:$P$820, 0, MATCH($B381, Scores!$H$1:$P$1, 0)))</f>
        <v>19</v>
      </c>
      <c r="G381" s="1">
        <f>INDEX(Scores!$B$2:$B$820, MATCH('Next Gen'!$A381, Scores!$E$2:$E$820, 0))</f>
        <v>256</v>
      </c>
      <c r="H381" s="4">
        <f>INDEX(Scores!$D$2:$D$820, MATCH('Next Gen'!$A381, Scores!$E$2:$E$820, 0))</f>
        <v>45961</v>
      </c>
    </row>
    <row r="382" spans="1:8">
      <c r="A382" s="1">
        <v>239</v>
      </c>
      <c r="B382" s="1" t="s">
        <v>5</v>
      </c>
      <c r="C382" s="1">
        <v>9</v>
      </c>
      <c r="D382" s="1">
        <v>9</v>
      </c>
      <c r="E382" s="1">
        <v>6</v>
      </c>
      <c r="F382" s="1">
        <f>SUMIF(Scores!$E$2:$E$820, 'Next Gen'!$A382, INDEX(Scores!$H$2:$P$820, 0, MATCH($B382, Scores!$H$1:$P$1, 0)))</f>
        <v>8</v>
      </c>
      <c r="G382" s="1">
        <f>INDEX(Scores!$B$2:$B$820, MATCH('Next Gen'!$A382, Scores!$E$2:$E$820, 0))</f>
        <v>256</v>
      </c>
      <c r="H382" s="4">
        <f>INDEX(Scores!$D$2:$D$820, MATCH('Next Gen'!$A382, Scores!$E$2:$E$820, 0))</f>
        <v>45972</v>
      </c>
    </row>
    <row r="383" spans="1:8">
      <c r="A383" s="1">
        <v>239</v>
      </c>
      <c r="B383" s="1" t="s">
        <v>4</v>
      </c>
      <c r="C383" s="1">
        <v>9</v>
      </c>
      <c r="D383" s="1">
        <v>9</v>
      </c>
      <c r="E383" s="1">
        <v>4</v>
      </c>
      <c r="F383" s="1">
        <f>SUMIF(Scores!$E$2:$E$820, 'Next Gen'!$A383, INDEX(Scores!$H$2:$P$820, 0, MATCH($B383, Scores!$H$1:$P$1, 0)))</f>
        <v>9</v>
      </c>
      <c r="G383" s="1">
        <f>INDEX(Scores!$B$2:$B$820, MATCH('Next Gen'!$A383, Scores!$E$2:$E$820, 0))</f>
        <v>256</v>
      </c>
      <c r="H383" s="4">
        <f>INDEX(Scores!$D$2:$D$820, MATCH('Next Gen'!$A383, Scores!$E$2:$E$820, 0))</f>
        <v>45972</v>
      </c>
    </row>
    <row r="384" spans="1:8">
      <c r="A384" s="1">
        <v>239</v>
      </c>
      <c r="B384" s="1" t="s">
        <v>6</v>
      </c>
      <c r="C384" s="1">
        <v>9</v>
      </c>
      <c r="D384" s="1">
        <v>9</v>
      </c>
      <c r="E384" s="1">
        <v>5</v>
      </c>
      <c r="F384" s="1">
        <f>SUMIF(Scores!$E$2:$E$820, 'Next Gen'!$A384, INDEX(Scores!$H$2:$P$820, 0, MATCH($B384, Scores!$H$1:$P$1, 0)))</f>
        <v>13</v>
      </c>
      <c r="G384" s="1">
        <f>INDEX(Scores!$B$2:$B$820, MATCH('Next Gen'!$A384, Scores!$E$2:$E$820, 0))</f>
        <v>256</v>
      </c>
      <c r="H384" s="4">
        <f>INDEX(Scores!$D$2:$D$820, MATCH('Next Gen'!$A384, Scores!$E$2:$E$820, 0))</f>
        <v>45972</v>
      </c>
    </row>
    <row r="385" spans="1:8">
      <c r="A385" s="1">
        <v>240</v>
      </c>
      <c r="B385" s="1" t="s">
        <v>5</v>
      </c>
      <c r="C385" s="1">
        <v>9</v>
      </c>
      <c r="D385" s="1">
        <v>8</v>
      </c>
      <c r="E385" s="1">
        <v>3</v>
      </c>
      <c r="F385" s="1">
        <f>SUMIF(Scores!$E$2:$E$820, 'Next Gen'!$A385, INDEX(Scores!$H$2:$P$820, 0, MATCH($B385, Scores!$H$1:$P$1, 0)))</f>
        <v>7</v>
      </c>
      <c r="G385" s="1">
        <f>INDEX(Scores!$B$2:$B$820, MATCH('Next Gen'!$A385, Scores!$E$2:$E$820, 0))</f>
        <v>256</v>
      </c>
      <c r="H385" s="4">
        <f>INDEX(Scores!$D$2:$D$820, MATCH('Next Gen'!$A385, Scores!$E$2:$E$820, 0))</f>
        <v>45973</v>
      </c>
    </row>
    <row r="386" spans="1:8">
      <c r="A386" s="1">
        <v>240</v>
      </c>
      <c r="B386" s="1" t="s">
        <v>4</v>
      </c>
      <c r="C386" s="1">
        <v>9</v>
      </c>
      <c r="D386" s="1">
        <v>9</v>
      </c>
      <c r="E386" s="1">
        <v>6</v>
      </c>
      <c r="F386" s="1">
        <f>SUMIF(Scores!$E$2:$E$820, 'Next Gen'!$A386, INDEX(Scores!$H$2:$P$820, 0, MATCH($B386, Scores!$H$1:$P$1, 0)))</f>
        <v>14</v>
      </c>
      <c r="G386" s="1">
        <f>INDEX(Scores!$B$2:$B$820, MATCH('Next Gen'!$A386, Scores!$E$2:$E$820, 0))</f>
        <v>256</v>
      </c>
      <c r="H386" s="4">
        <f>INDEX(Scores!$D$2:$D$820, MATCH('Next Gen'!$A386, Scores!$E$2:$E$820, 0))</f>
        <v>45973</v>
      </c>
    </row>
    <row r="387" spans="1:8">
      <c r="A387" s="1">
        <v>240</v>
      </c>
      <c r="B387" s="1" t="s">
        <v>6</v>
      </c>
      <c r="C387" s="1">
        <v>9</v>
      </c>
      <c r="D387" s="1">
        <v>6</v>
      </c>
      <c r="E387" s="1">
        <v>3</v>
      </c>
      <c r="F387" s="1">
        <f>SUMIF(Scores!$E$2:$E$820, 'Next Gen'!$A387, INDEX(Scores!$H$2:$P$820, 0, MATCH($B387, Scores!$H$1:$P$1, 0)))</f>
        <v>6</v>
      </c>
      <c r="G387" s="1">
        <f>INDEX(Scores!$B$2:$B$820, MATCH('Next Gen'!$A387, Scores!$E$2:$E$820, 0))</f>
        <v>256</v>
      </c>
      <c r="H387" s="4">
        <f>INDEX(Scores!$D$2:$D$820, MATCH('Next Gen'!$A387, Scores!$E$2:$E$820, 0))</f>
        <v>45973</v>
      </c>
    </row>
    <row r="388" spans="1:8">
      <c r="A388" s="1">
        <v>241</v>
      </c>
      <c r="B388" s="1" t="s">
        <v>5</v>
      </c>
      <c r="C388" s="1">
        <v>9</v>
      </c>
      <c r="D388" s="1">
        <v>6</v>
      </c>
      <c r="E388" s="1">
        <v>4</v>
      </c>
      <c r="F388" s="1">
        <f>SUMIF(Scores!$E$2:$E$820, 'Next Gen'!$A388, INDEX(Scores!$H$2:$P$820, 0, MATCH($B388, Scores!$H$1:$P$1, 0)))</f>
        <v>6</v>
      </c>
      <c r="G388" s="1">
        <f>INDEX(Scores!$B$2:$B$820, MATCH('Next Gen'!$A388, Scores!$E$2:$E$820, 0))</f>
        <v>256</v>
      </c>
      <c r="H388" s="4">
        <f>INDEX(Scores!$D$2:$D$820, MATCH('Next Gen'!$A388, Scores!$E$2:$E$820, 0))</f>
        <v>45979</v>
      </c>
    </row>
    <row r="389" spans="1:8">
      <c r="A389" s="1">
        <v>241</v>
      </c>
      <c r="B389" s="1" t="s">
        <v>4</v>
      </c>
      <c r="C389" s="1">
        <v>9</v>
      </c>
      <c r="D389" s="1">
        <v>9</v>
      </c>
      <c r="E389" s="1">
        <v>7</v>
      </c>
      <c r="F389" s="1">
        <f>SUMIF(Scores!$E$2:$E$820, 'Next Gen'!$A389, INDEX(Scores!$H$2:$P$820, 0, MATCH($B389, Scores!$H$1:$P$1, 0)))</f>
        <v>19</v>
      </c>
      <c r="G389" s="1">
        <f>INDEX(Scores!$B$2:$B$820, MATCH('Next Gen'!$A389, Scores!$E$2:$E$820, 0))</f>
        <v>256</v>
      </c>
      <c r="H389" s="4">
        <f>INDEX(Scores!$D$2:$D$820, MATCH('Next Gen'!$A389, Scores!$E$2:$E$820, 0))</f>
        <v>45979</v>
      </c>
    </row>
    <row r="390" spans="1:8">
      <c r="A390" s="1">
        <v>241</v>
      </c>
      <c r="B390" s="1" t="s">
        <v>23</v>
      </c>
      <c r="C390" s="1">
        <v>9</v>
      </c>
      <c r="D390" s="1">
        <v>2</v>
      </c>
      <c r="E390" s="1">
        <v>2</v>
      </c>
      <c r="F390" s="1">
        <f>SUMIF(Scores!$E$2:$E$820, 'Next Gen'!$A390, INDEX(Scores!$H$2:$P$820, 0, MATCH($B390, Scores!$H$1:$P$1, 0)))</f>
        <v>4</v>
      </c>
      <c r="G390" s="1">
        <f>INDEX(Scores!$B$2:$B$820, MATCH('Next Gen'!$A390, Scores!$E$2:$E$820, 0))</f>
        <v>256</v>
      </c>
      <c r="H390" s="4">
        <f>INDEX(Scores!$D$2:$D$820, MATCH('Next Gen'!$A390, Scores!$E$2:$E$820, 0))</f>
        <v>45979</v>
      </c>
    </row>
    <row r="391" spans="1:8">
      <c r="A391" s="1">
        <v>241</v>
      </c>
      <c r="B391" s="1" t="s">
        <v>119</v>
      </c>
      <c r="C391" s="1">
        <v>9</v>
      </c>
      <c r="D391" s="1">
        <v>2</v>
      </c>
      <c r="E391" s="1">
        <v>2</v>
      </c>
      <c r="F391" s="1">
        <f>SUMIF(Scores!$E$2:$E$820, 'Next Gen'!$A391, INDEX(Scores!$H$2:$P$820, 0, MATCH($B391, Scores!$H$1:$P$1, 0)))</f>
        <v>5</v>
      </c>
      <c r="G391" s="1">
        <f>INDEX(Scores!$B$2:$B$820, MATCH('Next Gen'!$A391, Scores!$E$2:$E$820, 0))</f>
        <v>256</v>
      </c>
      <c r="H391" s="4">
        <f>INDEX(Scores!$D$2:$D$820, MATCH('Next Gen'!$A391, Scores!$E$2:$E$820, 0))</f>
        <v>45979</v>
      </c>
    </row>
    <row r="392" spans="1:8">
      <c r="A392" s="1">
        <v>242</v>
      </c>
      <c r="B392" s="1" t="s">
        <v>5</v>
      </c>
      <c r="C392" s="1">
        <v>9</v>
      </c>
      <c r="D392" s="1">
        <v>8</v>
      </c>
      <c r="E392" s="1">
        <v>4</v>
      </c>
      <c r="F392" s="1">
        <f>SUMIF(Scores!$E$2:$E$820, 'Next Gen'!$A392, INDEX(Scores!$H$2:$P$820, 0, MATCH($B392, Scores!$H$1:$P$1, 0)))</f>
        <v>10</v>
      </c>
      <c r="G392" s="1">
        <f>INDEX(Scores!$B$2:$B$820, MATCH('Next Gen'!$A392, Scores!$E$2:$E$820, 0))</f>
        <v>256</v>
      </c>
      <c r="H392" s="4">
        <f>INDEX(Scores!$D$2:$D$820, MATCH('Next Gen'!$A392, Scores!$E$2:$E$820, 0))</f>
        <v>45981</v>
      </c>
    </row>
    <row r="393" spans="1:8">
      <c r="A393" s="1">
        <v>242</v>
      </c>
      <c r="B393" s="1" t="s">
        <v>4</v>
      </c>
      <c r="C393" s="1">
        <v>9</v>
      </c>
      <c r="D393" s="1">
        <v>9</v>
      </c>
      <c r="E393" s="1">
        <v>7</v>
      </c>
      <c r="F393" s="1">
        <f>SUMIF(Scores!$E$2:$E$820, 'Next Gen'!$A393, INDEX(Scores!$H$2:$P$820, 0, MATCH($B393, Scores!$H$1:$P$1, 0)))</f>
        <v>14</v>
      </c>
      <c r="G393" s="1">
        <f>INDEX(Scores!$B$2:$B$820, MATCH('Next Gen'!$A393, Scores!$E$2:$E$820, 0))</f>
        <v>256</v>
      </c>
      <c r="H393" s="4">
        <f>INDEX(Scores!$D$2:$D$820, MATCH('Next Gen'!$A393, Scores!$E$2:$E$820, 0))</f>
        <v>45981</v>
      </c>
    </row>
    <row r="394" spans="1:8">
      <c r="A394" s="1">
        <v>243</v>
      </c>
      <c r="B394" s="1" t="s">
        <v>5</v>
      </c>
      <c r="C394" s="1">
        <v>9</v>
      </c>
      <c r="D394" s="1">
        <v>5</v>
      </c>
      <c r="E394" s="1">
        <v>5</v>
      </c>
      <c r="F394" s="1">
        <f>SUMIF(Scores!$E$2:$E$820, 'Next Gen'!$A394, INDEX(Scores!$H$2:$P$820, 0, MATCH($B394, Scores!$H$1:$P$1, 0)))</f>
        <v>13</v>
      </c>
      <c r="G394" s="1">
        <f>INDEX(Scores!$B$2:$B$820, MATCH('Next Gen'!$A394, Scores!$E$2:$E$820, 0))</f>
        <v>256</v>
      </c>
      <c r="H394" s="4">
        <f>INDEX(Scores!$D$2:$D$820, MATCH('Next Gen'!$A394, Scores!$E$2:$E$820, 0))</f>
        <v>45982</v>
      </c>
    </row>
    <row r="395" spans="1:8">
      <c r="A395" s="1">
        <v>243</v>
      </c>
      <c r="B395" s="1" t="s">
        <v>4</v>
      </c>
      <c r="C395" s="1">
        <v>9</v>
      </c>
      <c r="D395" s="1">
        <v>8</v>
      </c>
      <c r="E395" s="1">
        <v>4</v>
      </c>
      <c r="F395" s="1">
        <f>SUMIF(Scores!$E$2:$E$820, 'Next Gen'!$A395, INDEX(Scores!$H$2:$P$820, 0, MATCH($B395, Scores!$H$1:$P$1, 0)))</f>
        <v>9</v>
      </c>
      <c r="G395" s="1">
        <f>INDEX(Scores!$B$2:$B$820, MATCH('Next Gen'!$A395, Scores!$E$2:$E$820, 0))</f>
        <v>256</v>
      </c>
      <c r="H395" s="4">
        <f>INDEX(Scores!$D$2:$D$820, MATCH('Next Gen'!$A395, Scores!$E$2:$E$820, 0))</f>
        <v>45982</v>
      </c>
    </row>
    <row r="396" spans="1:8">
      <c r="A396" s="1">
        <v>244</v>
      </c>
      <c r="B396" s="1" t="s">
        <v>5</v>
      </c>
      <c r="C396" s="1">
        <v>15</v>
      </c>
      <c r="D396" s="1">
        <v>13</v>
      </c>
      <c r="E396" s="1">
        <v>11</v>
      </c>
      <c r="F396" s="1">
        <f>SUMIF(Scores!$E$2:$E$820, 'Next Gen'!$A396, INDEX(Scores!$H$2:$P$820, 0, MATCH($B396, Scores!$H$1:$P$1, 0)))</f>
        <v>18</v>
      </c>
      <c r="G396" s="1">
        <f>INDEX(Scores!$B$2:$B$820, MATCH('Next Gen'!$A396, Scores!$E$2:$E$820, 0))</f>
        <v>256</v>
      </c>
      <c r="H396" s="4">
        <f>INDEX(Scores!$D$2:$D$820, MATCH('Next Gen'!$A396, Scores!$E$2:$E$820, 0))</f>
        <v>45992</v>
      </c>
    </row>
    <row r="397" spans="1:8">
      <c r="A397" s="1">
        <v>244</v>
      </c>
      <c r="B397" s="1" t="s">
        <v>4</v>
      </c>
      <c r="C397" s="1">
        <v>15</v>
      </c>
      <c r="D397" s="1">
        <v>15</v>
      </c>
      <c r="E397" s="1">
        <v>7</v>
      </c>
      <c r="F397" s="1">
        <f>SUMIF(Scores!$E$2:$E$820, 'Next Gen'!$A397, INDEX(Scores!$H$2:$P$820, 0, MATCH($B397, Scores!$H$1:$P$1, 0)))</f>
        <v>15</v>
      </c>
      <c r="G397" s="1">
        <f>INDEX(Scores!$B$2:$B$820, MATCH('Next Gen'!$A397, Scores!$E$2:$E$820, 0))</f>
        <v>256</v>
      </c>
      <c r="H397" s="4">
        <f>INDEX(Scores!$D$2:$D$820, MATCH('Next Gen'!$A397, Scores!$E$2:$E$820, 0))</f>
        <v>45992</v>
      </c>
    </row>
    <row r="398" spans="1:8">
      <c r="A398" s="1">
        <v>245</v>
      </c>
      <c r="B398" s="1" t="s">
        <v>5</v>
      </c>
      <c r="C398" s="1">
        <v>9</v>
      </c>
      <c r="D398" s="1">
        <v>7</v>
      </c>
      <c r="E398" s="1">
        <v>5</v>
      </c>
      <c r="F398" s="1">
        <f>SUMIF(Scores!$E$2:$E$820, 'Next Gen'!$A398, INDEX(Scores!$H$2:$P$820, 0, MATCH($B398, Scores!$H$1:$P$1, 0)))</f>
        <v>12</v>
      </c>
      <c r="G398" s="1">
        <f>INDEX(Scores!$B$2:$B$820, MATCH('Next Gen'!$A398, Scores!$E$2:$E$820, 0))</f>
        <v>256</v>
      </c>
      <c r="H398" s="4">
        <f>INDEX(Scores!$D$2:$D$820, MATCH('Next Gen'!$A398, Scores!$E$2:$E$820, 0))</f>
        <v>45993</v>
      </c>
    </row>
    <row r="399" spans="1:8">
      <c r="A399" s="1">
        <v>245</v>
      </c>
      <c r="B399" s="1" t="s">
        <v>4</v>
      </c>
      <c r="C399" s="1">
        <v>9</v>
      </c>
      <c r="D399" s="1">
        <v>9</v>
      </c>
      <c r="E399" s="1">
        <v>8</v>
      </c>
      <c r="F399" s="1">
        <f>SUMIF(Scores!$E$2:$E$820, 'Next Gen'!$A399, INDEX(Scores!$H$2:$P$820, 0, MATCH($B399, Scores!$H$1:$P$1, 0)))</f>
        <v>14</v>
      </c>
      <c r="G399" s="1">
        <f>INDEX(Scores!$B$2:$B$820, MATCH('Next Gen'!$A399, Scores!$E$2:$E$820, 0))</f>
        <v>256</v>
      </c>
      <c r="H399" s="4">
        <f>INDEX(Scores!$D$2:$D$820, MATCH('Next Gen'!$A399, Scores!$E$2:$E$820, 0))</f>
        <v>45993</v>
      </c>
    </row>
    <row r="400" spans="1:8">
      <c r="A400" s="1">
        <v>246</v>
      </c>
      <c r="B400" s="1" t="s">
        <v>5</v>
      </c>
      <c r="C400" s="1">
        <v>9</v>
      </c>
      <c r="D400" s="1">
        <v>8</v>
      </c>
      <c r="E400" s="1">
        <v>5</v>
      </c>
      <c r="F400" s="1">
        <f>SUMIF(Scores!$E$2:$E$820, 'Next Gen'!$A400, INDEX(Scores!$H$2:$P$820, 0, MATCH($B400, Scores!$H$1:$P$1, 0)))</f>
        <v>11</v>
      </c>
      <c r="G400" s="1">
        <f>INDEX(Scores!$B$2:$B$820, MATCH('Next Gen'!$A400, Scores!$E$2:$E$820, 0))</f>
        <v>256</v>
      </c>
      <c r="H400" s="4">
        <f>INDEX(Scores!$D$2:$D$820, MATCH('Next Gen'!$A400, Scores!$E$2:$E$820, 0))</f>
        <v>45994</v>
      </c>
    </row>
    <row r="401" spans="1:8">
      <c r="A401" s="1">
        <v>246</v>
      </c>
      <c r="B401" s="1" t="s">
        <v>4</v>
      </c>
      <c r="C401" s="1">
        <v>9</v>
      </c>
      <c r="D401" s="1">
        <v>9</v>
      </c>
      <c r="E401" s="1">
        <v>6</v>
      </c>
      <c r="F401" s="1">
        <f>SUMIF(Scores!$E$2:$E$820, 'Next Gen'!$A401, INDEX(Scores!$H$2:$P$820, 0, MATCH($B401, Scores!$H$1:$P$1, 0)))</f>
        <v>13</v>
      </c>
      <c r="G401" s="1">
        <f>INDEX(Scores!$B$2:$B$820, MATCH('Next Gen'!$A401, Scores!$E$2:$E$820, 0))</f>
        <v>256</v>
      </c>
      <c r="H401" s="4">
        <f>INDEX(Scores!$D$2:$D$820, MATCH('Next Gen'!$A401, Scores!$E$2:$E$820, 0))</f>
        <v>45994</v>
      </c>
    </row>
    <row r="402" spans="1:8">
      <c r="A402" s="1">
        <v>247</v>
      </c>
      <c r="B402" s="1" t="s">
        <v>5</v>
      </c>
      <c r="C402" s="1">
        <v>9</v>
      </c>
      <c r="D402" s="1">
        <v>7</v>
      </c>
      <c r="E402" s="1">
        <v>4</v>
      </c>
      <c r="F402" s="1">
        <f>SUMIF(Scores!$E$2:$E$820, 'Next Gen'!$A402, INDEX(Scores!$H$2:$P$820, 0, MATCH($B402, Scores!$H$1:$P$1, 0)))</f>
        <v>6</v>
      </c>
      <c r="G402" s="1">
        <f>INDEX(Scores!$B$2:$B$820, MATCH('Next Gen'!$A402, Scores!$E$2:$E$820, 0))</f>
        <v>256</v>
      </c>
      <c r="H402" s="4">
        <f>INDEX(Scores!$D$2:$D$820, MATCH('Next Gen'!$A402, Scores!$E$2:$E$820, 0))</f>
        <v>45995</v>
      </c>
    </row>
    <row r="403" spans="1:8">
      <c r="A403" s="1">
        <v>247</v>
      </c>
      <c r="B403" s="1" t="s">
        <v>4</v>
      </c>
      <c r="C403" s="1">
        <v>9</v>
      </c>
      <c r="D403" s="1">
        <v>9</v>
      </c>
      <c r="E403" s="1">
        <v>4</v>
      </c>
      <c r="F403" s="1">
        <f>SUMIF(Scores!$E$2:$E$820, 'Next Gen'!$A403, INDEX(Scores!$H$2:$P$820, 0, MATCH($B403, Scores!$H$1:$P$1, 0)))</f>
        <v>7</v>
      </c>
      <c r="G403" s="1">
        <f>INDEX(Scores!$B$2:$B$820, MATCH('Next Gen'!$A403, Scores!$E$2:$E$820, 0))</f>
        <v>256</v>
      </c>
      <c r="H403" s="4">
        <f>INDEX(Scores!$D$2:$D$820, MATCH('Next Gen'!$A403, Scores!$E$2:$E$820, 0))</f>
        <v>45995</v>
      </c>
    </row>
    <row r="404" spans="1:8">
      <c r="A404" s="1">
        <v>248</v>
      </c>
      <c r="B404" s="1" t="s">
        <v>5</v>
      </c>
      <c r="C404" s="1">
        <v>9</v>
      </c>
      <c r="D404" s="1">
        <v>7</v>
      </c>
      <c r="E404" s="1">
        <v>4</v>
      </c>
      <c r="F404" s="1">
        <f>SUMIF(Scores!$E$2:$E$820, 'Next Gen'!$A404, INDEX(Scores!$H$2:$P$820, 0, MATCH($B404, Scores!$H$1:$P$1, 0)))</f>
        <v>6</v>
      </c>
      <c r="G404" s="1">
        <f>INDEX(Scores!$B$2:$B$820, MATCH('Next Gen'!$A404, Scores!$E$2:$E$820, 0))</f>
        <v>256</v>
      </c>
      <c r="H404" s="4">
        <f>INDEX(Scores!$D$2:$D$820, MATCH('Next Gen'!$A404, Scores!$E$2:$E$820, 0))</f>
        <v>45996</v>
      </c>
    </row>
    <row r="405" spans="1:8">
      <c r="A405" s="1">
        <v>248</v>
      </c>
      <c r="B405" s="1" t="s">
        <v>4</v>
      </c>
      <c r="C405" s="1">
        <v>9</v>
      </c>
      <c r="D405" s="1">
        <v>9</v>
      </c>
      <c r="E405" s="1">
        <v>6</v>
      </c>
      <c r="F405" s="1">
        <f>SUMIF(Scores!$E$2:$E$820, 'Next Gen'!$A405, INDEX(Scores!$H$2:$P$820, 0, MATCH($B405, Scores!$H$1:$P$1, 0)))</f>
        <v>15</v>
      </c>
      <c r="G405" s="1">
        <f>INDEX(Scores!$B$2:$B$820, MATCH('Next Gen'!$A405, Scores!$E$2:$E$820, 0))</f>
        <v>256</v>
      </c>
      <c r="H405" s="4">
        <f>INDEX(Scores!$D$2:$D$820, MATCH('Next Gen'!$A405, Scores!$E$2:$E$820, 0))</f>
        <v>45996</v>
      </c>
    </row>
    <row r="406" spans="1:8">
      <c r="A406" s="1">
        <v>249</v>
      </c>
      <c r="B406" s="1" t="s">
        <v>5</v>
      </c>
      <c r="C406" s="1">
        <v>9</v>
      </c>
      <c r="D406" s="1">
        <v>9</v>
      </c>
      <c r="E406" s="1">
        <v>6</v>
      </c>
      <c r="F406" s="1">
        <f>SUMIF(Scores!$E$2:$E$820, 'Next Gen'!$A406, INDEX(Scores!$H$2:$P$820, 0, MATCH($B406, Scores!$H$1:$P$1, 0)))</f>
        <v>15</v>
      </c>
      <c r="G406" s="1">
        <f>INDEX(Scores!$B$2:$B$820, MATCH('Next Gen'!$A406, Scores!$E$2:$E$820, 0))</f>
        <v>256</v>
      </c>
      <c r="H406" s="4">
        <f>INDEX(Scores!$D$2:$D$820, MATCH('Next Gen'!$A406, Scores!$E$2:$E$820, 0))</f>
        <v>45999</v>
      </c>
    </row>
    <row r="407" spans="1:8">
      <c r="A407" s="1">
        <v>249</v>
      </c>
      <c r="B407" s="1" t="s">
        <v>4</v>
      </c>
      <c r="C407" s="1">
        <v>9</v>
      </c>
      <c r="D407" s="1">
        <v>9</v>
      </c>
      <c r="E407" s="1">
        <v>6</v>
      </c>
      <c r="F407" s="1">
        <f>SUMIF(Scores!$E$2:$E$820, 'Next Gen'!$A407, INDEX(Scores!$H$2:$P$820, 0, MATCH($B407, Scores!$H$1:$P$1, 0)))</f>
        <v>12</v>
      </c>
      <c r="G407" s="1">
        <f>INDEX(Scores!$B$2:$B$820, MATCH('Next Gen'!$A407, Scores!$E$2:$E$820, 0))</f>
        <v>256</v>
      </c>
      <c r="H407" s="4">
        <f>INDEX(Scores!$D$2:$D$820, MATCH('Next Gen'!$A407, Scores!$E$2:$E$820, 0))</f>
        <v>45999</v>
      </c>
    </row>
    <row r="408" spans="1:8">
      <c r="A408" s="1">
        <v>249</v>
      </c>
      <c r="B408" s="1" t="s">
        <v>6</v>
      </c>
      <c r="C408" s="1">
        <v>9</v>
      </c>
      <c r="D408" s="1">
        <v>5</v>
      </c>
      <c r="E408" s="1">
        <v>2</v>
      </c>
      <c r="F408" s="1">
        <f>SUMIF(Scores!$E$2:$E$820, 'Next Gen'!$A408, INDEX(Scores!$H$2:$P$820, 0, MATCH($B408, Scores!$H$1:$P$1, 0)))</f>
        <v>2</v>
      </c>
      <c r="G408" s="1">
        <f>INDEX(Scores!$B$2:$B$820, MATCH('Next Gen'!$A408, Scores!$E$2:$E$820, 0))</f>
        <v>256</v>
      </c>
      <c r="H408" s="4">
        <f>INDEX(Scores!$D$2:$D$820, MATCH('Next Gen'!$A408, Scores!$E$2:$E$820, 0))</f>
        <v>45999</v>
      </c>
    </row>
    <row r="409" spans="1:8">
      <c r="A409" s="1">
        <v>250</v>
      </c>
      <c r="B409" s="1" t="s">
        <v>5</v>
      </c>
      <c r="C409" s="1">
        <v>12</v>
      </c>
      <c r="D409" s="1">
        <v>10</v>
      </c>
      <c r="E409" s="1">
        <v>7</v>
      </c>
      <c r="F409" s="1">
        <f>SUMIF(Scores!$E$2:$E$820, 'Next Gen'!$A409, INDEX(Scores!$H$2:$P$820, 0, MATCH($B409, Scores!$H$1:$P$1, 0)))</f>
        <v>16</v>
      </c>
      <c r="G409" s="1">
        <f>INDEX(Scores!$B$2:$B$820, MATCH('Next Gen'!$A409, Scores!$E$2:$E$820, 0))</f>
        <v>256</v>
      </c>
      <c r="H409" s="4">
        <f>INDEX(Scores!$D$2:$D$820, MATCH('Next Gen'!$A409, Scores!$E$2:$E$820, 0))</f>
        <v>45999</v>
      </c>
    </row>
    <row r="410" spans="1:8">
      <c r="A410" s="1">
        <v>250</v>
      </c>
      <c r="B410" s="1" t="s">
        <v>4</v>
      </c>
      <c r="C410" s="1">
        <v>12</v>
      </c>
      <c r="D410" s="1">
        <v>12</v>
      </c>
      <c r="E410" s="1">
        <v>5</v>
      </c>
      <c r="F410" s="1">
        <f>SUMIF(Scores!$E$2:$E$820, 'Next Gen'!$A410, INDEX(Scores!$H$2:$P$820, 0, MATCH($B410, Scores!$H$1:$P$1, 0)))</f>
        <v>13</v>
      </c>
      <c r="G410" s="1">
        <f>INDEX(Scores!$B$2:$B$820, MATCH('Next Gen'!$A410, Scores!$E$2:$E$820, 0))</f>
        <v>256</v>
      </c>
      <c r="H410" s="4">
        <f>INDEX(Scores!$D$2:$D$820, MATCH('Next Gen'!$A410, Scores!$E$2:$E$820, 0))</f>
        <v>45999</v>
      </c>
    </row>
    <row r="411" spans="1:8">
      <c r="A411" s="1">
        <v>250</v>
      </c>
      <c r="B411" s="1" t="s">
        <v>6</v>
      </c>
      <c r="C411" s="1">
        <v>9</v>
      </c>
      <c r="D411" s="1">
        <v>7</v>
      </c>
      <c r="E411" s="1">
        <v>6</v>
      </c>
      <c r="F411" s="1">
        <f>SUMIF(Scores!$E$2:$E$820, 'Next Gen'!$A411, INDEX(Scores!$H$2:$P$820, 0, MATCH($B411, Scores!$H$1:$P$1, 0)))</f>
        <v>7</v>
      </c>
      <c r="G411" s="1">
        <f>INDEX(Scores!$B$2:$B$820, MATCH('Next Gen'!$A411, Scores!$E$2:$E$820, 0))</f>
        <v>256</v>
      </c>
      <c r="H411" s="4">
        <f>INDEX(Scores!$D$2:$D$820, MATCH('Next Gen'!$A411, Scores!$E$2:$E$820, 0))</f>
        <v>45999</v>
      </c>
    </row>
    <row r="412" spans="1:8">
      <c r="A412" s="1">
        <v>251</v>
      </c>
      <c r="B412" s="1" t="s">
        <v>5</v>
      </c>
      <c r="C412" s="1">
        <v>9</v>
      </c>
      <c r="D412" s="1">
        <v>9</v>
      </c>
      <c r="E412" s="1">
        <v>5</v>
      </c>
      <c r="F412" s="1">
        <f>SUMIF(Scores!$E$2:$E$820, 'Next Gen'!$A412, INDEX(Scores!$H$2:$P$820, 0, MATCH($B412, Scores!$H$1:$P$1, 0)))</f>
        <v>11</v>
      </c>
      <c r="G412" s="1">
        <f>INDEX(Scores!$B$2:$B$820, MATCH('Next Gen'!$A412, Scores!$E$2:$E$820, 0))</f>
        <v>256</v>
      </c>
      <c r="H412" s="4">
        <f>INDEX(Scores!$D$2:$D$820, MATCH('Next Gen'!$A412, Scores!$E$2:$E$820, 0))</f>
        <v>46000</v>
      </c>
    </row>
    <row r="413" spans="1:8">
      <c r="A413" s="1">
        <v>251</v>
      </c>
      <c r="B413" s="1" t="s">
        <v>4</v>
      </c>
      <c r="C413" s="1">
        <v>9</v>
      </c>
      <c r="D413" s="1">
        <v>6</v>
      </c>
      <c r="E413" s="1">
        <v>6</v>
      </c>
      <c r="F413" s="1">
        <f>SUMIF(Scores!$E$2:$E$820, 'Next Gen'!$A413, INDEX(Scores!$H$2:$P$820, 0, MATCH($B413, Scores!$H$1:$P$1, 0)))</f>
        <v>13</v>
      </c>
      <c r="G413" s="1">
        <f>INDEX(Scores!$B$2:$B$820, MATCH('Next Gen'!$A413, Scores!$E$2:$E$820, 0))</f>
        <v>256</v>
      </c>
      <c r="H413" s="4">
        <f>INDEX(Scores!$D$2:$D$820, MATCH('Next Gen'!$A413, Scores!$E$2:$E$820, 0))</f>
        <v>46000</v>
      </c>
    </row>
    <row r="414" spans="1:8">
      <c r="A414" s="1">
        <v>253</v>
      </c>
      <c r="B414" s="1" t="s">
        <v>4</v>
      </c>
      <c r="C414" s="1">
        <v>9</v>
      </c>
      <c r="D414" s="1">
        <v>9</v>
      </c>
      <c r="E414" s="1">
        <v>7</v>
      </c>
      <c r="F414" s="1">
        <f>SUMIF(Scores!$E$2:$E$820, 'Next Gen'!$A414, INDEX(Scores!$H$2:$P$820, 0, MATCH($B414, Scores!$H$1:$P$1, 0)))</f>
        <v>19</v>
      </c>
      <c r="G414" s="1">
        <f>INDEX(Scores!$B$2:$B$820, MATCH('Next Gen'!$A414, Scores!$E$2:$E$820, 0))</f>
        <v>256</v>
      </c>
      <c r="H414" s="4">
        <f>INDEX(Scores!$D$2:$D$820, MATCH('Next Gen'!$A414, Scores!$E$2:$E$820, 0))</f>
        <v>46034</v>
      </c>
    </row>
    <row r="415" spans="1:8">
      <c r="A415" s="1">
        <v>253</v>
      </c>
      <c r="B415" s="1" t="s">
        <v>5</v>
      </c>
      <c r="C415" s="1">
        <v>9</v>
      </c>
      <c r="D415" s="1">
        <v>7</v>
      </c>
      <c r="E415" s="1">
        <v>6</v>
      </c>
      <c r="F415" s="1">
        <f>SUMIF(Scores!$E$2:$E$820, 'Next Gen'!$A415, INDEX(Scores!$H$2:$P$820, 0, MATCH($B415, Scores!$H$1:$P$1, 0)))</f>
        <v>12</v>
      </c>
      <c r="G415" s="1">
        <f>INDEX(Scores!$B$2:$B$820, MATCH('Next Gen'!$A415, Scores!$E$2:$E$820, 0))</f>
        <v>256</v>
      </c>
      <c r="H415" s="4">
        <f>INDEX(Scores!$D$2:$D$820, MATCH('Next Gen'!$A415, Scores!$E$2:$E$820, 0))</f>
        <v>46034</v>
      </c>
    </row>
    <row r="416" spans="1:8">
      <c r="A416" s="1">
        <v>254</v>
      </c>
      <c r="B416" s="1" t="s">
        <v>4</v>
      </c>
      <c r="C416" s="1">
        <v>9</v>
      </c>
      <c r="D416" s="1">
        <v>9</v>
      </c>
      <c r="E416" s="1">
        <v>3</v>
      </c>
      <c r="F416" s="1">
        <f>SUMIF(Scores!$E$2:$E$820, 'Next Gen'!$A416, INDEX(Scores!$H$2:$P$820, 0, MATCH($B416, Scores!$H$1:$P$1, 0)))</f>
        <v>7</v>
      </c>
      <c r="G416" s="1">
        <f>INDEX(Scores!$B$2:$B$820, MATCH('Next Gen'!$A416, Scores!$E$2:$E$820, 0))</f>
        <v>256</v>
      </c>
      <c r="H416" s="4">
        <f>INDEX(Scores!$D$2:$D$820, MATCH('Next Gen'!$A416, Scores!$E$2:$E$820, 0))</f>
        <v>46035</v>
      </c>
    </row>
    <row r="417" spans="1:8">
      <c r="A417" s="1">
        <v>254</v>
      </c>
      <c r="B417" s="1" t="s">
        <v>5</v>
      </c>
      <c r="C417" s="1">
        <v>9</v>
      </c>
      <c r="D417" s="1">
        <v>8</v>
      </c>
      <c r="E417" s="1">
        <v>4</v>
      </c>
      <c r="F417" s="1">
        <f>SUMIF(Scores!$E$2:$E$820, 'Next Gen'!$A417, INDEX(Scores!$H$2:$P$820, 0, MATCH($B417, Scores!$H$1:$P$1, 0)))</f>
        <v>8</v>
      </c>
      <c r="G417" s="1">
        <f>INDEX(Scores!$B$2:$B$820, MATCH('Next Gen'!$A417, Scores!$E$2:$E$820, 0))</f>
        <v>256</v>
      </c>
      <c r="H417" s="4">
        <f>INDEX(Scores!$D$2:$D$820, MATCH('Next Gen'!$A417, Scores!$E$2:$E$820, 0))</f>
        <v>46035</v>
      </c>
    </row>
    <row r="418" spans="1:8">
      <c r="A418" s="1">
        <v>255</v>
      </c>
      <c r="B418" s="1" t="s">
        <v>5</v>
      </c>
      <c r="C418" s="1">
        <v>9</v>
      </c>
      <c r="D418" s="1">
        <v>6</v>
      </c>
      <c r="E418" s="1">
        <v>5</v>
      </c>
      <c r="F418" s="1">
        <f>SUMIF(Scores!$E$2:$E$820, 'Next Gen'!$A418, INDEX(Scores!$H$2:$P$820, 0, MATCH($B418, Scores!$H$1:$P$1, 0)))</f>
        <v>9</v>
      </c>
      <c r="G418" s="1">
        <f>INDEX(Scores!$B$2:$B$820, MATCH('Next Gen'!$A418, Scores!$E$2:$E$820, 0))</f>
        <v>256</v>
      </c>
      <c r="H418" s="4">
        <f>INDEX(Scores!$D$2:$D$820, MATCH('Next Gen'!$A418, Scores!$E$2:$E$820, 0))</f>
        <v>46036</v>
      </c>
    </row>
    <row r="419" spans="1:8">
      <c r="A419" s="1">
        <v>255</v>
      </c>
      <c r="B419" s="1" t="s">
        <v>4</v>
      </c>
      <c r="C419" s="1">
        <v>9</v>
      </c>
      <c r="D419" s="1">
        <v>9</v>
      </c>
      <c r="E419" s="1">
        <v>6</v>
      </c>
      <c r="F419" s="1">
        <f>SUMIF(Scores!$E$2:$E$820, 'Next Gen'!$A419, INDEX(Scores!$H$2:$P$820, 0, MATCH($B419, Scores!$H$1:$P$1, 0)))</f>
        <v>18</v>
      </c>
      <c r="G419" s="1">
        <f>INDEX(Scores!$B$2:$B$820, MATCH('Next Gen'!$A419, Scores!$E$2:$E$820, 0))</f>
        <v>256</v>
      </c>
      <c r="H419" s="4">
        <f>INDEX(Scores!$D$2:$D$820, MATCH('Next Gen'!$A419, Scores!$E$2:$E$820, 0))</f>
        <v>46036</v>
      </c>
    </row>
    <row r="420" spans="1:8">
      <c r="A420" s="1">
        <v>256</v>
      </c>
      <c r="B420" s="1" t="s">
        <v>5</v>
      </c>
      <c r="C420" s="1">
        <v>12</v>
      </c>
      <c r="D420" s="1">
        <v>12</v>
      </c>
      <c r="E420" s="1">
        <v>10</v>
      </c>
      <c r="F420" s="1">
        <f>SUMIF(Scores!$E$2:$E$820, 'Next Gen'!$A420, INDEX(Scores!$H$2:$P$820, 0, MATCH($B420, Scores!$H$1:$P$1, 0)))</f>
        <v>19</v>
      </c>
      <c r="G420" s="1">
        <f>INDEX(Scores!$B$2:$B$820, MATCH('Next Gen'!$A420, Scores!$E$2:$E$820, 0))</f>
        <v>256</v>
      </c>
      <c r="H420" s="4">
        <f>INDEX(Scores!$D$2:$D$820, MATCH('Next Gen'!$A420, Scores!$E$2:$E$820, 0))</f>
        <v>46044</v>
      </c>
    </row>
    <row r="421" spans="1:8">
      <c r="A421" s="1">
        <v>256</v>
      </c>
      <c r="B421" s="1" t="s">
        <v>4</v>
      </c>
      <c r="C421" s="1">
        <v>12</v>
      </c>
      <c r="D421" s="1">
        <v>12</v>
      </c>
      <c r="E421" s="1">
        <v>5</v>
      </c>
      <c r="F421" s="1">
        <f>SUMIF(Scores!$E$2:$E$820, 'Next Gen'!$A421, INDEX(Scores!$H$2:$P$820, 0, MATCH($B421, Scores!$H$1:$P$1, 0)))</f>
        <v>12</v>
      </c>
      <c r="G421" s="1">
        <f>INDEX(Scores!$B$2:$B$820, MATCH('Next Gen'!$A421, Scores!$E$2:$E$820, 0))</f>
        <v>256</v>
      </c>
      <c r="H421" s="4">
        <f>INDEX(Scores!$D$2:$D$820, MATCH('Next Gen'!$A421, Scores!$E$2:$E$820, 0))</f>
        <v>46044</v>
      </c>
    </row>
    <row r="422" spans="1:8">
      <c r="A422" s="1">
        <v>257</v>
      </c>
      <c r="B422" s="1" t="s">
        <v>5</v>
      </c>
      <c r="C422" s="1">
        <v>9</v>
      </c>
      <c r="D422" s="1">
        <v>9</v>
      </c>
      <c r="E422" s="1">
        <v>6</v>
      </c>
      <c r="F422" s="1">
        <f>SUMIF(Scores!$E$2:$E$820, 'Next Gen'!$A422, INDEX(Scores!$H$2:$P$820, 0, MATCH($B422, Scores!$H$1:$P$1, 0)))</f>
        <v>8</v>
      </c>
      <c r="G422" s="1">
        <f>INDEX(Scores!$B$2:$B$820, MATCH('Next Gen'!$A422, Scores!$E$2:$E$820, 0))</f>
        <v>256</v>
      </c>
      <c r="H422" s="4">
        <f>INDEX(Scores!$D$2:$D$820, MATCH('Next Gen'!$A422, Scores!$E$2:$E$820, 0))</f>
        <v>46051</v>
      </c>
    </row>
    <row r="423" spans="1:8">
      <c r="A423" s="1">
        <v>257</v>
      </c>
      <c r="B423" s="1" t="s">
        <v>4</v>
      </c>
      <c r="C423" s="1">
        <v>9</v>
      </c>
      <c r="D423" s="1">
        <v>9</v>
      </c>
      <c r="E423" s="1">
        <v>6</v>
      </c>
      <c r="F423" s="1">
        <f>SUMIF(Scores!$E$2:$E$820, 'Next Gen'!$A423, INDEX(Scores!$H$2:$P$820, 0, MATCH($B423, Scores!$H$1:$P$1, 0)))</f>
        <v>11</v>
      </c>
      <c r="G423" s="1">
        <f>INDEX(Scores!$B$2:$B$820, MATCH('Next Gen'!$A423, Scores!$E$2:$E$820, 0))</f>
        <v>256</v>
      </c>
      <c r="H423" s="4">
        <f>INDEX(Scores!$D$2:$D$820, MATCH('Next Gen'!$A423, Scores!$E$2:$E$820, 0))</f>
        <v>46051</v>
      </c>
    </row>
    <row r="424" spans="1:8">
      <c r="A424" s="1">
        <v>258</v>
      </c>
      <c r="B424" s="1" t="s">
        <v>5</v>
      </c>
      <c r="C424" s="1">
        <v>9</v>
      </c>
      <c r="D424" s="1">
        <v>6</v>
      </c>
      <c r="E424" s="1">
        <v>4</v>
      </c>
      <c r="F424" s="1">
        <f>SUMIF(Scores!$E$2:$E$820, 'Next Gen'!$A424, INDEX(Scores!$H$2:$P$820, 0, MATCH($B424, Scores!$H$1:$P$1, 0)))</f>
        <v>6</v>
      </c>
      <c r="G424" s="1">
        <f>INDEX(Scores!$B$2:$B$820, MATCH('Next Gen'!$A424, Scores!$E$2:$E$820, 0))</f>
        <v>256</v>
      </c>
      <c r="H424" s="4">
        <f>INDEX(Scores!$D$2:$D$820, MATCH('Next Gen'!$A424, Scores!$E$2:$E$820, 0))</f>
        <v>46055</v>
      </c>
    </row>
    <row r="425" spans="1:8">
      <c r="A425" s="1">
        <v>258</v>
      </c>
      <c r="B425" s="1" t="s">
        <v>4</v>
      </c>
      <c r="C425" s="1">
        <v>9</v>
      </c>
      <c r="D425" s="1">
        <v>9</v>
      </c>
      <c r="E425" s="1">
        <v>4</v>
      </c>
      <c r="F425" s="1">
        <f>SUMIF(Scores!$E$2:$E$820, 'Next Gen'!$A425, INDEX(Scores!$H$2:$P$820, 0, MATCH($B425, Scores!$H$1:$P$1, 0)))</f>
        <v>11</v>
      </c>
      <c r="G425" s="1">
        <f>INDEX(Scores!$B$2:$B$820, MATCH('Next Gen'!$A425, Scores!$E$2:$E$820, 0))</f>
        <v>256</v>
      </c>
      <c r="H425" s="4">
        <f>INDEX(Scores!$D$2:$D$820, MATCH('Next Gen'!$A425, Scores!$E$2:$E$820, 0))</f>
        <v>46055</v>
      </c>
    </row>
    <row r="426" spans="1:8">
      <c r="A426" s="1">
        <v>259</v>
      </c>
      <c r="B426" s="1" t="s">
        <v>5</v>
      </c>
      <c r="C426" s="1">
        <v>9</v>
      </c>
      <c r="D426" s="1">
        <v>7</v>
      </c>
      <c r="E426" s="1">
        <v>5</v>
      </c>
      <c r="F426" s="1">
        <f>SUMIF(Scores!$E$2:$E$820, 'Next Gen'!$A426, INDEX(Scores!$H$2:$P$820, 0, MATCH($B426, Scores!$H$1:$P$1, 0)))</f>
        <v>11</v>
      </c>
      <c r="G426" s="1">
        <f>INDEX(Scores!$B$2:$B$820, MATCH('Next Gen'!$A426, Scores!$E$2:$E$820, 0))</f>
        <v>256</v>
      </c>
      <c r="H426" s="4">
        <f>INDEX(Scores!$D$2:$D$820, MATCH('Next Gen'!$A426, Scores!$E$2:$E$820, 0))</f>
        <v>46056</v>
      </c>
    </row>
    <row r="427" spans="1:8">
      <c r="A427" s="1">
        <v>259</v>
      </c>
      <c r="B427" s="1" t="s">
        <v>4</v>
      </c>
      <c r="C427" s="1">
        <v>9</v>
      </c>
      <c r="D427" s="1">
        <v>8</v>
      </c>
      <c r="E427" s="1">
        <v>6</v>
      </c>
      <c r="F427" s="1">
        <f>SUMIF(Scores!$E$2:$E$820, 'Next Gen'!$A427, INDEX(Scores!$H$2:$P$820, 0, MATCH($B427, Scores!$H$1:$P$1, 0)))</f>
        <v>13</v>
      </c>
      <c r="G427" s="1">
        <f>INDEX(Scores!$B$2:$B$820, MATCH('Next Gen'!$A427, Scores!$E$2:$E$820, 0))</f>
        <v>256</v>
      </c>
      <c r="H427" s="4">
        <f>INDEX(Scores!$D$2:$D$820, MATCH('Next Gen'!$A427, Scores!$E$2:$E$820, 0))</f>
        <v>46056</v>
      </c>
    </row>
    <row r="428" spans="1:8">
      <c r="A428" s="1">
        <v>260</v>
      </c>
      <c r="B428" s="1" t="s">
        <v>5</v>
      </c>
      <c r="C428" s="1">
        <v>12</v>
      </c>
      <c r="D428" s="1">
        <v>10</v>
      </c>
      <c r="E428" s="1">
        <v>8</v>
      </c>
      <c r="F428" s="1">
        <f>SUMIF(Scores!$E$2:$E$820, 'Next Gen'!$A428, INDEX(Scores!$H$2:$P$820, 0, MATCH($B428, Scores!$H$1:$P$1, 0)))</f>
        <v>15</v>
      </c>
      <c r="G428" s="1">
        <f>INDEX(Scores!$B$2:$B$820, MATCH('Next Gen'!$A428, Scores!$E$2:$E$820, 0))</f>
        <v>256</v>
      </c>
      <c r="H428" s="4">
        <f>INDEX(Scores!$D$2:$D$820, MATCH('Next Gen'!$A428, Scores!$E$2:$E$820, 0))</f>
        <v>46058</v>
      </c>
    </row>
    <row r="429" spans="1:8">
      <c r="A429" s="1">
        <v>260</v>
      </c>
      <c r="B429" s="1" t="s">
        <v>4</v>
      </c>
      <c r="C429" s="1">
        <v>12</v>
      </c>
      <c r="D429" s="1">
        <v>12</v>
      </c>
      <c r="E429" s="1">
        <v>8</v>
      </c>
      <c r="F429" s="1">
        <f>SUMIF(Scores!$E$2:$E$820, 'Next Gen'!$A429, INDEX(Scores!$H$2:$P$820, 0, MATCH($B429, Scores!$H$1:$P$1, 0)))</f>
        <v>20</v>
      </c>
      <c r="G429" s="1">
        <f>INDEX(Scores!$B$2:$B$820, MATCH('Next Gen'!$A429, Scores!$E$2:$E$820, 0))</f>
        <v>256</v>
      </c>
      <c r="H429" s="4">
        <f>INDEX(Scores!$D$2:$D$820, MATCH('Next Gen'!$A429, Scores!$E$2:$E$820, 0))</f>
        <v>46058</v>
      </c>
    </row>
    <row r="430" spans="1:8">
      <c r="A430" s="1">
        <v>261</v>
      </c>
      <c r="B430" s="1" t="s">
        <v>5</v>
      </c>
      <c r="C430" s="1">
        <v>9</v>
      </c>
      <c r="D430" s="1">
        <v>8</v>
      </c>
      <c r="E430" s="1">
        <v>3</v>
      </c>
      <c r="F430" s="1">
        <f>SUMIF(Scores!$E$2:$E$820, 'Next Gen'!$A430, INDEX(Scores!$H$2:$P$820, 0, MATCH($B430, Scores!$H$1:$P$1, 0)))</f>
        <v>5</v>
      </c>
      <c r="G430" s="1">
        <f>INDEX(Scores!$B$2:$B$820, MATCH('Next Gen'!$A430, Scores!$E$2:$E$820, 0))</f>
        <v>256</v>
      </c>
      <c r="H430" s="4">
        <f>INDEX(Scores!$D$2:$D$820, MATCH('Next Gen'!$A430, Scores!$E$2:$E$820, 0))</f>
        <v>46059</v>
      </c>
    </row>
    <row r="431" spans="1:8">
      <c r="A431" s="1">
        <v>261</v>
      </c>
      <c r="B431" s="1" t="s">
        <v>4</v>
      </c>
      <c r="C431" s="1">
        <v>9</v>
      </c>
      <c r="D431" s="1">
        <v>9</v>
      </c>
      <c r="E431" s="1">
        <v>6</v>
      </c>
      <c r="F431" s="1">
        <f>SUMIF(Scores!$E$2:$E$820, 'Next Gen'!$A431, INDEX(Scores!$H$2:$P$820, 0, MATCH($B431, Scores!$H$1:$P$1, 0)))</f>
        <v>18</v>
      </c>
      <c r="G431" s="1">
        <f>INDEX(Scores!$B$2:$B$820, MATCH('Next Gen'!$A431, Scores!$E$2:$E$820, 0))</f>
        <v>256</v>
      </c>
      <c r="H431" s="4">
        <f>INDEX(Scores!$D$2:$D$820, MATCH('Next Gen'!$A431, Scores!$E$2:$E$820, 0))</f>
        <v>46059</v>
      </c>
    </row>
    <row r="432" spans="1:8">
      <c r="A432" s="1">
        <v>262</v>
      </c>
      <c r="B432" s="1" t="s">
        <v>5</v>
      </c>
      <c r="C432" s="1">
        <v>9</v>
      </c>
      <c r="D432" s="1">
        <v>9</v>
      </c>
      <c r="E432" s="1">
        <v>6</v>
      </c>
      <c r="F432" s="1">
        <f>SUMIF(Scores!$E$2:$E$820, 'Next Gen'!$A432, INDEX(Scores!$H$2:$P$820, 0, MATCH($B432, Scores!$H$1:$P$1, 0)))</f>
        <v>6</v>
      </c>
      <c r="G432" s="1">
        <f>INDEX(Scores!$B$2:$B$820, MATCH('Next Gen'!$A432, Scores!$E$2:$E$820, 0))</f>
        <v>256</v>
      </c>
      <c r="H432" s="4">
        <f>INDEX(Scores!$D$2:$D$820, MATCH('Next Gen'!$A432, Scores!$E$2:$E$820, 0))</f>
        <v>46063</v>
      </c>
    </row>
    <row r="433" spans="1:8">
      <c r="A433" s="1">
        <v>262</v>
      </c>
      <c r="B433" s="1" t="s">
        <v>4</v>
      </c>
      <c r="C433" s="1">
        <v>9</v>
      </c>
      <c r="D433" s="1">
        <v>9</v>
      </c>
      <c r="E433" s="1">
        <v>8</v>
      </c>
      <c r="F433" s="1">
        <f>SUMIF(Scores!$E$2:$E$820, 'Next Gen'!$A433, INDEX(Scores!$H$2:$P$820, 0, MATCH($B433, Scores!$H$1:$P$1, 0)))</f>
        <v>21</v>
      </c>
      <c r="G433" s="1">
        <f>INDEX(Scores!$B$2:$B$820, MATCH('Next Gen'!$A433, Scores!$E$2:$E$820, 0))</f>
        <v>256</v>
      </c>
      <c r="H433" s="4">
        <f>INDEX(Scores!$D$2:$D$820, MATCH('Next Gen'!$A433, Scores!$E$2:$E$820, 0))</f>
        <v>46063</v>
      </c>
    </row>
    <row r="434" spans="1:8">
      <c r="A434" s="1">
        <v>263</v>
      </c>
      <c r="B434" s="1" t="s">
        <v>5</v>
      </c>
      <c r="C434" s="1">
        <v>9</v>
      </c>
      <c r="D434" s="1">
        <v>9</v>
      </c>
      <c r="E434" s="1">
        <v>3</v>
      </c>
      <c r="F434" s="17">
        <f>SUMIF(Scores!$E$2:$E$820, 'Next Gen'!$A434, INDEX(Scores!$H$2:$P$820, 0, MATCH($B434, Scores!$H$1:$P$1, 0)))</f>
        <v>4</v>
      </c>
      <c r="G434" s="1">
        <f>INDEX(Scores!$B$2:$B$820, MATCH('Next Gen'!$A434, Scores!$E$2:$E$820, 0))</f>
        <v>256</v>
      </c>
      <c r="H434" s="4">
        <f>INDEX(Scores!$D$2:$D$820, MATCH('Next Gen'!$A434, Scores!$E$2:$E$820, 0))</f>
        <v>46071</v>
      </c>
    </row>
    <row r="435" spans="1:8">
      <c r="A435" s="1">
        <v>263</v>
      </c>
      <c r="B435" s="1" t="s">
        <v>4</v>
      </c>
      <c r="C435" s="1">
        <v>9</v>
      </c>
      <c r="D435" s="1">
        <v>9</v>
      </c>
      <c r="E435" s="1">
        <v>7</v>
      </c>
      <c r="F435" s="17">
        <f>SUMIF(Scores!$E$2:$E$820, 'Next Gen'!$A435, INDEX(Scores!$H$2:$P$820, 0, MATCH($B435, Scores!$H$1:$P$1, 0)))</f>
        <v>13</v>
      </c>
      <c r="G435" s="1">
        <f>INDEX(Scores!$B$2:$B$820, MATCH('Next Gen'!$A435, Scores!$E$2:$E$820, 0))</f>
        <v>256</v>
      </c>
      <c r="H435" s="4">
        <f>INDEX(Scores!$D$2:$D$820, MATCH('Next Gen'!$A435, Scores!$E$2:$E$820, 0))</f>
        <v>46071</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2026-02-18T21:39:51Z</dcterms:modified>
</cp:coreProperties>
</file>